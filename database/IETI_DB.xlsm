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80" windowWidth="12120" windowHeight="5790" activeTab="1"/>
  </bookViews>
  <sheets>
    <sheet name="tblPersons" sheetId="1" r:id="rId1"/>
    <sheet name="tblUsers" sheetId="4" r:id="rId2"/>
    <sheet name="tblCourses" sheetId="6" r:id="rId3"/>
    <sheet name="tblCourseSubjs" sheetId="7" r:id="rId4"/>
    <sheet name="tblSubjPrerequisites" sheetId="9" r:id="rId5"/>
    <sheet name="tblSchoolTerms" sheetId="14" r:id="rId6"/>
    <sheet name="tblStudents" sheetId="2" r:id="rId7"/>
    <sheet name="tblFaculty" sheetId="3" r:id="rId8"/>
    <sheet name="tblEnrolledStuds" sheetId="8" r:id="rId9"/>
    <sheet name="tblHiredFaculty" sheetId="15" r:id="rId10"/>
    <sheet name="tblClasses" sheetId="10" r:id="rId11"/>
    <sheet name="tblClassSubjs" sheetId="11" r:id="rId12"/>
    <sheet name="tblClassSchedules" sheetId="13" r:id="rId13"/>
    <sheet name="tblEnrolledSubjs" sheetId="12" r:id="rId14"/>
    <sheet name="Sheet1" sheetId="16" r:id="rId15"/>
  </sheets>
  <functionGroups builtInGroupCount="17"/>
  <calcPr calcId="144525"/>
</workbook>
</file>

<file path=xl/calcChain.xml><?xml version="1.0" encoding="utf-8"?>
<calcChain xmlns="http://schemas.openxmlformats.org/spreadsheetml/2006/main">
  <c r="L14" i="8" l="1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13" i="8"/>
  <c r="M4" i="8"/>
  <c r="N4" i="8"/>
  <c r="M5" i="8"/>
  <c r="N5" i="8"/>
  <c r="M6" i="8"/>
  <c r="N6" i="8"/>
  <c r="M7" i="8"/>
  <c r="N7" i="8"/>
  <c r="M8" i="8"/>
  <c r="N8" i="8"/>
  <c r="M9" i="8"/>
  <c r="N9" i="8"/>
  <c r="M10" i="8"/>
  <c r="N10" i="8"/>
  <c r="M11" i="8"/>
  <c r="N11" i="8"/>
  <c r="M12" i="8"/>
  <c r="N12" i="8"/>
  <c r="M13" i="8"/>
  <c r="N13" i="8"/>
  <c r="M14" i="8"/>
  <c r="N14" i="8"/>
  <c r="M15" i="8"/>
  <c r="N15" i="8"/>
  <c r="M16" i="8"/>
  <c r="N16" i="8"/>
  <c r="M17" i="8"/>
  <c r="N17" i="8"/>
  <c r="M18" i="8"/>
  <c r="N18" i="8"/>
  <c r="M19" i="8"/>
  <c r="N19" i="8"/>
  <c r="M20" i="8"/>
  <c r="N20" i="8"/>
  <c r="M21" i="8"/>
  <c r="N21" i="8"/>
  <c r="M22" i="8"/>
  <c r="N22" i="8"/>
  <c r="M23" i="8"/>
  <c r="N23" i="8"/>
  <c r="M24" i="8"/>
  <c r="N24" i="8"/>
  <c r="M25" i="8"/>
  <c r="N25" i="8"/>
  <c r="M26" i="8"/>
  <c r="N26" i="8"/>
  <c r="M27" i="8"/>
  <c r="N27" i="8"/>
  <c r="M28" i="8"/>
  <c r="N28" i="8"/>
  <c r="M29" i="8"/>
  <c r="N29" i="8"/>
  <c r="M30" i="8"/>
  <c r="N30" i="8"/>
  <c r="M31" i="8"/>
  <c r="N31" i="8"/>
  <c r="M32" i="8"/>
  <c r="N32" i="8"/>
  <c r="M33" i="8"/>
  <c r="N33" i="8"/>
  <c r="M34" i="8"/>
  <c r="N34" i="8"/>
  <c r="M35" i="8"/>
  <c r="N35" i="8"/>
  <c r="M36" i="8"/>
  <c r="N36" i="8"/>
  <c r="M37" i="8"/>
  <c r="N37" i="8"/>
  <c r="M38" i="8"/>
  <c r="N38" i="8"/>
  <c r="M39" i="8"/>
  <c r="N39" i="8"/>
  <c r="M40" i="8"/>
  <c r="N40" i="8"/>
  <c r="M41" i="8"/>
  <c r="N41" i="8"/>
  <c r="M42" i="8"/>
  <c r="N42" i="8"/>
  <c r="M43" i="8"/>
  <c r="N43" i="8"/>
  <c r="M44" i="8"/>
  <c r="N44" i="8"/>
  <c r="M45" i="8"/>
  <c r="N45" i="8"/>
  <c r="M46" i="8"/>
  <c r="N46" i="8"/>
  <c r="M47" i="8"/>
  <c r="N47" i="8"/>
  <c r="M48" i="8"/>
  <c r="N48" i="8"/>
  <c r="M49" i="8"/>
  <c r="N49" i="8"/>
  <c r="M50" i="8"/>
  <c r="N50" i="8"/>
  <c r="M51" i="8"/>
  <c r="N51" i="8"/>
  <c r="M52" i="8"/>
  <c r="N52" i="8"/>
  <c r="M53" i="8"/>
  <c r="N53" i="8"/>
  <c r="M54" i="8"/>
  <c r="N54" i="8"/>
  <c r="M55" i="8"/>
  <c r="N55" i="8"/>
  <c r="M56" i="8"/>
  <c r="N56" i="8"/>
  <c r="M57" i="8"/>
  <c r="N57" i="8"/>
  <c r="M58" i="8"/>
  <c r="N58" i="8"/>
  <c r="M59" i="8"/>
  <c r="N59" i="8"/>
  <c r="M60" i="8"/>
  <c r="N60" i="8"/>
  <c r="M61" i="8"/>
  <c r="N61" i="8"/>
  <c r="M62" i="8"/>
  <c r="N62" i="8"/>
  <c r="M63" i="8"/>
  <c r="N63" i="8"/>
  <c r="M64" i="8"/>
  <c r="N64" i="8"/>
  <c r="M65" i="8"/>
  <c r="N65" i="8"/>
  <c r="M66" i="8"/>
  <c r="N66" i="8"/>
  <c r="M67" i="8"/>
  <c r="N67" i="8"/>
  <c r="M68" i="8"/>
  <c r="N68" i="8"/>
  <c r="M69" i="8"/>
  <c r="N69" i="8"/>
  <c r="M70" i="8"/>
  <c r="N70" i="8"/>
  <c r="M71" i="8"/>
  <c r="N71" i="8"/>
  <c r="M72" i="8"/>
  <c r="N72" i="8"/>
  <c r="M73" i="8"/>
  <c r="N73" i="8"/>
  <c r="M74" i="8"/>
  <c r="N74" i="8"/>
  <c r="M75" i="8"/>
  <c r="N75" i="8"/>
  <c r="M76" i="8"/>
  <c r="N76" i="8"/>
  <c r="M77" i="8"/>
  <c r="N77" i="8"/>
  <c r="M78" i="8"/>
  <c r="N78" i="8"/>
  <c r="M79" i="8"/>
  <c r="N79" i="8"/>
  <c r="M80" i="8"/>
  <c r="N80" i="8"/>
  <c r="M81" i="8"/>
  <c r="N81" i="8"/>
  <c r="M82" i="8"/>
  <c r="N82" i="8"/>
  <c r="M83" i="8"/>
  <c r="N83" i="8"/>
  <c r="M84" i="8"/>
  <c r="N84" i="8"/>
  <c r="M85" i="8"/>
  <c r="N85" i="8"/>
  <c r="M86" i="8"/>
  <c r="N86" i="8"/>
  <c r="M87" i="8"/>
  <c r="N87" i="8"/>
  <c r="M88" i="8"/>
  <c r="N88" i="8"/>
  <c r="M89" i="8"/>
  <c r="N89" i="8"/>
  <c r="M90" i="8"/>
  <c r="N90" i="8"/>
  <c r="M91" i="8"/>
  <c r="N91" i="8"/>
  <c r="M92" i="8"/>
  <c r="N92" i="8"/>
  <c r="M93" i="8"/>
  <c r="N93" i="8"/>
  <c r="M94" i="8"/>
  <c r="N94" i="8"/>
  <c r="M95" i="8"/>
  <c r="N95" i="8"/>
  <c r="M96" i="8"/>
  <c r="N96" i="8"/>
  <c r="M97" i="8"/>
  <c r="N97" i="8"/>
  <c r="M98" i="8"/>
  <c r="N98" i="8"/>
  <c r="M99" i="8"/>
  <c r="N99" i="8"/>
  <c r="M100" i="8"/>
  <c r="N100" i="8"/>
  <c r="M101" i="8"/>
  <c r="N101" i="8"/>
  <c r="M102" i="8"/>
  <c r="N102" i="8"/>
  <c r="M103" i="8"/>
  <c r="N103" i="8"/>
  <c r="M104" i="8"/>
  <c r="N104" i="8"/>
  <c r="M105" i="8"/>
  <c r="N105" i="8"/>
  <c r="M106" i="8"/>
  <c r="N106" i="8"/>
  <c r="M107" i="8"/>
  <c r="N107" i="8"/>
  <c r="M108" i="8"/>
  <c r="N108" i="8"/>
  <c r="M109" i="8"/>
  <c r="N109" i="8"/>
  <c r="M110" i="8"/>
  <c r="N110" i="8"/>
  <c r="M111" i="8"/>
  <c r="N111" i="8"/>
  <c r="M112" i="8"/>
  <c r="N112" i="8"/>
  <c r="M113" i="8"/>
  <c r="N113" i="8"/>
  <c r="M114" i="8"/>
  <c r="N114" i="8"/>
  <c r="M115" i="8"/>
  <c r="N115" i="8"/>
  <c r="M116" i="8"/>
  <c r="N116" i="8"/>
  <c r="M117" i="8"/>
  <c r="N117" i="8"/>
  <c r="M118" i="8"/>
  <c r="N118" i="8"/>
  <c r="M119" i="8"/>
  <c r="N119" i="8"/>
  <c r="M120" i="8"/>
  <c r="N120" i="8"/>
  <c r="M121" i="8"/>
  <c r="N121" i="8"/>
  <c r="M122" i="8"/>
  <c r="N122" i="8"/>
  <c r="M123" i="8"/>
  <c r="N123" i="8"/>
  <c r="M124" i="8"/>
  <c r="N124" i="8"/>
  <c r="M125" i="8"/>
  <c r="N125" i="8"/>
  <c r="M126" i="8"/>
  <c r="N126" i="8"/>
  <c r="M127" i="8"/>
  <c r="N127" i="8"/>
  <c r="M128" i="8"/>
  <c r="N128" i="8"/>
  <c r="M129" i="8"/>
  <c r="N129" i="8"/>
  <c r="M130" i="8"/>
  <c r="N130" i="8"/>
  <c r="M131" i="8"/>
  <c r="N131" i="8"/>
  <c r="M132" i="8"/>
  <c r="N132" i="8"/>
  <c r="M133" i="8"/>
  <c r="N133" i="8"/>
  <c r="M134" i="8"/>
  <c r="N134" i="8"/>
  <c r="M135" i="8"/>
  <c r="N135" i="8"/>
  <c r="M136" i="8"/>
  <c r="N136" i="8"/>
  <c r="M137" i="8"/>
  <c r="N137" i="8"/>
  <c r="M138" i="8"/>
  <c r="N138" i="8"/>
  <c r="M139" i="8"/>
  <c r="N139" i="8"/>
  <c r="M140" i="8"/>
  <c r="N140" i="8"/>
  <c r="M141" i="8"/>
  <c r="N141" i="8"/>
  <c r="M142" i="8"/>
  <c r="N142" i="8"/>
  <c r="M143" i="8"/>
  <c r="N143" i="8"/>
  <c r="M144" i="8"/>
  <c r="N144" i="8"/>
  <c r="M145" i="8"/>
  <c r="N145" i="8"/>
  <c r="M146" i="8"/>
  <c r="N146" i="8"/>
  <c r="M147" i="8"/>
  <c r="N147" i="8"/>
  <c r="M148" i="8"/>
  <c r="N148" i="8"/>
  <c r="M149" i="8"/>
  <c r="N149" i="8"/>
  <c r="M150" i="8"/>
  <c r="N150" i="8"/>
  <c r="M151" i="8"/>
  <c r="N151" i="8"/>
  <c r="M152" i="8"/>
  <c r="N152" i="8"/>
  <c r="M153" i="8"/>
  <c r="N153" i="8"/>
  <c r="M154" i="8"/>
  <c r="N154" i="8"/>
  <c r="M155" i="8"/>
  <c r="N155" i="8"/>
  <c r="M156" i="8"/>
  <c r="N156" i="8"/>
  <c r="M157" i="8"/>
  <c r="N157" i="8"/>
  <c r="M158" i="8"/>
  <c r="N158" i="8"/>
  <c r="M159" i="8"/>
  <c r="N159" i="8"/>
  <c r="M160" i="8"/>
  <c r="N160" i="8"/>
  <c r="M161" i="8"/>
  <c r="N161" i="8"/>
  <c r="M162" i="8"/>
  <c r="N162" i="8"/>
  <c r="M163" i="8"/>
  <c r="N163" i="8"/>
  <c r="M164" i="8"/>
  <c r="N164" i="8"/>
  <c r="M165" i="8"/>
  <c r="N165" i="8"/>
  <c r="M166" i="8"/>
  <c r="N166" i="8"/>
  <c r="M167" i="8"/>
  <c r="N167" i="8"/>
  <c r="M168" i="8"/>
  <c r="N168" i="8"/>
  <c r="M169" i="8"/>
  <c r="N169" i="8"/>
  <c r="M170" i="8"/>
  <c r="N170" i="8"/>
  <c r="M171" i="8"/>
  <c r="N171" i="8"/>
  <c r="M172" i="8"/>
  <c r="N172" i="8"/>
  <c r="M173" i="8"/>
  <c r="N173" i="8"/>
  <c r="M174" i="8"/>
  <c r="N174" i="8"/>
  <c r="M175" i="8"/>
  <c r="N175" i="8"/>
  <c r="M176" i="8"/>
  <c r="N176" i="8"/>
  <c r="M177" i="8"/>
  <c r="N177" i="8"/>
  <c r="M178" i="8"/>
  <c r="N178" i="8"/>
  <c r="M179" i="8"/>
  <c r="N179" i="8"/>
  <c r="M180" i="8"/>
  <c r="N180" i="8"/>
  <c r="M181" i="8"/>
  <c r="N181" i="8"/>
  <c r="M182" i="8"/>
  <c r="N182" i="8"/>
  <c r="M183" i="8"/>
  <c r="N183" i="8"/>
  <c r="M184" i="8"/>
  <c r="N184" i="8"/>
  <c r="M185" i="8"/>
  <c r="N185" i="8"/>
  <c r="M186" i="8"/>
  <c r="N186" i="8"/>
  <c r="M187" i="8"/>
  <c r="N187" i="8"/>
  <c r="M188" i="8"/>
  <c r="N188" i="8"/>
  <c r="M189" i="8"/>
  <c r="N189" i="8"/>
  <c r="M190" i="8"/>
  <c r="N190" i="8"/>
  <c r="M191" i="8"/>
  <c r="N191" i="8"/>
  <c r="M192" i="8"/>
  <c r="N192" i="8"/>
  <c r="M193" i="8"/>
  <c r="N193" i="8"/>
  <c r="M194" i="8"/>
  <c r="N194" i="8"/>
  <c r="M195" i="8"/>
  <c r="N195" i="8"/>
  <c r="M196" i="8"/>
  <c r="N196" i="8"/>
  <c r="M197" i="8"/>
  <c r="N197" i="8"/>
  <c r="M198" i="8"/>
  <c r="N198" i="8"/>
  <c r="M199" i="8"/>
  <c r="N199" i="8"/>
  <c r="M200" i="8"/>
  <c r="N200" i="8"/>
  <c r="M201" i="8"/>
  <c r="N201" i="8"/>
  <c r="M202" i="8"/>
  <c r="N202" i="8"/>
  <c r="M203" i="8"/>
  <c r="N203" i="8"/>
  <c r="M204" i="8"/>
  <c r="N204" i="8"/>
  <c r="N3" i="8"/>
  <c r="M3" i="8"/>
  <c r="K204" i="8"/>
  <c r="K199" i="8"/>
  <c r="K200" i="8"/>
  <c r="K202" i="8"/>
  <c r="K198" i="8"/>
  <c r="K201" i="8"/>
  <c r="K203" i="8"/>
  <c r="K3" i="8"/>
  <c r="K4" i="8"/>
  <c r="K6" i="8"/>
  <c r="K8" i="8"/>
  <c r="K10" i="8"/>
  <c r="K12" i="8"/>
  <c r="K14" i="8"/>
  <c r="K18" i="8"/>
  <c r="K22" i="8"/>
  <c r="K26" i="8"/>
  <c r="K30" i="8"/>
  <c r="K34" i="8"/>
  <c r="K38" i="8"/>
  <c r="K42" i="8"/>
  <c r="K46" i="8"/>
  <c r="K50" i="8"/>
  <c r="K54" i="8"/>
  <c r="K58" i="8"/>
  <c r="K62" i="8"/>
  <c r="K66" i="8"/>
  <c r="K70" i="8"/>
  <c r="K74" i="8"/>
  <c r="K78" i="8"/>
  <c r="K82" i="8"/>
  <c r="K86" i="8"/>
  <c r="K89" i="8"/>
  <c r="K91" i="8"/>
  <c r="K93" i="8"/>
  <c r="K95" i="8"/>
  <c r="K97" i="8"/>
  <c r="K99" i="8"/>
  <c r="K101" i="8"/>
  <c r="K103" i="8"/>
  <c r="K15" i="8"/>
  <c r="K19" i="8"/>
  <c r="K23" i="8"/>
  <c r="K27" i="8"/>
  <c r="K31" i="8"/>
  <c r="K35" i="8"/>
  <c r="K39" i="8"/>
  <c r="K43" i="8"/>
  <c r="K47" i="8"/>
  <c r="K51" i="8"/>
  <c r="K55" i="8"/>
  <c r="K59" i="8"/>
  <c r="K63" i="8"/>
  <c r="K67" i="8"/>
  <c r="K71" i="8"/>
  <c r="K75" i="8"/>
  <c r="K79" i="8"/>
  <c r="K83" i="8"/>
  <c r="K87" i="8"/>
  <c r="K107" i="8"/>
  <c r="K111" i="8"/>
  <c r="K115" i="8"/>
  <c r="K119" i="8"/>
  <c r="K123" i="8"/>
  <c r="K127" i="8"/>
  <c r="K131" i="8"/>
  <c r="K135" i="8"/>
  <c r="K139" i="8"/>
  <c r="K143" i="8"/>
  <c r="K147" i="8"/>
  <c r="K170" i="8"/>
  <c r="K174" i="8"/>
  <c r="K178" i="8"/>
  <c r="K182" i="8"/>
  <c r="K186" i="8"/>
  <c r="K190" i="8"/>
  <c r="K194" i="8"/>
  <c r="K106" i="8"/>
  <c r="K110" i="8"/>
  <c r="K114" i="8"/>
  <c r="K118" i="8"/>
  <c r="K122" i="8"/>
  <c r="K126" i="8"/>
  <c r="K130" i="8"/>
  <c r="K134" i="8"/>
  <c r="K138" i="8"/>
  <c r="K142" i="8"/>
  <c r="K146" i="8"/>
  <c r="K149" i="8"/>
  <c r="K151" i="8"/>
  <c r="K153" i="8"/>
  <c r="K155" i="8"/>
  <c r="K157" i="8"/>
  <c r="K159" i="8"/>
  <c r="K161" i="8"/>
  <c r="K163" i="8"/>
  <c r="K165" i="8"/>
  <c r="K167" i="8"/>
  <c r="K171" i="8"/>
  <c r="K175" i="8"/>
  <c r="K179" i="8"/>
  <c r="K183" i="8"/>
  <c r="K187" i="8"/>
  <c r="K191" i="8"/>
  <c r="K195" i="8"/>
  <c r="K7" i="8"/>
  <c r="K9" i="8"/>
  <c r="K11" i="8"/>
  <c r="K13" i="8"/>
  <c r="K16" i="8"/>
  <c r="K20" i="8"/>
  <c r="K24" i="8"/>
  <c r="K28" i="8"/>
  <c r="K32" i="8"/>
  <c r="K36" i="8"/>
  <c r="K40" i="8"/>
  <c r="K44" i="8"/>
  <c r="K48" i="8"/>
  <c r="K52" i="8"/>
  <c r="K56" i="8"/>
  <c r="K60" i="8"/>
  <c r="K64" i="8"/>
  <c r="K68" i="8"/>
  <c r="K72" i="8"/>
  <c r="K76" i="8"/>
  <c r="K80" i="8"/>
  <c r="K84" i="8"/>
  <c r="K88" i="8"/>
  <c r="K90" i="8"/>
  <c r="K92" i="8"/>
  <c r="K94" i="8"/>
  <c r="K96" i="8"/>
  <c r="K98" i="8"/>
  <c r="K5" i="8"/>
  <c r="K100" i="8"/>
  <c r="K104" i="8"/>
  <c r="K21" i="8"/>
  <c r="K29" i="8"/>
  <c r="K37" i="8"/>
  <c r="K45" i="8"/>
  <c r="K53" i="8"/>
  <c r="K61" i="8"/>
  <c r="K69" i="8"/>
  <c r="K77" i="8"/>
  <c r="K85" i="8"/>
  <c r="K109" i="8"/>
  <c r="K117" i="8"/>
  <c r="K125" i="8"/>
  <c r="K133" i="8"/>
  <c r="K141" i="8"/>
  <c r="K168" i="8"/>
  <c r="K176" i="8"/>
  <c r="K184" i="8"/>
  <c r="K192" i="8"/>
  <c r="K108" i="8"/>
  <c r="K116" i="8"/>
  <c r="K124" i="8"/>
  <c r="K132" i="8"/>
  <c r="K140" i="8"/>
  <c r="K148" i="8"/>
  <c r="K152" i="8"/>
  <c r="K156" i="8"/>
  <c r="K160" i="8"/>
  <c r="K164" i="8"/>
  <c r="K169" i="8"/>
  <c r="K177" i="8"/>
  <c r="K185" i="8"/>
  <c r="K193" i="8"/>
  <c r="K102" i="8"/>
  <c r="K17" i="8"/>
  <c r="K25" i="8"/>
  <c r="K33" i="8"/>
  <c r="K41" i="8"/>
  <c r="K49" i="8"/>
  <c r="K57" i="8"/>
  <c r="K65" i="8"/>
  <c r="K73" i="8"/>
  <c r="K81" i="8"/>
  <c r="K105" i="8"/>
  <c r="K113" i="8"/>
  <c r="K121" i="8"/>
  <c r="K129" i="8"/>
  <c r="K137" i="8"/>
  <c r="K145" i="8"/>
  <c r="K172" i="8"/>
  <c r="K180" i="8"/>
  <c r="K188" i="8"/>
  <c r="K196" i="8"/>
  <c r="K112" i="8"/>
  <c r="K120" i="8"/>
  <c r="K128" i="8"/>
  <c r="K136" i="8"/>
  <c r="K144" i="8"/>
  <c r="K150" i="8"/>
  <c r="K154" i="8"/>
  <c r="K158" i="8"/>
  <c r="K162" i="8"/>
  <c r="K166" i="8"/>
  <c r="K173" i="8"/>
  <c r="K181" i="8"/>
  <c r="K189" i="8"/>
  <c r="K197" i="8"/>
  <c r="J204" i="8" l="1"/>
  <c r="J203" i="8" s="1"/>
  <c r="J202" i="8" s="1"/>
  <c r="J201" i="8" s="1"/>
  <c r="J200" i="8" s="1"/>
  <c r="J199" i="8" s="1"/>
  <c r="J198" i="8" s="1"/>
  <c r="J197" i="8" s="1"/>
  <c r="J196" i="8" s="1"/>
  <c r="J195" i="8" s="1"/>
  <c r="J194" i="8" s="1"/>
  <c r="J193" i="8" s="1"/>
  <c r="J192" i="8" s="1"/>
  <c r="J191" i="8" s="1"/>
  <c r="J190" i="8" s="1"/>
  <c r="J189" i="8" s="1"/>
  <c r="J188" i="8" s="1"/>
  <c r="J187" i="8" s="1"/>
  <c r="J186" i="8" s="1"/>
  <c r="J185" i="8" s="1"/>
  <c r="J184" i="8" s="1"/>
  <c r="J183" i="8" s="1"/>
  <c r="J182" i="8" s="1"/>
  <c r="J181" i="8" s="1"/>
  <c r="J180" i="8" s="1"/>
  <c r="J179" i="8" s="1"/>
  <c r="J178" i="8" s="1"/>
  <c r="J177" i="8" s="1"/>
  <c r="J176" i="8" s="1"/>
  <c r="J175" i="8" s="1"/>
  <c r="J174" i="8" s="1"/>
  <c r="J173" i="8" s="1"/>
  <c r="J172" i="8" s="1"/>
  <c r="J171" i="8" s="1"/>
  <c r="J170" i="8" s="1"/>
  <c r="J169" i="8" s="1"/>
  <c r="J168" i="8" s="1"/>
  <c r="J167" i="8" s="1"/>
  <c r="J166" i="8" s="1"/>
  <c r="J165" i="8" s="1"/>
  <c r="J164" i="8" s="1"/>
  <c r="J163" i="8" s="1"/>
  <c r="J162" i="8" s="1"/>
  <c r="J161" i="8" s="1"/>
  <c r="J160" i="8" s="1"/>
  <c r="J159" i="8" s="1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J9" i="8" s="1"/>
  <c r="J8" i="8" s="1"/>
  <c r="J7" i="8" s="1"/>
  <c r="J6" i="8" s="1"/>
  <c r="J5" i="8" s="1"/>
  <c r="J4" i="8" s="1"/>
  <c r="J3" i="8" l="1"/>
  <c r="Q5" i="12"/>
  <c r="Q7" i="12"/>
  <c r="Q9" i="12"/>
  <c r="Q11" i="12"/>
  <c r="Q13" i="12"/>
  <c r="Q15" i="12"/>
  <c r="Q17" i="12"/>
  <c r="Q19" i="12"/>
  <c r="Q21" i="12"/>
  <c r="Q23" i="12"/>
  <c r="Q25" i="12"/>
  <c r="Q27" i="12"/>
  <c r="Q29" i="12"/>
  <c r="Q31" i="12"/>
  <c r="Q33" i="12"/>
  <c r="Q35" i="12"/>
  <c r="Q37" i="12"/>
  <c r="Q40" i="12"/>
  <c r="Q44" i="12"/>
  <c r="Q48" i="12"/>
  <c r="Q52" i="12"/>
  <c r="Q56" i="12"/>
  <c r="Q60" i="12"/>
  <c r="Q64" i="12"/>
  <c r="Q68" i="12"/>
  <c r="Q72" i="12"/>
  <c r="Q76" i="12"/>
  <c r="Q80" i="12"/>
  <c r="Q84" i="12"/>
  <c r="Q88" i="12"/>
  <c r="Q90" i="12"/>
  <c r="Q92" i="12"/>
  <c r="Q94" i="12"/>
  <c r="Q96" i="12"/>
  <c r="Q98" i="12"/>
  <c r="Q100" i="12"/>
  <c r="Q102" i="12"/>
  <c r="Q104" i="12"/>
  <c r="Q106" i="12"/>
  <c r="Q108" i="12"/>
  <c r="Q110" i="12"/>
  <c r="Q112" i="12"/>
  <c r="Q114" i="12"/>
  <c r="Q116" i="12"/>
  <c r="Q118" i="12"/>
  <c r="Q120" i="12"/>
  <c r="Q39" i="12"/>
  <c r="Q43" i="12"/>
  <c r="Q47" i="12"/>
  <c r="Q51" i="12"/>
  <c r="Q55" i="12"/>
  <c r="Q59" i="12"/>
  <c r="Q63" i="12"/>
  <c r="Q67" i="12"/>
  <c r="Q71" i="12"/>
  <c r="Q75" i="12"/>
  <c r="Q79" i="12"/>
  <c r="Q83" i="12"/>
  <c r="Q87" i="12"/>
  <c r="Q124" i="12"/>
  <c r="Q128" i="12"/>
  <c r="Q132" i="12"/>
  <c r="Q136" i="12"/>
  <c r="Q140" i="12"/>
  <c r="Q144" i="12"/>
  <c r="Q148" i="12"/>
  <c r="Q152" i="12"/>
  <c r="Q156" i="12"/>
  <c r="Q158" i="12"/>
  <c r="Q160" i="12"/>
  <c r="Q162" i="12"/>
  <c r="Q164" i="12"/>
  <c r="Q166" i="12"/>
  <c r="Q168" i="12"/>
  <c r="Q170" i="12"/>
  <c r="Q172" i="12"/>
  <c r="Q174" i="12"/>
  <c r="Q176" i="12"/>
  <c r="Q178" i="12"/>
  <c r="Q180" i="12"/>
  <c r="Q182" i="12"/>
  <c r="Q184" i="12"/>
  <c r="Q186" i="12"/>
  <c r="Q188" i="12"/>
  <c r="Q190" i="12"/>
  <c r="Q192" i="12"/>
  <c r="Q194" i="12"/>
  <c r="Q196" i="12"/>
  <c r="Q198" i="12"/>
  <c r="Q200" i="12"/>
  <c r="Q202" i="12"/>
  <c r="Q204" i="12"/>
  <c r="Q206" i="12"/>
  <c r="Q208" i="12"/>
  <c r="Q210" i="12"/>
  <c r="Q212" i="12"/>
  <c r="Q214" i="12"/>
  <c r="Q216" i="12"/>
  <c r="Q218" i="12"/>
  <c r="Q125" i="12"/>
  <c r="Q129" i="12"/>
  <c r="Q133" i="12"/>
  <c r="Q137" i="12"/>
  <c r="Q141" i="12"/>
  <c r="Q145" i="12"/>
  <c r="Q149" i="12"/>
  <c r="Q153" i="12"/>
  <c r="Q219" i="12"/>
  <c r="Q223" i="12"/>
  <c r="Q227" i="12"/>
  <c r="Q231" i="12"/>
  <c r="Q235" i="12"/>
  <c r="Q239" i="12"/>
  <c r="Q243" i="12"/>
  <c r="Q247" i="12"/>
  <c r="Q251" i="12"/>
  <c r="Q255" i="12"/>
  <c r="Q259" i="12"/>
  <c r="Q263" i="12"/>
  <c r="Q267" i="12"/>
  <c r="Q271" i="12"/>
  <c r="Q275" i="12"/>
  <c r="Q279" i="12"/>
  <c r="Q283" i="12"/>
  <c r="Q287" i="12"/>
  <c r="Q291" i="12"/>
  <c r="Q6" i="12"/>
  <c r="Q10" i="12"/>
  <c r="Q14" i="12"/>
  <c r="Q18" i="12"/>
  <c r="Q22" i="12"/>
  <c r="Q26" i="12"/>
  <c r="Q30" i="12"/>
  <c r="Q34" i="12"/>
  <c r="Q38" i="12"/>
  <c r="Q46" i="12"/>
  <c r="Q54" i="12"/>
  <c r="Q62" i="12"/>
  <c r="Q70" i="12"/>
  <c r="Q78" i="12"/>
  <c r="Q86" i="12"/>
  <c r="Q91" i="12"/>
  <c r="Q95" i="12"/>
  <c r="Q99" i="12"/>
  <c r="Q103" i="12"/>
  <c r="Q107" i="12"/>
  <c r="Q111" i="12"/>
  <c r="Q115" i="12"/>
  <c r="Q119" i="12"/>
  <c r="Q41" i="12"/>
  <c r="Q49" i="12"/>
  <c r="Q57" i="12"/>
  <c r="Q65" i="12"/>
  <c r="Q73" i="12"/>
  <c r="Q81" i="12"/>
  <c r="Q122" i="12"/>
  <c r="Q130" i="12"/>
  <c r="Q138" i="12"/>
  <c r="Q146" i="12"/>
  <c r="Q154" i="12"/>
  <c r="Q159" i="12"/>
  <c r="Q163" i="12"/>
  <c r="Q167" i="12"/>
  <c r="Q171" i="12"/>
  <c r="Q175" i="12"/>
  <c r="Q179" i="12"/>
  <c r="Q183" i="12"/>
  <c r="Q187" i="12"/>
  <c r="Q191" i="12"/>
  <c r="Q195" i="12"/>
  <c r="Q199" i="12"/>
  <c r="Q203" i="12"/>
  <c r="Q207" i="12"/>
  <c r="Q211" i="12"/>
  <c r="Q215" i="12"/>
  <c r="Q123" i="12"/>
  <c r="Q131" i="12"/>
  <c r="Q139" i="12"/>
  <c r="Q147" i="12"/>
  <c r="Q155" i="12"/>
  <c r="Q225" i="12"/>
  <c r="Q233" i="12"/>
  <c r="Q241" i="12"/>
  <c r="Q249" i="12"/>
  <c r="Q257" i="12"/>
  <c r="Q265" i="12"/>
  <c r="Q273" i="12"/>
  <c r="Q281" i="12"/>
  <c r="Q289" i="12"/>
  <c r="Q295" i="12"/>
  <c r="Q299" i="12"/>
  <c r="Q303" i="12"/>
  <c r="Q307" i="12"/>
  <c r="Q311" i="12"/>
  <c r="Q315" i="12"/>
  <c r="Q317" i="12"/>
  <c r="Q319" i="12"/>
  <c r="Q321" i="12"/>
  <c r="Q323" i="12"/>
  <c r="Q325" i="12"/>
  <c r="Q327" i="12"/>
  <c r="Q329" i="12"/>
  <c r="Q331" i="12"/>
  <c r="Q333" i="12"/>
  <c r="Q335" i="12"/>
  <c r="Q337" i="12"/>
  <c r="Q339" i="12"/>
  <c r="Q341" i="12"/>
  <c r="Q343" i="12"/>
  <c r="Q345" i="12"/>
  <c r="Q347" i="12"/>
  <c r="Q349" i="12"/>
  <c r="Q351" i="12"/>
  <c r="Q353" i="12"/>
  <c r="Q355" i="12"/>
  <c r="Q357" i="12"/>
  <c r="Q359" i="12"/>
  <c r="Q361" i="12"/>
  <c r="Q363" i="12"/>
  <c r="Q365" i="12"/>
  <c r="Q367" i="12"/>
  <c r="Q369" i="12"/>
  <c r="Q371" i="12"/>
  <c r="Q373" i="12"/>
  <c r="Q375" i="12"/>
  <c r="Q377" i="12"/>
  <c r="Q379" i="12"/>
  <c r="Q381" i="12"/>
  <c r="Q383" i="12"/>
  <c r="Q385" i="12"/>
  <c r="Q387" i="12"/>
  <c r="Q389" i="12"/>
  <c r="Q391" i="12"/>
  <c r="Q393" i="12"/>
  <c r="Q395" i="12"/>
  <c r="Q397" i="12"/>
  <c r="Q399" i="12"/>
  <c r="Q401" i="12"/>
  <c r="Q403" i="12"/>
  <c r="Q405" i="12"/>
  <c r="Q407" i="12"/>
  <c r="Q409" i="12"/>
  <c r="Q411" i="12"/>
  <c r="Q413" i="12"/>
  <c r="Q415" i="12"/>
  <c r="Q417" i="12"/>
  <c r="Q419" i="12"/>
  <c r="Q421" i="12"/>
  <c r="Q423" i="12"/>
  <c r="Q425" i="12"/>
  <c r="Q427" i="12"/>
  <c r="Q429" i="12"/>
  <c r="Q431" i="12"/>
  <c r="Q4" i="12"/>
  <c r="Q8" i="12"/>
  <c r="Q12" i="12"/>
  <c r="Q16" i="12"/>
  <c r="Q20" i="12"/>
  <c r="Q24" i="12"/>
  <c r="Q28" i="12"/>
  <c r="Q32" i="12"/>
  <c r="Q36" i="12"/>
  <c r="Q42" i="12"/>
  <c r="Q50" i="12"/>
  <c r="Q58" i="12"/>
  <c r="Q66" i="12"/>
  <c r="Q74" i="12"/>
  <c r="Q82" i="12"/>
  <c r="Q89" i="12"/>
  <c r="Q93" i="12"/>
  <c r="Q97" i="12"/>
  <c r="Q101" i="12"/>
  <c r="Q105" i="12"/>
  <c r="Q109" i="12"/>
  <c r="Q113" i="12"/>
  <c r="Q117" i="12"/>
  <c r="Q121" i="12"/>
  <c r="Q45" i="12"/>
  <c r="Q53" i="12"/>
  <c r="Q61" i="12"/>
  <c r="Q69" i="12"/>
  <c r="Q77" i="12"/>
  <c r="Q85" i="12"/>
  <c r="Q126" i="12"/>
  <c r="Q134" i="12"/>
  <c r="Q142" i="12"/>
  <c r="Q150" i="12"/>
  <c r="Q157" i="12"/>
  <c r="Q161" i="12"/>
  <c r="Q165" i="12"/>
  <c r="Q169" i="12"/>
  <c r="Q173" i="12"/>
  <c r="Q177" i="12"/>
  <c r="Q181" i="12"/>
  <c r="Q185" i="12"/>
  <c r="Q189" i="12"/>
  <c r="Q193" i="12"/>
  <c r="Q197" i="12"/>
  <c r="Q201" i="12"/>
  <c r="Q205" i="12"/>
  <c r="Q209" i="12"/>
  <c r="Q213" i="12"/>
  <c r="Q217" i="12"/>
  <c r="Q127" i="12"/>
  <c r="Q135" i="12"/>
  <c r="Q143" i="12"/>
  <c r="Q151" i="12"/>
  <c r="Q221" i="12"/>
  <c r="Q229" i="12"/>
  <c r="Q237" i="12"/>
  <c r="Q245" i="12"/>
  <c r="Q253" i="12"/>
  <c r="Q261" i="12"/>
  <c r="Q269" i="12"/>
  <c r="Q277" i="12"/>
  <c r="Q285" i="12"/>
  <c r="Q293" i="12"/>
  <c r="Q297" i="12"/>
  <c r="Q301" i="12"/>
  <c r="Q305" i="12"/>
  <c r="Q309" i="12"/>
  <c r="Q313" i="12"/>
  <c r="Q316" i="12"/>
  <c r="Q318" i="12"/>
  <c r="Q320" i="12"/>
  <c r="Q322" i="12"/>
  <c r="Q324" i="12"/>
  <c r="Q326" i="12"/>
  <c r="Q328" i="12"/>
  <c r="Q330" i="12"/>
  <c r="Q332" i="12"/>
  <c r="Q334" i="12"/>
  <c r="Q336" i="12"/>
  <c r="Q338" i="12"/>
  <c r="Q340" i="12"/>
  <c r="Q342" i="12"/>
  <c r="Q344" i="12"/>
  <c r="Q346" i="12"/>
  <c r="Q348" i="12"/>
  <c r="Q350" i="12"/>
  <c r="Q352" i="12"/>
  <c r="Q354" i="12"/>
  <c r="Q356" i="12"/>
  <c r="Q358" i="12"/>
  <c r="Q360" i="12"/>
  <c r="Q362" i="12"/>
  <c r="Q364" i="12"/>
  <c r="Q366" i="12"/>
  <c r="Q368" i="12"/>
  <c r="Q370" i="12"/>
  <c r="Q372" i="12"/>
  <c r="Q374" i="12"/>
  <c r="Q376" i="12"/>
  <c r="Q378" i="12"/>
  <c r="Q380" i="12"/>
  <c r="Q382" i="12"/>
  <c r="Q384" i="12"/>
  <c r="Q386" i="12"/>
  <c r="Q388" i="12"/>
  <c r="Q390" i="12"/>
  <c r="Q392" i="12"/>
  <c r="Q394" i="12"/>
  <c r="Q396" i="12"/>
  <c r="Q398" i="12"/>
  <c r="Q400" i="12"/>
  <c r="Q402" i="12"/>
  <c r="Q404" i="12"/>
  <c r="Q406" i="12"/>
  <c r="Q408" i="12"/>
  <c r="Q410" i="12"/>
  <c r="Q412" i="12"/>
  <c r="Q414" i="12"/>
  <c r="Q416" i="12"/>
  <c r="Q418" i="12"/>
  <c r="Q420" i="12"/>
  <c r="Q422" i="12"/>
  <c r="Q424" i="12"/>
  <c r="Q426" i="12"/>
  <c r="Q428" i="12"/>
  <c r="Q430" i="12"/>
  <c r="Q432" i="12"/>
  <c r="Q434" i="12"/>
  <c r="Q436" i="12"/>
  <c r="Q438" i="12"/>
  <c r="Q440" i="12"/>
  <c r="Q442" i="12"/>
  <c r="Q444" i="12"/>
  <c r="Q446" i="12"/>
  <c r="Q448" i="12"/>
  <c r="Q450" i="12"/>
  <c r="Q452" i="12"/>
  <c r="Q454" i="12"/>
  <c r="Q456" i="12"/>
  <c r="Q458" i="12"/>
  <c r="Q460" i="12"/>
  <c r="Q462" i="12"/>
  <c r="Q464" i="12"/>
  <c r="Q466" i="12"/>
  <c r="Q468" i="12"/>
  <c r="Q470" i="12"/>
  <c r="Q472" i="12"/>
  <c r="Q474" i="12"/>
  <c r="Q476" i="12"/>
  <c r="Q478" i="12"/>
  <c r="Q480" i="12"/>
  <c r="Q222" i="12"/>
  <c r="Q226" i="12"/>
  <c r="Q230" i="12"/>
  <c r="Q234" i="12"/>
  <c r="Q238" i="12"/>
  <c r="Q242" i="12"/>
  <c r="Q246" i="12"/>
  <c r="Q250" i="12"/>
  <c r="Q254" i="12"/>
  <c r="Q258" i="12"/>
  <c r="Q262" i="12"/>
  <c r="Q266" i="12"/>
  <c r="Q270" i="12"/>
  <c r="Q274" i="12"/>
  <c r="Q278" i="12"/>
  <c r="Q282" i="12"/>
  <c r="Q286" i="12"/>
  <c r="Q290" i="12"/>
  <c r="Q294" i="12"/>
  <c r="Q298" i="12"/>
  <c r="Q302" i="12"/>
  <c r="Q306" i="12"/>
  <c r="Q310" i="12"/>
  <c r="Q314" i="12"/>
  <c r="Q483" i="12"/>
  <c r="Q487" i="12"/>
  <c r="Q491" i="12"/>
  <c r="Q495" i="12"/>
  <c r="Q499" i="12"/>
  <c r="Q503" i="12"/>
  <c r="Q507" i="12"/>
  <c r="Q511" i="12"/>
  <c r="Q515" i="12"/>
  <c r="Q519" i="12"/>
  <c r="Q523" i="12"/>
  <c r="Q527" i="12"/>
  <c r="Q531" i="12"/>
  <c r="Q535" i="12"/>
  <c r="Q539" i="12"/>
  <c r="Q543" i="12"/>
  <c r="Q547" i="12"/>
  <c r="Q551" i="12"/>
  <c r="Q555" i="12"/>
  <c r="Q559" i="12"/>
  <c r="Q563" i="12"/>
  <c r="Q567" i="12"/>
  <c r="Q571" i="12"/>
  <c r="Q575" i="12"/>
  <c r="Q579" i="12"/>
  <c r="Q583" i="12"/>
  <c r="Q587" i="12"/>
  <c r="Q591" i="12"/>
  <c r="Q595" i="12"/>
  <c r="Q599" i="12"/>
  <c r="Q603" i="12"/>
  <c r="Q607" i="12"/>
  <c r="Q611" i="12"/>
  <c r="Q615" i="12"/>
  <c r="Q433" i="12"/>
  <c r="Q437" i="12"/>
  <c r="Q441" i="12"/>
  <c r="Q445" i="12"/>
  <c r="Q449" i="12"/>
  <c r="Q453" i="12"/>
  <c r="Q457" i="12"/>
  <c r="Q461" i="12"/>
  <c r="Q465" i="12"/>
  <c r="Q469" i="12"/>
  <c r="Q473" i="12"/>
  <c r="Q477" i="12"/>
  <c r="Q220" i="12"/>
  <c r="Q228" i="12"/>
  <c r="Q236" i="12"/>
  <c r="Q244" i="12"/>
  <c r="Q252" i="12"/>
  <c r="Q260" i="12"/>
  <c r="Q268" i="12"/>
  <c r="Q276" i="12"/>
  <c r="Q284" i="12"/>
  <c r="Q292" i="12"/>
  <c r="Q300" i="12"/>
  <c r="Q308" i="12"/>
  <c r="Q481" i="12"/>
  <c r="Q489" i="12"/>
  <c r="Q497" i="12"/>
  <c r="Q505" i="12"/>
  <c r="Q513" i="12"/>
  <c r="Q521" i="12"/>
  <c r="Q529" i="12"/>
  <c r="Q537" i="12"/>
  <c r="Q545" i="12"/>
  <c r="Q553" i="12"/>
  <c r="Q561" i="12"/>
  <c r="Q569" i="12"/>
  <c r="Q577" i="12"/>
  <c r="Q585" i="12"/>
  <c r="Q593" i="12"/>
  <c r="Q601" i="12"/>
  <c r="Q609" i="12"/>
  <c r="Q617" i="12"/>
  <c r="Q621" i="12"/>
  <c r="Q482" i="12"/>
  <c r="Q486" i="12"/>
  <c r="Q490" i="12"/>
  <c r="Q494" i="12"/>
  <c r="Q498" i="12"/>
  <c r="Q502" i="12"/>
  <c r="Q506" i="12"/>
  <c r="Q510" i="12"/>
  <c r="Q514" i="12"/>
  <c r="Q518" i="12"/>
  <c r="Q522" i="12"/>
  <c r="Q526" i="12"/>
  <c r="Q530" i="12"/>
  <c r="Q534" i="12"/>
  <c r="Q538" i="12"/>
  <c r="Q542" i="12"/>
  <c r="Q546" i="12"/>
  <c r="Q550" i="12"/>
  <c r="Q554" i="12"/>
  <c r="Q558" i="12"/>
  <c r="Q562" i="12"/>
  <c r="Q566" i="12"/>
  <c r="Q570" i="12"/>
  <c r="Q574" i="12"/>
  <c r="Q578" i="12"/>
  <c r="Q582" i="12"/>
  <c r="Q586" i="12"/>
  <c r="Q590" i="12"/>
  <c r="Q594" i="12"/>
  <c r="Q598" i="12"/>
  <c r="Q602" i="12"/>
  <c r="Q606" i="12"/>
  <c r="Q610" i="12"/>
  <c r="Q614" i="12"/>
  <c r="Q618" i="12"/>
  <c r="Q622" i="12"/>
  <c r="Q625" i="12"/>
  <c r="Q627" i="12"/>
  <c r="Q629" i="12"/>
  <c r="Q631" i="12"/>
  <c r="Q633" i="12"/>
  <c r="Q635" i="12"/>
  <c r="Q637" i="12"/>
  <c r="Q639" i="12"/>
  <c r="Q641" i="12"/>
  <c r="Q643" i="12"/>
  <c r="Q645" i="12"/>
  <c r="Q647" i="12"/>
  <c r="Q649" i="12"/>
  <c r="Q651" i="12"/>
  <c r="Q653" i="12"/>
  <c r="Q655" i="12"/>
  <c r="Q657" i="12"/>
  <c r="Q660" i="12"/>
  <c r="Q664" i="12"/>
  <c r="Q668" i="12"/>
  <c r="Q672" i="12"/>
  <c r="Q676" i="12"/>
  <c r="Q680" i="12"/>
  <c r="Q684" i="12"/>
  <c r="Q688" i="12"/>
  <c r="Q692" i="12"/>
  <c r="Q696" i="12"/>
  <c r="Q700" i="12"/>
  <c r="Q704" i="12"/>
  <c r="Q708" i="12"/>
  <c r="Q712" i="12"/>
  <c r="Q716" i="12"/>
  <c r="Q720" i="12"/>
  <c r="Q724" i="12"/>
  <c r="Q728" i="12"/>
  <c r="Q732" i="12"/>
  <c r="Q736" i="12"/>
  <c r="Q740" i="12"/>
  <c r="Q744" i="12"/>
  <c r="Q747" i="12"/>
  <c r="Q749" i="12"/>
  <c r="Q751" i="12"/>
  <c r="Q753" i="12"/>
  <c r="Q755" i="12"/>
  <c r="Q757" i="12"/>
  <c r="Q759" i="12"/>
  <c r="Q761" i="12"/>
  <c r="Q763" i="12"/>
  <c r="Q765" i="12"/>
  <c r="Q767" i="12"/>
  <c r="Q769" i="12"/>
  <c r="Q771" i="12"/>
  <c r="Q773" i="12"/>
  <c r="Q775" i="12"/>
  <c r="Q777" i="12"/>
  <c r="Q779" i="12"/>
  <c r="Q781" i="12"/>
  <c r="Q783" i="12"/>
  <c r="Q785" i="12"/>
  <c r="Q787" i="12"/>
  <c r="Q789" i="12"/>
  <c r="Q791" i="12"/>
  <c r="Q793" i="12"/>
  <c r="Q795" i="12"/>
  <c r="Q797" i="12"/>
  <c r="Q799" i="12"/>
  <c r="Q801" i="12"/>
  <c r="Q803" i="12"/>
  <c r="Q805" i="12"/>
  <c r="Q807" i="12"/>
  <c r="Q809" i="12"/>
  <c r="Q811" i="12"/>
  <c r="Q813" i="12"/>
  <c r="Q815" i="12"/>
  <c r="Q817" i="12"/>
  <c r="Q819" i="12"/>
  <c r="Q821" i="12"/>
  <c r="Q823" i="12"/>
  <c r="Q825" i="12"/>
  <c r="Q827" i="12"/>
  <c r="Q829" i="12"/>
  <c r="Q831" i="12"/>
  <c r="Q833" i="12"/>
  <c r="Q835" i="12"/>
  <c r="Q837" i="12"/>
  <c r="Q839" i="12"/>
  <c r="Q841" i="12"/>
  <c r="Q843" i="12"/>
  <c r="Q845" i="12"/>
  <c r="Q847" i="12"/>
  <c r="Q849" i="12"/>
  <c r="Q851" i="12"/>
  <c r="Q853" i="12"/>
  <c r="Q855" i="12"/>
  <c r="Q857" i="12"/>
  <c r="Q859" i="12"/>
  <c r="Q861" i="12"/>
  <c r="Q863" i="12"/>
  <c r="Q865" i="12"/>
  <c r="Q867" i="12"/>
  <c r="Q869" i="12"/>
  <c r="Q871" i="12"/>
  <c r="Q873" i="12"/>
  <c r="Q875" i="12"/>
  <c r="Q877" i="12"/>
  <c r="Q879" i="12"/>
  <c r="Q881" i="12"/>
  <c r="Q883" i="12"/>
  <c r="Q885" i="12"/>
  <c r="Q887" i="12"/>
  <c r="Q889" i="12"/>
  <c r="Q891" i="12"/>
  <c r="Q893" i="12"/>
  <c r="Q895" i="12"/>
  <c r="Q897" i="12"/>
  <c r="Q899" i="12"/>
  <c r="Q901" i="12"/>
  <c r="Q903" i="12"/>
  <c r="Q905" i="12"/>
  <c r="Q907" i="12"/>
  <c r="Q909" i="12"/>
  <c r="Q911" i="12"/>
  <c r="Q913" i="12"/>
  <c r="Q915" i="12"/>
  <c r="Q917" i="12"/>
  <c r="Q919" i="12"/>
  <c r="Q921" i="12"/>
  <c r="Q923" i="12"/>
  <c r="Q925" i="12"/>
  <c r="Q927" i="12"/>
  <c r="Q929" i="12"/>
  <c r="Q931" i="12"/>
  <c r="Q933" i="12"/>
  <c r="Q935" i="12"/>
  <c r="Q937" i="12"/>
  <c r="Q939" i="12"/>
  <c r="Q941" i="12"/>
  <c r="Q943" i="12"/>
  <c r="Q945" i="12"/>
  <c r="Q947" i="12"/>
  <c r="Q949" i="12"/>
  <c r="Q951" i="12"/>
  <c r="Q953" i="12"/>
  <c r="Q955" i="12"/>
  <c r="Q957" i="12"/>
  <c r="Q959" i="12"/>
  <c r="Q961" i="12"/>
  <c r="Q963" i="12"/>
  <c r="Q965" i="12"/>
  <c r="Q967" i="12"/>
  <c r="Q969" i="12"/>
  <c r="Q971" i="12"/>
  <c r="Q973" i="12"/>
  <c r="Q975" i="12"/>
  <c r="Q977" i="12"/>
  <c r="Q979" i="12"/>
  <c r="Q981" i="12"/>
  <c r="Q659" i="12"/>
  <c r="Q663" i="12"/>
  <c r="Q667" i="12"/>
  <c r="Q671" i="12"/>
  <c r="Q675" i="12"/>
  <c r="Q679" i="12"/>
  <c r="Q683" i="12"/>
  <c r="Q687" i="12"/>
  <c r="Q691" i="12"/>
  <c r="Q695" i="12"/>
  <c r="Q699" i="12"/>
  <c r="Q703" i="12"/>
  <c r="Q707" i="12"/>
  <c r="Q711" i="12"/>
  <c r="Q715" i="12"/>
  <c r="Q719" i="12"/>
  <c r="Q723" i="12"/>
  <c r="Q727" i="12"/>
  <c r="Q731" i="12"/>
  <c r="Q435" i="12"/>
  <c r="Q439" i="12"/>
  <c r="Q443" i="12"/>
  <c r="Q447" i="12"/>
  <c r="Q451" i="12"/>
  <c r="Q455" i="12"/>
  <c r="Q459" i="12"/>
  <c r="Q463" i="12"/>
  <c r="Q467" i="12"/>
  <c r="Q471" i="12"/>
  <c r="Q475" i="12"/>
  <c r="Q479" i="12"/>
  <c r="Q224" i="12"/>
  <c r="Q232" i="12"/>
  <c r="Q240" i="12"/>
  <c r="Q248" i="12"/>
  <c r="Q256" i="12"/>
  <c r="Q264" i="12"/>
  <c r="Q272" i="12"/>
  <c r="Q280" i="12"/>
  <c r="Q288" i="12"/>
  <c r="Q296" i="12"/>
  <c r="Q304" i="12"/>
  <c r="Q312" i="12"/>
  <c r="Q485" i="12"/>
  <c r="Q493" i="12"/>
  <c r="Q501" i="12"/>
  <c r="Q509" i="12"/>
  <c r="Q517" i="12"/>
  <c r="Q525" i="12"/>
  <c r="Q533" i="12"/>
  <c r="Q541" i="12"/>
  <c r="Q549" i="12"/>
  <c r="Q557" i="12"/>
  <c r="Q565" i="12"/>
  <c r="Q573" i="12"/>
  <c r="Q581" i="12"/>
  <c r="Q589" i="12"/>
  <c r="Q597" i="12"/>
  <c r="Q605" i="12"/>
  <c r="Q613" i="12"/>
  <c r="Q619" i="12"/>
  <c r="Q623" i="12"/>
  <c r="Q484" i="12"/>
  <c r="Q488" i="12"/>
  <c r="Q492" i="12"/>
  <c r="Q496" i="12"/>
  <c r="Q500" i="12"/>
  <c r="Q504" i="12"/>
  <c r="Q508" i="12"/>
  <c r="Q512" i="12"/>
  <c r="Q516" i="12"/>
  <c r="Q520" i="12"/>
  <c r="Q524" i="12"/>
  <c r="Q528" i="12"/>
  <c r="Q532" i="12"/>
  <c r="Q536" i="12"/>
  <c r="Q540" i="12"/>
  <c r="Q544" i="12"/>
  <c r="Q548" i="12"/>
  <c r="Q552" i="12"/>
  <c r="Q556" i="12"/>
  <c r="Q560" i="12"/>
  <c r="Q564" i="12"/>
  <c r="Q568" i="12"/>
  <c r="Q572" i="12"/>
  <c r="Q576" i="12"/>
  <c r="Q580" i="12"/>
  <c r="Q584" i="12"/>
  <c r="Q588" i="12"/>
  <c r="Q592" i="12"/>
  <c r="Q596" i="12"/>
  <c r="Q600" i="12"/>
  <c r="Q604" i="12"/>
  <c r="Q608" i="12"/>
  <c r="Q612" i="12"/>
  <c r="Q616" i="12"/>
  <c r="Q620" i="12"/>
  <c r="Q624" i="12"/>
  <c r="Q626" i="12"/>
  <c r="Q628" i="12"/>
  <c r="Q630" i="12"/>
  <c r="Q632" i="12"/>
  <c r="Q634" i="12"/>
  <c r="Q636" i="12"/>
  <c r="Q638" i="12"/>
  <c r="Q640" i="12"/>
  <c r="Q642" i="12"/>
  <c r="Q644" i="12"/>
  <c r="Q646" i="12"/>
  <c r="Q648" i="12"/>
  <c r="Q650" i="12"/>
  <c r="Q652" i="12"/>
  <c r="Q654" i="12"/>
  <c r="Q656" i="12"/>
  <c r="Q658" i="12"/>
  <c r="Q662" i="12"/>
  <c r="Q666" i="12"/>
  <c r="Q670" i="12"/>
  <c r="Q674" i="12"/>
  <c r="Q678" i="12"/>
  <c r="Q682" i="12"/>
  <c r="Q686" i="12"/>
  <c r="Q690" i="12"/>
  <c r="Q694" i="12"/>
  <c r="Q698" i="12"/>
  <c r="Q702" i="12"/>
  <c r="Q706" i="12"/>
  <c r="Q710" i="12"/>
  <c r="Q714" i="12"/>
  <c r="Q718" i="12"/>
  <c r="Q722" i="12"/>
  <c r="Q726" i="12"/>
  <c r="Q730" i="12"/>
  <c r="Q734" i="12"/>
  <c r="Q738" i="12"/>
  <c r="Q742" i="12"/>
  <c r="Q746" i="12"/>
  <c r="Q748" i="12"/>
  <c r="Q750" i="12"/>
  <c r="Q752" i="12"/>
  <c r="Q754" i="12"/>
  <c r="Q756" i="12"/>
  <c r="Q758" i="12"/>
  <c r="Q760" i="12"/>
  <c r="Q762" i="12"/>
  <c r="Q764" i="12"/>
  <c r="Q766" i="12"/>
  <c r="Q768" i="12"/>
  <c r="Q770" i="12"/>
  <c r="Q772" i="12"/>
  <c r="Q774" i="12"/>
  <c r="Q776" i="12"/>
  <c r="Q778" i="12"/>
  <c r="Q780" i="12"/>
  <c r="Q782" i="12"/>
  <c r="Q784" i="12"/>
  <c r="Q786" i="12"/>
  <c r="Q788" i="12"/>
  <c r="Q790" i="12"/>
  <c r="Q792" i="12"/>
  <c r="Q794" i="12"/>
  <c r="Q796" i="12"/>
  <c r="Q798" i="12"/>
  <c r="Q800" i="12"/>
  <c r="Q802" i="12"/>
  <c r="Q804" i="12"/>
  <c r="Q806" i="12"/>
  <c r="Q808" i="12"/>
  <c r="Q810" i="12"/>
  <c r="Q812" i="12"/>
  <c r="Q814" i="12"/>
  <c r="Q816" i="12"/>
  <c r="Q818" i="12"/>
  <c r="Q820" i="12"/>
  <c r="Q822" i="12"/>
  <c r="Q824" i="12"/>
  <c r="Q826" i="12"/>
  <c r="Q828" i="12"/>
  <c r="Q830" i="12"/>
  <c r="Q832" i="12"/>
  <c r="Q834" i="12"/>
  <c r="Q836" i="12"/>
  <c r="Q838" i="12"/>
  <c r="Q840" i="12"/>
  <c r="Q842" i="12"/>
  <c r="Q844" i="12"/>
  <c r="Q846" i="12"/>
  <c r="Q848" i="12"/>
  <c r="Q850" i="12"/>
  <c r="Q852" i="12"/>
  <c r="Q854" i="12"/>
  <c r="Q856" i="12"/>
  <c r="Q858" i="12"/>
  <c r="Q860" i="12"/>
  <c r="Q862" i="12"/>
  <c r="Q864" i="12"/>
  <c r="Q866" i="12"/>
  <c r="Q868" i="12"/>
  <c r="Q870" i="12"/>
  <c r="Q872" i="12"/>
  <c r="Q874" i="12"/>
  <c r="Q876" i="12"/>
  <c r="Q878" i="12"/>
  <c r="Q880" i="12"/>
  <c r="Q882" i="12"/>
  <c r="Q884" i="12"/>
  <c r="Q886" i="12"/>
  <c r="Q888" i="12"/>
  <c r="Q890" i="12"/>
  <c r="Q892" i="12"/>
  <c r="Q894" i="12"/>
  <c r="Q896" i="12"/>
  <c r="Q898" i="12"/>
  <c r="Q900" i="12"/>
  <c r="Q902" i="12"/>
  <c r="Q904" i="12"/>
  <c r="Q906" i="12"/>
  <c r="Q908" i="12"/>
  <c r="Q910" i="12"/>
  <c r="Q912" i="12"/>
  <c r="Q914" i="12"/>
  <c r="Q916" i="12"/>
  <c r="Q918" i="12"/>
  <c r="Q920" i="12"/>
  <c r="Q922" i="12"/>
  <c r="Q924" i="12"/>
  <c r="Q926" i="12"/>
  <c r="Q928" i="12"/>
  <c r="Q930" i="12"/>
  <c r="Q932" i="12"/>
  <c r="Q934" i="12"/>
  <c r="Q936" i="12"/>
  <c r="Q938" i="12"/>
  <c r="Q940" i="12"/>
  <c r="Q942" i="12"/>
  <c r="Q944" i="12"/>
  <c r="Q946" i="12"/>
  <c r="Q948" i="12"/>
  <c r="Q950" i="12"/>
  <c r="Q952" i="12"/>
  <c r="Q954" i="12"/>
  <c r="Q956" i="12"/>
  <c r="Q958" i="12"/>
  <c r="Q960" i="12"/>
  <c r="Q962" i="12"/>
  <c r="Q964" i="12"/>
  <c r="Q966" i="12"/>
  <c r="Q968" i="12"/>
  <c r="Q970" i="12"/>
  <c r="Q972" i="12"/>
  <c r="Q974" i="12"/>
  <c r="Q976" i="12"/>
  <c r="Q978" i="12"/>
  <c r="Q980" i="12"/>
  <c r="Q982" i="12"/>
  <c r="Q661" i="12"/>
  <c r="Q665" i="12"/>
  <c r="Q669" i="12"/>
  <c r="Q673" i="12"/>
  <c r="Q677" i="12"/>
  <c r="Q681" i="12"/>
  <c r="Q685" i="12"/>
  <c r="Q689" i="12"/>
  <c r="Q693" i="12"/>
  <c r="Q697" i="12"/>
  <c r="Q701" i="12"/>
  <c r="Q705" i="12"/>
  <c r="Q709" i="12"/>
  <c r="Q713" i="12"/>
  <c r="Q717" i="12"/>
  <c r="Q725" i="12"/>
  <c r="Q733" i="12"/>
  <c r="Q737" i="12"/>
  <c r="Q741" i="12"/>
  <c r="Q745" i="12"/>
  <c r="Q985" i="12"/>
  <c r="Q989" i="12"/>
  <c r="Q993" i="12"/>
  <c r="Q997" i="12"/>
  <c r="Q1001" i="12"/>
  <c r="Q1005" i="12"/>
  <c r="Q1009" i="12"/>
  <c r="Q1013" i="12"/>
  <c r="Q1017" i="12"/>
  <c r="Q1021" i="12"/>
  <c r="Q1025" i="12"/>
  <c r="Q1029" i="12"/>
  <c r="Q1033" i="12"/>
  <c r="Q1037" i="12"/>
  <c r="Q1041" i="12"/>
  <c r="Q1045" i="12"/>
  <c r="Q1049" i="12"/>
  <c r="Q1053" i="12"/>
  <c r="Q1057" i="12"/>
  <c r="Q1061" i="12"/>
  <c r="Q1065" i="12"/>
  <c r="Q1069" i="12"/>
  <c r="Q1073" i="12"/>
  <c r="Q1077" i="12"/>
  <c r="Q1081" i="12"/>
  <c r="Q1085" i="12"/>
  <c r="Q1089" i="12"/>
  <c r="Q1093" i="12"/>
  <c r="Q1097" i="12"/>
  <c r="Q1101" i="12"/>
  <c r="Q1105" i="12"/>
  <c r="Q1109" i="12"/>
  <c r="Q1113" i="12"/>
  <c r="Q1117" i="12"/>
  <c r="Q1121" i="12"/>
  <c r="Q1125" i="12"/>
  <c r="Q1129" i="12"/>
  <c r="Q1133" i="12"/>
  <c r="Q1137" i="12"/>
  <c r="Q1141" i="12"/>
  <c r="Q1145" i="12"/>
  <c r="Q1149" i="12"/>
  <c r="Q1153" i="12"/>
  <c r="Q1157" i="12"/>
  <c r="Q1161" i="12"/>
  <c r="Q1165" i="12"/>
  <c r="Q1169" i="12"/>
  <c r="Q1173" i="12"/>
  <c r="Q1177" i="12"/>
  <c r="Q1181" i="12"/>
  <c r="Q1185" i="12"/>
  <c r="Q1189" i="12"/>
  <c r="Q1193" i="12"/>
  <c r="Q1197" i="12"/>
  <c r="Q1201" i="12"/>
  <c r="Q1205" i="12"/>
  <c r="Q1209" i="12"/>
  <c r="Q1213" i="12"/>
  <c r="Q1217" i="12"/>
  <c r="Q1221" i="12"/>
  <c r="Q1225" i="12"/>
  <c r="Q1229" i="12"/>
  <c r="Q1233" i="12"/>
  <c r="Q1237" i="12"/>
  <c r="Q1241" i="12"/>
  <c r="Q1245" i="12"/>
  <c r="Q1249" i="12"/>
  <c r="Q1253" i="12"/>
  <c r="Q1257" i="12"/>
  <c r="Q1261" i="12"/>
  <c r="Q1265" i="12"/>
  <c r="Q1269" i="12"/>
  <c r="Q1273" i="12"/>
  <c r="Q1277" i="12"/>
  <c r="Q1281" i="12"/>
  <c r="Q1285" i="12"/>
  <c r="Q1289" i="12"/>
  <c r="Q1293" i="12"/>
  <c r="Q1297" i="12"/>
  <c r="Q1301" i="12"/>
  <c r="Q1305" i="12"/>
  <c r="Q1309" i="12"/>
  <c r="Q1313" i="12"/>
  <c r="Q1317" i="12"/>
  <c r="Q1321" i="12"/>
  <c r="Q1325" i="12"/>
  <c r="Q1329" i="12"/>
  <c r="Q1333" i="12"/>
  <c r="Q1337" i="12"/>
  <c r="Q1341" i="12"/>
  <c r="Q1345" i="12"/>
  <c r="Q1349" i="12"/>
  <c r="Q1353" i="12"/>
  <c r="Q1357" i="12"/>
  <c r="Q1361" i="12"/>
  <c r="Q1365" i="12"/>
  <c r="Q1369" i="12"/>
  <c r="Q1373" i="12"/>
  <c r="Q1377" i="12"/>
  <c r="Q1381" i="12"/>
  <c r="Q1385" i="12"/>
  <c r="Q1389" i="12"/>
  <c r="Q1393" i="12"/>
  <c r="Q1397" i="12"/>
  <c r="Q1400" i="12"/>
  <c r="Q1402" i="12"/>
  <c r="Q1404" i="12"/>
  <c r="Q1406" i="12"/>
  <c r="Q1408" i="12"/>
  <c r="Q1410" i="12"/>
  <c r="Q1412" i="12"/>
  <c r="Q1414" i="12"/>
  <c r="Q1416" i="12"/>
  <c r="Q1418" i="12"/>
  <c r="Q1420" i="12"/>
  <c r="Q1422" i="12"/>
  <c r="Q1424" i="12"/>
  <c r="Q1426" i="12"/>
  <c r="Q1428" i="12"/>
  <c r="Q1430" i="12"/>
  <c r="Q1432" i="12"/>
  <c r="Q1434" i="12"/>
  <c r="Q1436" i="12"/>
  <c r="Q1438" i="12"/>
  <c r="Q1440" i="12"/>
  <c r="Q1442" i="12"/>
  <c r="Q1444" i="12"/>
  <c r="Q1448" i="12"/>
  <c r="Q1451" i="12"/>
  <c r="Q1455" i="12"/>
  <c r="Q1459" i="12"/>
  <c r="Q1463" i="12"/>
  <c r="Q1467" i="12"/>
  <c r="Q1471" i="12"/>
  <c r="Q1475" i="12"/>
  <c r="Q1478" i="12"/>
  <c r="Q1482" i="12"/>
  <c r="Q984" i="12"/>
  <c r="Q988" i="12"/>
  <c r="Q992" i="12"/>
  <c r="Q996" i="12"/>
  <c r="Q1000" i="12"/>
  <c r="Q1004" i="12"/>
  <c r="Q1008" i="12"/>
  <c r="Q1012" i="12"/>
  <c r="Q1016" i="12"/>
  <c r="Q1020" i="12"/>
  <c r="Q1024" i="12"/>
  <c r="Q1028" i="12"/>
  <c r="Q1032" i="12"/>
  <c r="Q1036" i="12"/>
  <c r="Q1040" i="12"/>
  <c r="Q1044" i="12"/>
  <c r="Q1048" i="12"/>
  <c r="Q1052" i="12"/>
  <c r="Q1056" i="12"/>
  <c r="Q1060" i="12"/>
  <c r="Q1064" i="12"/>
  <c r="Q1068" i="12"/>
  <c r="Q1072" i="12"/>
  <c r="Q1076" i="12"/>
  <c r="Q1080" i="12"/>
  <c r="Q1084" i="12"/>
  <c r="Q1088" i="12"/>
  <c r="Q1092" i="12"/>
  <c r="Q1096" i="12"/>
  <c r="Q1100" i="12"/>
  <c r="Q1104" i="12"/>
  <c r="Q1108" i="12"/>
  <c r="Q1112" i="12"/>
  <c r="Q1116" i="12"/>
  <c r="Q1120" i="12"/>
  <c r="Q1124" i="12"/>
  <c r="Q1128" i="12"/>
  <c r="Q1132" i="12"/>
  <c r="Q1136" i="12"/>
  <c r="Q1140" i="12"/>
  <c r="Q1144" i="12"/>
  <c r="Q1148" i="12"/>
  <c r="Q1152" i="12"/>
  <c r="Q1156" i="12"/>
  <c r="Q1160" i="12"/>
  <c r="Q1164" i="12"/>
  <c r="Q1168" i="12"/>
  <c r="Q1172" i="12"/>
  <c r="Q1176" i="12"/>
  <c r="Q1180" i="12"/>
  <c r="Q1184" i="12"/>
  <c r="Q1188" i="12"/>
  <c r="Q1192" i="12"/>
  <c r="Q1196" i="12"/>
  <c r="Q1200" i="12"/>
  <c r="Q1204" i="12"/>
  <c r="Q1208" i="12"/>
  <c r="Q1212" i="12"/>
  <c r="Q1216" i="12"/>
  <c r="Q1220" i="12"/>
  <c r="Q1224" i="12"/>
  <c r="Q1228" i="12"/>
  <c r="Q1232" i="12"/>
  <c r="Q1236" i="12"/>
  <c r="Q1240" i="12"/>
  <c r="Q1244" i="12"/>
  <c r="Q1248" i="12"/>
  <c r="Q1252" i="12"/>
  <c r="Q1256" i="12"/>
  <c r="Q1260" i="12"/>
  <c r="Q1264" i="12"/>
  <c r="Q1268" i="12"/>
  <c r="Q1272" i="12"/>
  <c r="Q1276" i="12"/>
  <c r="Q1280" i="12"/>
  <c r="Q1284" i="12"/>
  <c r="Q1288" i="12"/>
  <c r="Q1292" i="12"/>
  <c r="Q1296" i="12"/>
  <c r="Q1300" i="12"/>
  <c r="Q1304" i="12"/>
  <c r="Q1308" i="12"/>
  <c r="Q1312" i="12"/>
  <c r="Q1316" i="12"/>
  <c r="Q1320" i="12"/>
  <c r="Q1324" i="12"/>
  <c r="Q1328" i="12"/>
  <c r="Q1332" i="12"/>
  <c r="Q1336" i="12"/>
  <c r="Q1340" i="12"/>
  <c r="Q1344" i="12"/>
  <c r="Q1348" i="12"/>
  <c r="Q1352" i="12"/>
  <c r="Q1356" i="12"/>
  <c r="Q1360" i="12"/>
  <c r="Q1364" i="12"/>
  <c r="Q1368" i="12"/>
  <c r="Q1372" i="12"/>
  <c r="Q1376" i="12"/>
  <c r="Q1380" i="12"/>
  <c r="Q1384" i="12"/>
  <c r="Q1388" i="12"/>
  <c r="Q1392" i="12"/>
  <c r="Q1396" i="12"/>
  <c r="Q1445" i="12"/>
  <c r="Q1450" i="12"/>
  <c r="Q1454" i="12"/>
  <c r="Q1458" i="12"/>
  <c r="Q1462" i="12"/>
  <c r="Q1466" i="12"/>
  <c r="Q1470" i="12"/>
  <c r="Q1474" i="12"/>
  <c r="Q1479" i="12"/>
  <c r="Q1483" i="12"/>
  <c r="Q721" i="12"/>
  <c r="Q729" i="12"/>
  <c r="Q735" i="12"/>
  <c r="Q739" i="12"/>
  <c r="Q743" i="12"/>
  <c r="Q983" i="12"/>
  <c r="Q987" i="12"/>
  <c r="Q991" i="12"/>
  <c r="Q995" i="12"/>
  <c r="Q999" i="12"/>
  <c r="Q1003" i="12"/>
  <c r="Q1007" i="12"/>
  <c r="Q1011" i="12"/>
  <c r="Q1015" i="12"/>
  <c r="Q1019" i="12"/>
  <c r="Q1023" i="12"/>
  <c r="Q1027" i="12"/>
  <c r="Q1031" i="12"/>
  <c r="Q1035" i="12"/>
  <c r="Q1039" i="12"/>
  <c r="Q1043" i="12"/>
  <c r="Q1047" i="12"/>
  <c r="Q1051" i="12"/>
  <c r="Q1055" i="12"/>
  <c r="Q1059" i="12"/>
  <c r="Q1063" i="12"/>
  <c r="Q1067" i="12"/>
  <c r="Q1071" i="12"/>
  <c r="Q1075" i="12"/>
  <c r="Q1079" i="12"/>
  <c r="Q1083" i="12"/>
  <c r="Q1087" i="12"/>
  <c r="Q1091" i="12"/>
  <c r="Q1095" i="12"/>
  <c r="Q1099" i="12"/>
  <c r="Q1103" i="12"/>
  <c r="Q1107" i="12"/>
  <c r="Q1111" i="12"/>
  <c r="Q1115" i="12"/>
  <c r="Q1119" i="12"/>
  <c r="Q1123" i="12"/>
  <c r="Q1127" i="12"/>
  <c r="Q1131" i="12"/>
  <c r="Q1135" i="12"/>
  <c r="Q1139" i="12"/>
  <c r="Q1143" i="12"/>
  <c r="Q1147" i="12"/>
  <c r="Q1151" i="12"/>
  <c r="Q1155" i="12"/>
  <c r="Q1159" i="12"/>
  <c r="Q1163" i="12"/>
  <c r="Q1167" i="12"/>
  <c r="Q1171" i="12"/>
  <c r="Q1175" i="12"/>
  <c r="Q1179" i="12"/>
  <c r="Q1183" i="12"/>
  <c r="Q1187" i="12"/>
  <c r="Q1191" i="12"/>
  <c r="Q1195" i="12"/>
  <c r="Q1199" i="12"/>
  <c r="Q1203" i="12"/>
  <c r="Q1207" i="12"/>
  <c r="Q1211" i="12"/>
  <c r="Q1215" i="12"/>
  <c r="Q1219" i="12"/>
  <c r="Q1223" i="12"/>
  <c r="Q1227" i="12"/>
  <c r="Q1231" i="12"/>
  <c r="Q1235" i="12"/>
  <c r="Q1239" i="12"/>
  <c r="Q1243" i="12"/>
  <c r="Q1247" i="12"/>
  <c r="Q1251" i="12"/>
  <c r="Q1255" i="12"/>
  <c r="Q1259" i="12"/>
  <c r="Q1263" i="12"/>
  <c r="Q1267" i="12"/>
  <c r="Q1271" i="12"/>
  <c r="Q1275" i="12"/>
  <c r="Q1279" i="12"/>
  <c r="Q1283" i="12"/>
  <c r="Q1287" i="12"/>
  <c r="Q1291" i="12"/>
  <c r="Q1295" i="12"/>
  <c r="Q1299" i="12"/>
  <c r="Q1303" i="12"/>
  <c r="Q1307" i="12"/>
  <c r="Q1311" i="12"/>
  <c r="Q1315" i="12"/>
  <c r="Q1319" i="12"/>
  <c r="Q1323" i="12"/>
  <c r="Q1327" i="12"/>
  <c r="Q1331" i="12"/>
  <c r="Q1335" i="12"/>
  <c r="Q1339" i="12"/>
  <c r="Q1343" i="12"/>
  <c r="Q1347" i="12"/>
  <c r="Q1351" i="12"/>
  <c r="Q1355" i="12"/>
  <c r="Q1359" i="12"/>
  <c r="Q1363" i="12"/>
  <c r="Q1367" i="12"/>
  <c r="Q1371" i="12"/>
  <c r="Q1375" i="12"/>
  <c r="Q1379" i="12"/>
  <c r="Q1383" i="12"/>
  <c r="Q1387" i="12"/>
  <c r="Q1391" i="12"/>
  <c r="Q1395" i="12"/>
  <c r="Q1399" i="12"/>
  <c r="Q1401" i="12"/>
  <c r="Q1403" i="12"/>
  <c r="Q1405" i="12"/>
  <c r="Q1407" i="12"/>
  <c r="Q1409" i="12"/>
  <c r="Q1411" i="12"/>
  <c r="Q1413" i="12"/>
  <c r="Q1415" i="12"/>
  <c r="Q1417" i="12"/>
  <c r="Q1419" i="12"/>
  <c r="Q1421" i="12"/>
  <c r="Q1423" i="12"/>
  <c r="Q1425" i="12"/>
  <c r="Q1427" i="12"/>
  <c r="Q1429" i="12"/>
  <c r="Q1431" i="12"/>
  <c r="Q1433" i="12"/>
  <c r="Q1435" i="12"/>
  <c r="Q1437" i="12"/>
  <c r="Q1439" i="12"/>
  <c r="Q1441" i="12"/>
  <c r="Q1443" i="12"/>
  <c r="Q1446" i="12"/>
  <c r="Q1449" i="12"/>
  <c r="Q1453" i="12"/>
  <c r="Q1457" i="12"/>
  <c r="Q1461" i="12"/>
  <c r="Q1465" i="12"/>
  <c r="Q1469" i="12"/>
  <c r="Q1473" i="12"/>
  <c r="Q1476" i="12"/>
  <c r="Q1480" i="12"/>
  <c r="Q1484" i="12"/>
  <c r="Q986" i="12"/>
  <c r="Q990" i="12"/>
  <c r="Q994" i="12"/>
  <c r="Q998" i="12"/>
  <c r="Q1002" i="12"/>
  <c r="Q1006" i="12"/>
  <c r="Q1010" i="12"/>
  <c r="Q1014" i="12"/>
  <c r="Q1018" i="12"/>
  <c r="Q1022" i="12"/>
  <c r="Q1026" i="12"/>
  <c r="Q1030" i="12"/>
  <c r="Q1034" i="12"/>
  <c r="Q1038" i="12"/>
  <c r="Q1042" i="12"/>
  <c r="Q1046" i="12"/>
  <c r="Q1050" i="12"/>
  <c r="Q1054" i="12"/>
  <c r="Q1058" i="12"/>
  <c r="Q1062" i="12"/>
  <c r="Q1066" i="12"/>
  <c r="Q1070" i="12"/>
  <c r="Q1074" i="12"/>
  <c r="Q1078" i="12"/>
  <c r="Q1082" i="12"/>
  <c r="Q1086" i="12"/>
  <c r="Q1090" i="12"/>
  <c r="Q1094" i="12"/>
  <c r="Q1098" i="12"/>
  <c r="Q1102" i="12"/>
  <c r="Q1106" i="12"/>
  <c r="Q1110" i="12"/>
  <c r="Q1114" i="12"/>
  <c r="Q1118" i="12"/>
  <c r="Q1122" i="12"/>
  <c r="Q1126" i="12"/>
  <c r="Q1130" i="12"/>
  <c r="Q1134" i="12"/>
  <c r="Q1138" i="12"/>
  <c r="Q1142" i="12"/>
  <c r="Q1146" i="12"/>
  <c r="Q1150" i="12"/>
  <c r="Q1154" i="12"/>
  <c r="Q1158" i="12"/>
  <c r="Q1162" i="12"/>
  <c r="Q1166" i="12"/>
  <c r="Q1170" i="12"/>
  <c r="Q1174" i="12"/>
  <c r="Q1178" i="12"/>
  <c r="Q1182" i="12"/>
  <c r="Q1186" i="12"/>
  <c r="Q1190" i="12"/>
  <c r="Q1194" i="12"/>
  <c r="Q1198" i="12"/>
  <c r="Q1202" i="12"/>
  <c r="Q1206" i="12"/>
  <c r="Q1210" i="12"/>
  <c r="Q1214" i="12"/>
  <c r="Q1218" i="12"/>
  <c r="Q1222" i="12"/>
  <c r="Q1226" i="12"/>
  <c r="Q1230" i="12"/>
  <c r="Q1234" i="12"/>
  <c r="Q1238" i="12"/>
  <c r="Q1242" i="12"/>
  <c r="Q1246" i="12"/>
  <c r="Q1250" i="12"/>
  <c r="Q1254" i="12"/>
  <c r="Q1258" i="12"/>
  <c r="Q1262" i="12"/>
  <c r="Q1266" i="12"/>
  <c r="Q1270" i="12"/>
  <c r="Q1274" i="12"/>
  <c r="Q1278" i="12"/>
  <c r="Q1282" i="12"/>
  <c r="Q1286" i="12"/>
  <c r="Q1290" i="12"/>
  <c r="Q1294" i="12"/>
  <c r="Q1298" i="12"/>
  <c r="Q1302" i="12"/>
  <c r="Q1306" i="12"/>
  <c r="Q1310" i="12"/>
  <c r="Q1314" i="12"/>
  <c r="Q1318" i="12"/>
  <c r="Q1322" i="12"/>
  <c r="Q1326" i="12"/>
  <c r="Q1330" i="12"/>
  <c r="Q1334" i="12"/>
  <c r="Q1338" i="12"/>
  <c r="Q1342" i="12"/>
  <c r="Q1346" i="12"/>
  <c r="Q1350" i="12"/>
  <c r="Q1354" i="12"/>
  <c r="Q1358" i="12"/>
  <c r="Q1362" i="12"/>
  <c r="Q1366" i="12"/>
  <c r="Q1370" i="12"/>
  <c r="Q1374" i="12"/>
  <c r="Q1378" i="12"/>
  <c r="Q1382" i="12"/>
  <c r="Q1386" i="12"/>
  <c r="Q1390" i="12"/>
  <c r="Q1394" i="12"/>
  <c r="Q1398" i="12"/>
  <c r="Q1447" i="12"/>
  <c r="Q1452" i="12"/>
  <c r="Q1456" i="12"/>
  <c r="Q1460" i="12"/>
  <c r="Q1464" i="12"/>
  <c r="Q1468" i="12"/>
  <c r="Q1472" i="12"/>
  <c r="Q1477" i="12"/>
  <c r="Q1481" i="12"/>
  <c r="J25" i="13"/>
  <c r="J31" i="13"/>
  <c r="J35" i="13"/>
  <c r="J39" i="13"/>
  <c r="J5" i="13"/>
  <c r="J7" i="13"/>
  <c r="J9" i="13"/>
  <c r="J11" i="13"/>
  <c r="J13" i="13"/>
  <c r="J15" i="13"/>
  <c r="J18" i="13"/>
  <c r="J20" i="13"/>
  <c r="J22" i="13"/>
  <c r="J24" i="13"/>
  <c r="J27" i="13"/>
  <c r="J30" i="13"/>
  <c r="J34" i="13"/>
  <c r="J38" i="13"/>
  <c r="K4" i="11"/>
  <c r="K6" i="11"/>
  <c r="K10" i="11"/>
  <c r="K14" i="11"/>
  <c r="K18" i="11"/>
  <c r="K22" i="11"/>
  <c r="K26" i="11"/>
  <c r="K30" i="11"/>
  <c r="K34" i="11"/>
  <c r="K38" i="11"/>
  <c r="K42" i="11"/>
  <c r="K46" i="11"/>
  <c r="K50" i="11"/>
  <c r="K54" i="11"/>
  <c r="K58" i="11"/>
  <c r="K62" i="11"/>
  <c r="K66" i="11"/>
  <c r="K70" i="11"/>
  <c r="K74" i="11"/>
  <c r="K78" i="11"/>
  <c r="K82" i="11"/>
  <c r="K86" i="11"/>
  <c r="K89" i="11"/>
  <c r="K91" i="11"/>
  <c r="K93" i="11"/>
  <c r="K95" i="11"/>
  <c r="K97" i="11"/>
  <c r="K99" i="11"/>
  <c r="K101" i="11"/>
  <c r="K103" i="11"/>
  <c r="K105" i="11"/>
  <c r="K107" i="11"/>
  <c r="K109" i="11"/>
  <c r="K111" i="11"/>
  <c r="K113" i="11"/>
  <c r="K7" i="11"/>
  <c r="K11" i="11"/>
  <c r="K15" i="11"/>
  <c r="K19" i="11"/>
  <c r="K23" i="11"/>
  <c r="K27" i="11"/>
  <c r="K31" i="11"/>
  <c r="K35" i="11"/>
  <c r="K39" i="11"/>
  <c r="K43" i="11"/>
  <c r="K47" i="11"/>
  <c r="K51" i="11"/>
  <c r="K55" i="11"/>
  <c r="K59" i="11"/>
  <c r="K63" i="11"/>
  <c r="K67" i="11"/>
  <c r="K71" i="11"/>
  <c r="K75" i="11"/>
  <c r="K79" i="11"/>
  <c r="K83" i="11"/>
  <c r="K87" i="11"/>
  <c r="K117" i="11"/>
  <c r="K121" i="11"/>
  <c r="K125" i="11"/>
  <c r="K129" i="11"/>
  <c r="K133" i="11"/>
  <c r="K137" i="11"/>
  <c r="K141" i="11"/>
  <c r="K145" i="11"/>
  <c r="K118" i="11"/>
  <c r="K122" i="11"/>
  <c r="K126" i="11"/>
  <c r="K130" i="11"/>
  <c r="K134" i="11"/>
  <c r="K138" i="11"/>
  <c r="K142" i="11"/>
  <c r="K146" i="11"/>
  <c r="K148" i="11"/>
  <c r="K150" i="11"/>
  <c r="K152" i="11"/>
  <c r="K154" i="11"/>
  <c r="K156" i="11"/>
  <c r="K158" i="11"/>
  <c r="K160" i="11"/>
  <c r="K162" i="11"/>
  <c r="K164" i="11"/>
  <c r="K166" i="11"/>
  <c r="K168" i="11"/>
  <c r="K170" i="11"/>
  <c r="K172" i="11"/>
  <c r="K174" i="11"/>
  <c r="K176" i="11"/>
  <c r="K178" i="11"/>
  <c r="K180" i="11"/>
  <c r="K182" i="11"/>
  <c r="K184" i="11"/>
  <c r="K186" i="11"/>
  <c r="K188" i="11"/>
  <c r="K190" i="11"/>
  <c r="K192" i="11"/>
  <c r="K194" i="11"/>
  <c r="K196" i="11"/>
  <c r="K198" i="11"/>
  <c r="K202" i="11"/>
  <c r="K206" i="11"/>
  <c r="K210" i="11"/>
  <c r="K214" i="11"/>
  <c r="K218" i="11"/>
  <c r="K222" i="11"/>
  <c r="K226" i="11"/>
  <c r="K230" i="11"/>
  <c r="K234" i="11"/>
  <c r="K238" i="11"/>
  <c r="K242" i="11"/>
  <c r="K246" i="11"/>
  <c r="K250" i="11"/>
  <c r="K254" i="11"/>
  <c r="K258" i="11"/>
  <c r="K262" i="11"/>
  <c r="K266" i="11"/>
  <c r="K270" i="11"/>
  <c r="K274" i="11"/>
  <c r="K278" i="11"/>
  <c r="K282" i="11"/>
  <c r="K286" i="11"/>
  <c r="K290" i="11"/>
  <c r="K294" i="11"/>
  <c r="K298" i="11"/>
  <c r="K302" i="11"/>
  <c r="K306" i="11"/>
  <c r="K308" i="11"/>
  <c r="K310" i="11"/>
  <c r="K312" i="11"/>
  <c r="K314" i="11"/>
  <c r="K316" i="11"/>
  <c r="K318" i="11"/>
  <c r="K320" i="11"/>
  <c r="K322" i="11"/>
  <c r="K324" i="11"/>
  <c r="K326" i="11"/>
  <c r="K328" i="11"/>
  <c r="K330" i="11"/>
  <c r="K332" i="11"/>
  <c r="K334" i="11"/>
  <c r="K336" i="11"/>
  <c r="K338" i="11"/>
  <c r="K340" i="11"/>
  <c r="K342" i="11"/>
  <c r="K344" i="11"/>
  <c r="K346" i="11"/>
  <c r="K348" i="11"/>
  <c r="K350" i="11"/>
  <c r="K352" i="11"/>
  <c r="K354" i="11"/>
  <c r="K356" i="11"/>
  <c r="K358" i="11"/>
  <c r="K201" i="11"/>
  <c r="K205" i="11"/>
  <c r="K209" i="11"/>
  <c r="K213" i="11"/>
  <c r="K217" i="11"/>
  <c r="K221" i="11"/>
  <c r="K225" i="11"/>
  <c r="K229" i="11"/>
  <c r="K233" i="11"/>
  <c r="K237" i="11"/>
  <c r="K241" i="11"/>
  <c r="K245" i="11"/>
  <c r="K249" i="11"/>
  <c r="K253" i="11"/>
  <c r="K257" i="11"/>
  <c r="K261" i="11"/>
  <c r="K265" i="11"/>
  <c r="K269" i="11"/>
  <c r="K273" i="11"/>
  <c r="K277" i="11"/>
  <c r="K281" i="11"/>
  <c r="K285" i="11"/>
  <c r="K289" i="11"/>
  <c r="K293" i="11"/>
  <c r="K297" i="11"/>
  <c r="K301" i="11"/>
  <c r="K305" i="11"/>
  <c r="K361" i="11"/>
  <c r="K365" i="11"/>
  <c r="K369" i="11"/>
  <c r="K373" i="11"/>
  <c r="K377" i="11"/>
  <c r="K381" i="11"/>
  <c r="K385" i="11"/>
  <c r="K389" i="11"/>
  <c r="K393" i="11"/>
  <c r="K397" i="11"/>
  <c r="K401" i="11"/>
  <c r="K405" i="11"/>
  <c r="K409" i="11"/>
  <c r="K413" i="11"/>
  <c r="K417" i="11"/>
  <c r="K421" i="11"/>
  <c r="K425" i="11"/>
  <c r="K429" i="11"/>
  <c r="K433" i="11"/>
  <c r="K437" i="11"/>
  <c r="K512" i="11"/>
  <c r="K518" i="11"/>
  <c r="K522" i="11"/>
  <c r="K526" i="11"/>
  <c r="K529" i="11"/>
  <c r="K533" i="11"/>
  <c r="K537" i="11"/>
  <c r="K541" i="11"/>
  <c r="K545" i="11"/>
  <c r="K549" i="11"/>
  <c r="K553" i="11"/>
  <c r="K557" i="11"/>
  <c r="K561" i="11"/>
  <c r="K565" i="11"/>
  <c r="K568" i="11"/>
  <c r="K572" i="11"/>
  <c r="K576" i="11"/>
  <c r="K580" i="11"/>
  <c r="K584" i="11"/>
  <c r="K588" i="11"/>
  <c r="K592" i="11"/>
  <c r="K596" i="11"/>
  <c r="K600" i="11"/>
  <c r="K604" i="11"/>
  <c r="K608" i="11"/>
  <c r="K612" i="11"/>
  <c r="K616" i="11"/>
  <c r="K620" i="11"/>
  <c r="K624" i="11"/>
  <c r="K628" i="11"/>
  <c r="K632" i="11"/>
  <c r="K362" i="11"/>
  <c r="K366" i="11"/>
  <c r="K370" i="11"/>
  <c r="K374" i="11"/>
  <c r="K378" i="11"/>
  <c r="K382" i="11"/>
  <c r="K386" i="11"/>
  <c r="K390" i="11"/>
  <c r="K394" i="11"/>
  <c r="K398" i="11"/>
  <c r="K402" i="11"/>
  <c r="K406" i="11"/>
  <c r="K410" i="11"/>
  <c r="K414" i="11"/>
  <c r="K418" i="11"/>
  <c r="K422" i="11"/>
  <c r="K426" i="11"/>
  <c r="K430" i="11"/>
  <c r="K434" i="11"/>
  <c r="K438" i="11"/>
  <c r="K441" i="11"/>
  <c r="K443" i="11"/>
  <c r="K445" i="11"/>
  <c r="K447" i="11"/>
  <c r="K449" i="11"/>
  <c r="K451" i="11"/>
  <c r="K453" i="11"/>
  <c r="K455" i="11"/>
  <c r="K457" i="11"/>
  <c r="K459" i="11"/>
  <c r="K461" i="11"/>
  <c r="K463" i="11"/>
  <c r="K465" i="11"/>
  <c r="K467" i="11"/>
  <c r="K469" i="11"/>
  <c r="K471" i="11"/>
  <c r="K473" i="11"/>
  <c r="K475" i="11"/>
  <c r="K477" i="11"/>
  <c r="K479" i="11"/>
  <c r="K481" i="11"/>
  <c r="K483" i="11"/>
  <c r="K485" i="11"/>
  <c r="K487" i="11"/>
  <c r="K489" i="11"/>
  <c r="K491" i="11"/>
  <c r="K493" i="11"/>
  <c r="K495" i="11"/>
  <c r="K497" i="11"/>
  <c r="K499" i="11"/>
  <c r="K501" i="11"/>
  <c r="K503" i="11"/>
  <c r="K505" i="11"/>
  <c r="K507" i="11"/>
  <c r="K509" i="11"/>
  <c r="K511" i="11"/>
  <c r="K514" i="11"/>
  <c r="K517" i="11"/>
  <c r="K521" i="11"/>
  <c r="K525" i="11"/>
  <c r="K530" i="11"/>
  <c r="K534" i="11"/>
  <c r="K538" i="11"/>
  <c r="K542" i="11"/>
  <c r="K546" i="11"/>
  <c r="K550" i="11"/>
  <c r="K554" i="11"/>
  <c r="K558" i="11"/>
  <c r="K562" i="11"/>
  <c r="K566" i="11"/>
  <c r="K571" i="11"/>
  <c r="K575" i="11"/>
  <c r="K579" i="11"/>
  <c r="K583" i="11"/>
  <c r="K587" i="11"/>
  <c r="K591" i="11"/>
  <c r="K595" i="11"/>
  <c r="K599" i="11"/>
  <c r="K603" i="11"/>
  <c r="K607" i="11"/>
  <c r="K611" i="11"/>
  <c r="K615" i="11"/>
  <c r="K619" i="11"/>
  <c r="K623" i="11"/>
  <c r="K627" i="11"/>
  <c r="K631" i="11"/>
  <c r="I6" i="10"/>
  <c r="I10" i="10"/>
  <c r="I14" i="10"/>
  <c r="I18" i="10"/>
  <c r="I22" i="10"/>
  <c r="I26" i="10"/>
  <c r="I30" i="10"/>
  <c r="I34" i="10"/>
  <c r="I38" i="10"/>
  <c r="I42" i="10"/>
  <c r="I46" i="10"/>
  <c r="I50" i="10"/>
  <c r="I54" i="10"/>
  <c r="I58" i="10"/>
  <c r="I62" i="10"/>
  <c r="I66" i="10"/>
  <c r="I70" i="10"/>
  <c r="I74" i="10"/>
  <c r="I78" i="10"/>
  <c r="I82" i="10"/>
  <c r="I86" i="10"/>
  <c r="I90" i="10"/>
  <c r="I94" i="10"/>
  <c r="I98" i="10"/>
  <c r="I102" i="10"/>
  <c r="I106" i="10"/>
  <c r="I110" i="10"/>
  <c r="I114" i="10"/>
  <c r="I118" i="10"/>
  <c r="I122" i="10"/>
  <c r="I126" i="10"/>
  <c r="I130" i="10"/>
  <c r="I134" i="10"/>
  <c r="I138" i="10"/>
  <c r="I142" i="10"/>
  <c r="I146" i="10"/>
  <c r="I150" i="10"/>
  <c r="I154" i="10"/>
  <c r="I158" i="10"/>
  <c r="I162" i="10"/>
  <c r="I166" i="10"/>
  <c r="I170" i="10"/>
  <c r="I174" i="10"/>
  <c r="I178" i="10"/>
  <c r="I182" i="10"/>
  <c r="I186" i="10"/>
  <c r="I190" i="10"/>
  <c r="I194" i="10"/>
  <c r="I198" i="10"/>
  <c r="I202" i="10"/>
  <c r="I206" i="10"/>
  <c r="I210" i="10"/>
  <c r="I214" i="10"/>
  <c r="I218" i="10"/>
  <c r="I222" i="10"/>
  <c r="I226" i="10"/>
  <c r="I230" i="10"/>
  <c r="I234" i="10"/>
  <c r="I238" i="10"/>
  <c r="I242" i="10"/>
  <c r="I246" i="10"/>
  <c r="I250" i="10"/>
  <c r="I254" i="10"/>
  <c r="I5" i="10"/>
  <c r="I9" i="10"/>
  <c r="I13" i="10"/>
  <c r="I17" i="10"/>
  <c r="I21" i="10"/>
  <c r="I25" i="10"/>
  <c r="I29" i="10"/>
  <c r="I33" i="10"/>
  <c r="I37" i="10"/>
  <c r="I41" i="10"/>
  <c r="I45" i="10"/>
  <c r="I49" i="10"/>
  <c r="I53" i="10"/>
  <c r="I57" i="10"/>
  <c r="I61" i="10"/>
  <c r="I65" i="10"/>
  <c r="I69" i="10"/>
  <c r="I73" i="10"/>
  <c r="I77" i="10"/>
  <c r="I81" i="10"/>
  <c r="I85" i="10"/>
  <c r="I89" i="10"/>
  <c r="I93" i="10"/>
  <c r="I97" i="10"/>
  <c r="I101" i="10"/>
  <c r="I105" i="10"/>
  <c r="I109" i="10"/>
  <c r="I113" i="10"/>
  <c r="I117" i="10"/>
  <c r="I121" i="10"/>
  <c r="I125" i="10"/>
  <c r="I129" i="10"/>
  <c r="I133" i="10"/>
  <c r="I137" i="10"/>
  <c r="I141" i="10"/>
  <c r="I145" i="10"/>
  <c r="I149" i="10"/>
  <c r="I153" i="10"/>
  <c r="I157" i="10"/>
  <c r="I161" i="10"/>
  <c r="I165" i="10"/>
  <c r="I169" i="10"/>
  <c r="I173" i="10"/>
  <c r="I177" i="10"/>
  <c r="I181" i="10"/>
  <c r="I185" i="10"/>
  <c r="I189" i="10"/>
  <c r="I193" i="10"/>
  <c r="I197" i="10"/>
  <c r="I201" i="10"/>
  <c r="I205" i="10"/>
  <c r="I209" i="10"/>
  <c r="I213" i="10"/>
  <c r="I217" i="10"/>
  <c r="I221" i="10"/>
  <c r="I225" i="10"/>
  <c r="I229" i="10"/>
  <c r="I233" i="10"/>
  <c r="I237" i="10"/>
  <c r="I241" i="10"/>
  <c r="I245" i="10"/>
  <c r="I249" i="10"/>
  <c r="I253" i="10"/>
  <c r="I257" i="10"/>
  <c r="I260" i="10"/>
  <c r="I264" i="10"/>
  <c r="I268" i="10"/>
  <c r="I272" i="10"/>
  <c r="I276" i="10"/>
  <c r="I280" i="10"/>
  <c r="I284" i="10"/>
  <c r="I288" i="10"/>
  <c r="I292" i="10"/>
  <c r="I296" i="10"/>
  <c r="I300" i="10"/>
  <c r="I304" i="10"/>
  <c r="I308" i="10"/>
  <c r="I312" i="10"/>
  <c r="I316" i="10"/>
  <c r="I320" i="10"/>
  <c r="I324" i="10"/>
  <c r="I328" i="10"/>
  <c r="I332" i="10"/>
  <c r="I336" i="10"/>
  <c r="I340" i="10"/>
  <c r="I344" i="10"/>
  <c r="I348" i="10"/>
  <c r="I352" i="10"/>
  <c r="I356" i="10"/>
  <c r="I360" i="10"/>
  <c r="I364" i="10"/>
  <c r="I368" i="10"/>
  <c r="I372" i="10"/>
  <c r="I376" i="10"/>
  <c r="I380" i="10"/>
  <c r="I384" i="10"/>
  <c r="I388" i="10"/>
  <c r="I392" i="10"/>
  <c r="I396" i="10"/>
  <c r="I400" i="10"/>
  <c r="I404" i="10"/>
  <c r="I408" i="10"/>
  <c r="I412" i="10"/>
  <c r="I416" i="10"/>
  <c r="I420" i="10"/>
  <c r="I424" i="10"/>
  <c r="I428" i="10"/>
  <c r="I432" i="10"/>
  <c r="I436" i="10"/>
  <c r="I440" i="10"/>
  <c r="I444" i="10"/>
  <c r="I448" i="10"/>
  <c r="I452" i="10"/>
  <c r="I456" i="10"/>
  <c r="J16" i="13"/>
  <c r="J29" i="13"/>
  <c r="J33" i="13"/>
  <c r="J37" i="13"/>
  <c r="J4" i="13"/>
  <c r="J6" i="13"/>
  <c r="J8" i="13"/>
  <c r="J10" i="13"/>
  <c r="J12" i="13"/>
  <c r="J14" i="13"/>
  <c r="J17" i="13"/>
  <c r="J19" i="13"/>
  <c r="J21" i="13"/>
  <c r="J23" i="13"/>
  <c r="J26" i="13"/>
  <c r="J28" i="13"/>
  <c r="J32" i="13"/>
  <c r="J36" i="13"/>
  <c r="J40" i="13"/>
  <c r="K5" i="11"/>
  <c r="K8" i="11"/>
  <c r="K12" i="11"/>
  <c r="K16" i="11"/>
  <c r="K20" i="11"/>
  <c r="K24" i="11"/>
  <c r="K28" i="11"/>
  <c r="K32" i="11"/>
  <c r="K36" i="11"/>
  <c r="K40" i="11"/>
  <c r="K44" i="11"/>
  <c r="K48" i="11"/>
  <c r="K52" i="11"/>
  <c r="K56" i="11"/>
  <c r="K60" i="11"/>
  <c r="K64" i="11"/>
  <c r="K68" i="11"/>
  <c r="K72" i="11"/>
  <c r="K76" i="11"/>
  <c r="K80" i="11"/>
  <c r="K84" i="11"/>
  <c r="K88" i="11"/>
  <c r="K90" i="11"/>
  <c r="K92" i="11"/>
  <c r="K94" i="11"/>
  <c r="K96" i="11"/>
  <c r="K98" i="11"/>
  <c r="K100" i="11"/>
  <c r="K102" i="11"/>
  <c r="K104" i="11"/>
  <c r="K106" i="11"/>
  <c r="K108" i="11"/>
  <c r="K110" i="11"/>
  <c r="K112" i="11"/>
  <c r="K114" i="11"/>
  <c r="K9" i="11"/>
  <c r="K13" i="11"/>
  <c r="K17" i="11"/>
  <c r="K21" i="11"/>
  <c r="K25" i="11"/>
  <c r="K29" i="11"/>
  <c r="K33" i="11"/>
  <c r="K37" i="11"/>
  <c r="K41" i="11"/>
  <c r="K45" i="11"/>
  <c r="K49" i="11"/>
  <c r="K53" i="11"/>
  <c r="K57" i="11"/>
  <c r="K61" i="11"/>
  <c r="K65" i="11"/>
  <c r="K69" i="11"/>
  <c r="K73" i="11"/>
  <c r="K77" i="11"/>
  <c r="K81" i="11"/>
  <c r="K85" i="11"/>
  <c r="K115" i="11"/>
  <c r="K119" i="11"/>
  <c r="K123" i="11"/>
  <c r="K127" i="11"/>
  <c r="K131" i="11"/>
  <c r="K135" i="11"/>
  <c r="K139" i="11"/>
  <c r="K143" i="11"/>
  <c r="K116" i="11"/>
  <c r="K120" i="11"/>
  <c r="K124" i="11"/>
  <c r="K128" i="11"/>
  <c r="K132" i="11"/>
  <c r="K136" i="11"/>
  <c r="K140" i="11"/>
  <c r="K144" i="11"/>
  <c r="K147" i="11"/>
  <c r="K149" i="11"/>
  <c r="K151" i="11"/>
  <c r="K153" i="11"/>
  <c r="K155" i="11"/>
  <c r="K157" i="11"/>
  <c r="K159" i="11"/>
  <c r="K161" i="11"/>
  <c r="K163" i="11"/>
  <c r="K165" i="11"/>
  <c r="K167" i="11"/>
  <c r="K169" i="11"/>
  <c r="K171" i="11"/>
  <c r="K173" i="11"/>
  <c r="K175" i="11"/>
  <c r="K177" i="11"/>
  <c r="K179" i="11"/>
  <c r="K181" i="11"/>
  <c r="K183" i="11"/>
  <c r="K185" i="11"/>
  <c r="K187" i="11"/>
  <c r="K189" i="11"/>
  <c r="K191" i="11"/>
  <c r="K193" i="11"/>
  <c r="K195" i="11"/>
  <c r="K197" i="11"/>
  <c r="K200" i="11"/>
  <c r="K204" i="11"/>
  <c r="K208" i="11"/>
  <c r="K212" i="11"/>
  <c r="K216" i="11"/>
  <c r="K220" i="11"/>
  <c r="K224" i="11"/>
  <c r="K228" i="11"/>
  <c r="K232" i="11"/>
  <c r="K236" i="11"/>
  <c r="K240" i="11"/>
  <c r="K244" i="11"/>
  <c r="K248" i="11"/>
  <c r="K252" i="11"/>
  <c r="K256" i="11"/>
  <c r="K260" i="11"/>
  <c r="K264" i="11"/>
  <c r="K268" i="11"/>
  <c r="K272" i="11"/>
  <c r="K276" i="11"/>
  <c r="K280" i="11"/>
  <c r="K284" i="11"/>
  <c r="K288" i="11"/>
  <c r="K292" i="11"/>
  <c r="K296" i="11"/>
  <c r="K300" i="11"/>
  <c r="K304" i="11"/>
  <c r="K307" i="11"/>
  <c r="K309" i="11"/>
  <c r="K311" i="11"/>
  <c r="K313" i="11"/>
  <c r="K315" i="11"/>
  <c r="K317" i="11"/>
  <c r="K319" i="11"/>
  <c r="K321" i="11"/>
  <c r="K323" i="11"/>
  <c r="K325" i="11"/>
  <c r="K327" i="11"/>
  <c r="K329" i="11"/>
  <c r="K331" i="11"/>
  <c r="K333" i="11"/>
  <c r="K335" i="11"/>
  <c r="K337" i="11"/>
  <c r="K339" i="11"/>
  <c r="K341" i="11"/>
  <c r="K343" i="11"/>
  <c r="K345" i="11"/>
  <c r="K347" i="11"/>
  <c r="K349" i="11"/>
  <c r="K351" i="11"/>
  <c r="K353" i="11"/>
  <c r="K355" i="11"/>
  <c r="K357" i="11"/>
  <c r="K199" i="11"/>
  <c r="K203" i="11"/>
  <c r="K207" i="11"/>
  <c r="K211" i="11"/>
  <c r="K215" i="11"/>
  <c r="K219" i="11"/>
  <c r="K223" i="11"/>
  <c r="K227" i="11"/>
  <c r="K231" i="11"/>
  <c r="K235" i="11"/>
  <c r="K239" i="11"/>
  <c r="K243" i="11"/>
  <c r="K247" i="11"/>
  <c r="K251" i="11"/>
  <c r="K255" i="11"/>
  <c r="K259" i="11"/>
  <c r="K263" i="11"/>
  <c r="K267" i="11"/>
  <c r="K271" i="11"/>
  <c r="K275" i="11"/>
  <c r="K279" i="11"/>
  <c r="K283" i="11"/>
  <c r="K287" i="11"/>
  <c r="K291" i="11"/>
  <c r="K295" i="11"/>
  <c r="K299" i="11"/>
  <c r="K303" i="11"/>
  <c r="K359" i="11"/>
  <c r="K363" i="11"/>
  <c r="K367" i="11"/>
  <c r="K371" i="11"/>
  <c r="K375" i="11"/>
  <c r="K379" i="11"/>
  <c r="K383" i="11"/>
  <c r="K387" i="11"/>
  <c r="K391" i="11"/>
  <c r="K395" i="11"/>
  <c r="K399" i="11"/>
  <c r="K403" i="11"/>
  <c r="K407" i="11"/>
  <c r="K411" i="11"/>
  <c r="K415" i="11"/>
  <c r="K419" i="11"/>
  <c r="K423" i="11"/>
  <c r="K427" i="11"/>
  <c r="K431" i="11"/>
  <c r="K435" i="11"/>
  <c r="K439" i="11"/>
  <c r="K515" i="11"/>
  <c r="K520" i="11"/>
  <c r="K524" i="11"/>
  <c r="K527" i="11"/>
  <c r="K531" i="11"/>
  <c r="K535" i="11"/>
  <c r="K539" i="11"/>
  <c r="K543" i="11"/>
  <c r="K547" i="11"/>
  <c r="K551" i="11"/>
  <c r="K555" i="11"/>
  <c r="K559" i="11"/>
  <c r="K563" i="11"/>
  <c r="K567" i="11"/>
  <c r="K570" i="11"/>
  <c r="K574" i="11"/>
  <c r="K578" i="11"/>
  <c r="K582" i="11"/>
  <c r="K586" i="11"/>
  <c r="K590" i="11"/>
  <c r="K594" i="11"/>
  <c r="K598" i="11"/>
  <c r="K602" i="11"/>
  <c r="K606" i="11"/>
  <c r="K610" i="11"/>
  <c r="K614" i="11"/>
  <c r="K618" i="11"/>
  <c r="K622" i="11"/>
  <c r="K626" i="11"/>
  <c r="K630" i="11"/>
  <c r="K360" i="11"/>
  <c r="K364" i="11"/>
  <c r="K368" i="11"/>
  <c r="K372" i="11"/>
  <c r="K376" i="11"/>
  <c r="K380" i="11"/>
  <c r="K384" i="11"/>
  <c r="K388" i="11"/>
  <c r="K392" i="11"/>
  <c r="K396" i="11"/>
  <c r="K400" i="11"/>
  <c r="K404" i="11"/>
  <c r="K408" i="11"/>
  <c r="K412" i="11"/>
  <c r="K416" i="11"/>
  <c r="K420" i="11"/>
  <c r="K424" i="11"/>
  <c r="K428" i="11"/>
  <c r="K432" i="11"/>
  <c r="K436" i="11"/>
  <c r="K440" i="11"/>
  <c r="K442" i="11"/>
  <c r="K444" i="11"/>
  <c r="K446" i="11"/>
  <c r="K448" i="11"/>
  <c r="K450" i="11"/>
  <c r="K452" i="11"/>
  <c r="K454" i="11"/>
  <c r="K456" i="11"/>
  <c r="K458" i="11"/>
  <c r="K460" i="11"/>
  <c r="K462" i="11"/>
  <c r="K464" i="11"/>
  <c r="K466" i="11"/>
  <c r="K468" i="11"/>
  <c r="K470" i="11"/>
  <c r="K472" i="11"/>
  <c r="K474" i="11"/>
  <c r="K476" i="11"/>
  <c r="K478" i="11"/>
  <c r="K480" i="11"/>
  <c r="K482" i="11"/>
  <c r="K484" i="11"/>
  <c r="K486" i="11"/>
  <c r="K488" i="11"/>
  <c r="K490" i="11"/>
  <c r="K492" i="11"/>
  <c r="K494" i="11"/>
  <c r="K496" i="11"/>
  <c r="K498" i="11"/>
  <c r="K500" i="11"/>
  <c r="K502" i="11"/>
  <c r="K504" i="11"/>
  <c r="K506" i="11"/>
  <c r="K508" i="11"/>
  <c r="K510" i="11"/>
  <c r="K513" i="11"/>
  <c r="K516" i="11"/>
  <c r="K519" i="11"/>
  <c r="K523" i="11"/>
  <c r="K528" i="11"/>
  <c r="K532" i="11"/>
  <c r="K536" i="11"/>
  <c r="K540" i="11"/>
  <c r="K544" i="11"/>
  <c r="K548" i="11"/>
  <c r="K552" i="11"/>
  <c r="K556" i="11"/>
  <c r="K560" i="11"/>
  <c r="K564" i="11"/>
  <c r="K569" i="11"/>
  <c r="K573" i="11"/>
  <c r="K577" i="11"/>
  <c r="K581" i="11"/>
  <c r="K585" i="11"/>
  <c r="K589" i="11"/>
  <c r="K593" i="11"/>
  <c r="K597" i="11"/>
  <c r="K601" i="11"/>
  <c r="K605" i="11"/>
  <c r="K609" i="11"/>
  <c r="K613" i="11"/>
  <c r="K617" i="11"/>
  <c r="K621" i="11"/>
  <c r="K625" i="11"/>
  <c r="K629" i="11"/>
  <c r="I4" i="10"/>
  <c r="I8" i="10"/>
  <c r="I12" i="10"/>
  <c r="I16" i="10"/>
  <c r="I20" i="10"/>
  <c r="I24" i="10"/>
  <c r="I28" i="10"/>
  <c r="I32" i="10"/>
  <c r="I36" i="10"/>
  <c r="I40" i="10"/>
  <c r="I44" i="10"/>
  <c r="I48" i="10"/>
  <c r="I52" i="10"/>
  <c r="I56" i="10"/>
  <c r="I60" i="10"/>
  <c r="I64" i="10"/>
  <c r="I68" i="10"/>
  <c r="I72" i="10"/>
  <c r="I76" i="10"/>
  <c r="I80" i="10"/>
  <c r="I84" i="10"/>
  <c r="I88" i="10"/>
  <c r="I92" i="10"/>
  <c r="I96" i="10"/>
  <c r="I100" i="10"/>
  <c r="I104" i="10"/>
  <c r="I108" i="10"/>
  <c r="I112" i="10"/>
  <c r="I116" i="10"/>
  <c r="I120" i="10"/>
  <c r="I124" i="10"/>
  <c r="I128" i="10"/>
  <c r="I132" i="10"/>
  <c r="I136" i="10"/>
  <c r="I140" i="10"/>
  <c r="I144" i="10"/>
  <c r="I148" i="10"/>
  <c r="I152" i="10"/>
  <c r="I156" i="10"/>
  <c r="I160" i="10"/>
  <c r="I164" i="10"/>
  <c r="I168" i="10"/>
  <c r="I172" i="10"/>
  <c r="I176" i="10"/>
  <c r="I180" i="10"/>
  <c r="I184" i="10"/>
  <c r="I188" i="10"/>
  <c r="I192" i="10"/>
  <c r="I196" i="10"/>
  <c r="I200" i="10"/>
  <c r="I204" i="10"/>
  <c r="I208" i="10"/>
  <c r="I212" i="10"/>
  <c r="I216" i="10"/>
  <c r="I220" i="10"/>
  <c r="I224" i="10"/>
  <c r="I228" i="10"/>
  <c r="I232" i="10"/>
  <c r="I236" i="10"/>
  <c r="I240" i="10"/>
  <c r="I244" i="10"/>
  <c r="I248" i="10"/>
  <c r="I252" i="10"/>
  <c r="I256" i="10"/>
  <c r="I7" i="10"/>
  <c r="I11" i="10"/>
  <c r="I15" i="10"/>
  <c r="I19" i="10"/>
  <c r="I23" i="10"/>
  <c r="I27" i="10"/>
  <c r="I31" i="10"/>
  <c r="I35" i="10"/>
  <c r="I39" i="10"/>
  <c r="I43" i="10"/>
  <c r="I47" i="10"/>
  <c r="I51" i="10"/>
  <c r="I55" i="10"/>
  <c r="I59" i="10"/>
  <c r="I63" i="10"/>
  <c r="I67" i="10"/>
  <c r="I71" i="10"/>
  <c r="I75" i="10"/>
  <c r="I79" i="10"/>
  <c r="I83" i="10"/>
  <c r="I87" i="10"/>
  <c r="I91" i="10"/>
  <c r="I95" i="10"/>
  <c r="I99" i="10"/>
  <c r="I103" i="10"/>
  <c r="I107" i="10"/>
  <c r="I111" i="10"/>
  <c r="I115" i="10"/>
  <c r="I119" i="10"/>
  <c r="I123" i="10"/>
  <c r="I127" i="10"/>
  <c r="I131" i="10"/>
  <c r="I135" i="10"/>
  <c r="I139" i="10"/>
  <c r="I143" i="10"/>
  <c r="I147" i="10"/>
  <c r="I151" i="10"/>
  <c r="I155" i="10"/>
  <c r="I159" i="10"/>
  <c r="I163" i="10"/>
  <c r="I167" i="10"/>
  <c r="I171" i="10"/>
  <c r="I175" i="10"/>
  <c r="I179" i="10"/>
  <c r="I183" i="10"/>
  <c r="I187" i="10"/>
  <c r="I191" i="10"/>
  <c r="I195" i="10"/>
  <c r="I199" i="10"/>
  <c r="I203" i="10"/>
  <c r="I207" i="10"/>
  <c r="I211" i="10"/>
  <c r="I215" i="10"/>
  <c r="I219" i="10"/>
  <c r="I223" i="10"/>
  <c r="I227" i="10"/>
  <c r="I231" i="10"/>
  <c r="I235" i="10"/>
  <c r="I239" i="10"/>
  <c r="I243" i="10"/>
  <c r="I247" i="10"/>
  <c r="I251" i="10"/>
  <c r="I255" i="10"/>
  <c r="I258" i="10"/>
  <c r="I262" i="10"/>
  <c r="I266" i="10"/>
  <c r="I270" i="10"/>
  <c r="I274" i="10"/>
  <c r="I278" i="10"/>
  <c r="I282" i="10"/>
  <c r="I286" i="10"/>
  <c r="I290" i="10"/>
  <c r="I294" i="10"/>
  <c r="I298" i="10"/>
  <c r="I302" i="10"/>
  <c r="I306" i="10"/>
  <c r="I310" i="10"/>
  <c r="I314" i="10"/>
  <c r="I318" i="10"/>
  <c r="I322" i="10"/>
  <c r="I326" i="10"/>
  <c r="I330" i="10"/>
  <c r="I334" i="10"/>
  <c r="I338" i="10"/>
  <c r="I342" i="10"/>
  <c r="I346" i="10"/>
  <c r="I350" i="10"/>
  <c r="I354" i="10"/>
  <c r="I358" i="10"/>
  <c r="I362" i="10"/>
  <c r="I366" i="10"/>
  <c r="I370" i="10"/>
  <c r="I374" i="10"/>
  <c r="I378" i="10"/>
  <c r="I382" i="10"/>
  <c r="I386" i="10"/>
  <c r="I390" i="10"/>
  <c r="I394" i="10"/>
  <c r="I398" i="10"/>
  <c r="I406" i="10"/>
  <c r="I414" i="10"/>
  <c r="I422" i="10"/>
  <c r="I430" i="10"/>
  <c r="I438" i="10"/>
  <c r="I446" i="10"/>
  <c r="I454" i="10"/>
  <c r="I460" i="10"/>
  <c r="I464" i="10"/>
  <c r="I468" i="10"/>
  <c r="I472" i="10"/>
  <c r="I476" i="10"/>
  <c r="I480" i="10"/>
  <c r="I484" i="10"/>
  <c r="I488" i="10"/>
  <c r="I492" i="10"/>
  <c r="I496" i="10"/>
  <c r="I500" i="10"/>
  <c r="I504" i="10"/>
  <c r="I508" i="10"/>
  <c r="I512" i="10"/>
  <c r="I516" i="10"/>
  <c r="I520" i="10"/>
  <c r="I524" i="10"/>
  <c r="I259" i="10"/>
  <c r="I263" i="10"/>
  <c r="I267" i="10"/>
  <c r="I271" i="10"/>
  <c r="I275" i="10"/>
  <c r="I279" i="10"/>
  <c r="I283" i="10"/>
  <c r="I287" i="10"/>
  <c r="I291" i="10"/>
  <c r="I295" i="10"/>
  <c r="I299" i="10"/>
  <c r="I303" i="10"/>
  <c r="I307" i="10"/>
  <c r="I311" i="10"/>
  <c r="I315" i="10"/>
  <c r="I319" i="10"/>
  <c r="I323" i="10"/>
  <c r="I327" i="10"/>
  <c r="I331" i="10"/>
  <c r="I335" i="10"/>
  <c r="I339" i="10"/>
  <c r="I343" i="10"/>
  <c r="I347" i="10"/>
  <c r="I351" i="10"/>
  <c r="I355" i="10"/>
  <c r="I359" i="10"/>
  <c r="I363" i="10"/>
  <c r="I367" i="10"/>
  <c r="I371" i="10"/>
  <c r="I375" i="10"/>
  <c r="I379" i="10"/>
  <c r="I383" i="10"/>
  <c r="I387" i="10"/>
  <c r="I391" i="10"/>
  <c r="I395" i="10"/>
  <c r="I399" i="10"/>
  <c r="I403" i="10"/>
  <c r="I407" i="10"/>
  <c r="I411" i="10"/>
  <c r="I415" i="10"/>
  <c r="I419" i="10"/>
  <c r="I423" i="10"/>
  <c r="I427" i="10"/>
  <c r="I431" i="10"/>
  <c r="I435" i="10"/>
  <c r="I439" i="10"/>
  <c r="I443" i="10"/>
  <c r="I447" i="10"/>
  <c r="I451" i="10"/>
  <c r="I455" i="10"/>
  <c r="I459" i="10"/>
  <c r="I463" i="10"/>
  <c r="I467" i="10"/>
  <c r="I471" i="10"/>
  <c r="I475" i="10"/>
  <c r="I479" i="10"/>
  <c r="I483" i="10"/>
  <c r="I487" i="10"/>
  <c r="I491" i="10"/>
  <c r="I495" i="10"/>
  <c r="I499" i="10"/>
  <c r="I503" i="10"/>
  <c r="I507" i="10"/>
  <c r="I511" i="10"/>
  <c r="I517" i="10"/>
  <c r="I525" i="10"/>
  <c r="I530" i="10"/>
  <c r="I534" i="10"/>
  <c r="I538" i="10"/>
  <c r="I542" i="10"/>
  <c r="I546" i="10"/>
  <c r="I550" i="10"/>
  <c r="I554" i="10"/>
  <c r="I558" i="10"/>
  <c r="I562" i="10"/>
  <c r="I566" i="10"/>
  <c r="I570" i="10"/>
  <c r="I574" i="10"/>
  <c r="I578" i="10"/>
  <c r="I582" i="10"/>
  <c r="I586" i="10"/>
  <c r="I590" i="10"/>
  <c r="I594" i="10"/>
  <c r="I598" i="10"/>
  <c r="I602" i="10"/>
  <c r="I606" i="10"/>
  <c r="I610" i="10"/>
  <c r="I614" i="10"/>
  <c r="I519" i="10"/>
  <c r="I527" i="10"/>
  <c r="I531" i="10"/>
  <c r="I535" i="10"/>
  <c r="I539" i="10"/>
  <c r="I543" i="10"/>
  <c r="I547" i="10"/>
  <c r="I551" i="10"/>
  <c r="I555" i="10"/>
  <c r="I559" i="10"/>
  <c r="I563" i="10"/>
  <c r="I567" i="10"/>
  <c r="I571" i="10"/>
  <c r="I575" i="10"/>
  <c r="I579" i="10"/>
  <c r="I583" i="10"/>
  <c r="I587" i="10"/>
  <c r="I591" i="10"/>
  <c r="I595" i="10"/>
  <c r="I599" i="10"/>
  <c r="I603" i="10"/>
  <c r="I607" i="10"/>
  <c r="I611" i="10"/>
  <c r="I3" i="10"/>
  <c r="I613" i="10"/>
  <c r="I402" i="10"/>
  <c r="I410" i="10"/>
  <c r="I418" i="10"/>
  <c r="I426" i="10"/>
  <c r="I434" i="10"/>
  <c r="I442" i="10"/>
  <c r="I450" i="10"/>
  <c r="I458" i="10"/>
  <c r="I462" i="10"/>
  <c r="I466" i="10"/>
  <c r="I470" i="10"/>
  <c r="I474" i="10"/>
  <c r="I478" i="10"/>
  <c r="I482" i="10"/>
  <c r="I486" i="10"/>
  <c r="I490" i="10"/>
  <c r="I494" i="10"/>
  <c r="I498" i="10"/>
  <c r="I502" i="10"/>
  <c r="I506" i="10"/>
  <c r="I510" i="10"/>
  <c r="I514" i="10"/>
  <c r="I518" i="10"/>
  <c r="I522" i="10"/>
  <c r="I526" i="10"/>
  <c r="I261" i="10"/>
  <c r="I265" i="10"/>
  <c r="I269" i="10"/>
  <c r="I273" i="10"/>
  <c r="I277" i="10"/>
  <c r="I281" i="10"/>
  <c r="I285" i="10"/>
  <c r="I289" i="10"/>
  <c r="I293" i="10"/>
  <c r="I297" i="10"/>
  <c r="I301" i="10"/>
  <c r="I305" i="10"/>
  <c r="I309" i="10"/>
  <c r="I313" i="10"/>
  <c r="I317" i="10"/>
  <c r="I321" i="10"/>
  <c r="I325" i="10"/>
  <c r="I329" i="10"/>
  <c r="I333" i="10"/>
  <c r="I337" i="10"/>
  <c r="I341" i="10"/>
  <c r="I345" i="10"/>
  <c r="I349" i="10"/>
  <c r="I353" i="10"/>
  <c r="I357" i="10"/>
  <c r="I361" i="10"/>
  <c r="I365" i="10"/>
  <c r="I369" i="10"/>
  <c r="I373" i="10"/>
  <c r="I377" i="10"/>
  <c r="I381" i="10"/>
  <c r="I385" i="10"/>
  <c r="I389" i="10"/>
  <c r="I393" i="10"/>
  <c r="I397" i="10"/>
  <c r="I401" i="10"/>
  <c r="I405" i="10"/>
  <c r="I409" i="10"/>
  <c r="I413" i="10"/>
  <c r="I417" i="10"/>
  <c r="I421" i="10"/>
  <c r="I425" i="10"/>
  <c r="I429" i="10"/>
  <c r="I433" i="10"/>
  <c r="I437" i="10"/>
  <c r="I441" i="10"/>
  <c r="I445" i="10"/>
  <c r="I449" i="10"/>
  <c r="I453" i="10"/>
  <c r="I457" i="10"/>
  <c r="I461" i="10"/>
  <c r="I465" i="10"/>
  <c r="I469" i="10"/>
  <c r="I473" i="10"/>
  <c r="I477" i="10"/>
  <c r="I481" i="10"/>
  <c r="I485" i="10"/>
  <c r="I489" i="10"/>
  <c r="I493" i="10"/>
  <c r="I497" i="10"/>
  <c r="I501" i="10"/>
  <c r="I505" i="10"/>
  <c r="I509" i="10"/>
  <c r="I513" i="10"/>
  <c r="I521" i="10"/>
  <c r="I528" i="10"/>
  <c r="I532" i="10"/>
  <c r="I536" i="10"/>
  <c r="I540" i="10"/>
  <c r="I544" i="10"/>
  <c r="I548" i="10"/>
  <c r="I552" i="10"/>
  <c r="I556" i="10"/>
  <c r="I560" i="10"/>
  <c r="I564" i="10"/>
  <c r="I568" i="10"/>
  <c r="I572" i="10"/>
  <c r="I576" i="10"/>
  <c r="I580" i="10"/>
  <c r="I584" i="10"/>
  <c r="I588" i="10"/>
  <c r="I592" i="10"/>
  <c r="I596" i="10"/>
  <c r="I600" i="10"/>
  <c r="I604" i="10"/>
  <c r="I608" i="10"/>
  <c r="I612" i="10"/>
  <c r="I515" i="10"/>
  <c r="I523" i="10"/>
  <c r="I529" i="10"/>
  <c r="I533" i="10"/>
  <c r="I537" i="10"/>
  <c r="I541" i="10"/>
  <c r="I545" i="10"/>
  <c r="I549" i="10"/>
  <c r="I553" i="10"/>
  <c r="I557" i="10"/>
  <c r="I561" i="10"/>
  <c r="I565" i="10"/>
  <c r="I569" i="10"/>
  <c r="I573" i="10"/>
  <c r="I577" i="10"/>
  <c r="I581" i="10"/>
  <c r="I585" i="10"/>
  <c r="I589" i="10"/>
  <c r="I593" i="10"/>
  <c r="I597" i="10"/>
  <c r="I601" i="10"/>
  <c r="I605" i="10"/>
  <c r="I609" i="10"/>
  <c r="I22" i="2"/>
  <c r="H4" i="3"/>
  <c r="H8" i="3"/>
  <c r="H12" i="3"/>
  <c r="H16" i="3"/>
  <c r="H20" i="3"/>
  <c r="H7" i="3"/>
  <c r="H11" i="3"/>
  <c r="H15" i="3"/>
  <c r="H19" i="3"/>
  <c r="H3" i="3"/>
  <c r="I23" i="2"/>
  <c r="I29" i="2"/>
  <c r="I33" i="2"/>
  <c r="I37" i="2"/>
  <c r="I41" i="2"/>
  <c r="I44" i="2"/>
  <c r="I48" i="2"/>
  <c r="I52" i="2"/>
  <c r="I56" i="2"/>
  <c r="I60" i="2"/>
  <c r="I4" i="2"/>
  <c r="I6" i="2"/>
  <c r="I8" i="2"/>
  <c r="I10" i="2"/>
  <c r="I12" i="2"/>
  <c r="I15" i="2"/>
  <c r="I17" i="2"/>
  <c r="I19" i="2"/>
  <c r="I21" i="2"/>
  <c r="I25" i="2"/>
  <c r="I28" i="2"/>
  <c r="I32" i="2"/>
  <c r="I36" i="2"/>
  <c r="I40" i="2"/>
  <c r="I45" i="2"/>
  <c r="I49" i="2"/>
  <c r="I53" i="2"/>
  <c r="I57" i="2"/>
  <c r="I61" i="2"/>
  <c r="I64" i="2"/>
  <c r="I68" i="2"/>
  <c r="I72" i="2"/>
  <c r="I67" i="2"/>
  <c r="I71" i="2"/>
  <c r="I3" i="2"/>
  <c r="I6" i="14"/>
  <c r="I10" i="14"/>
  <c r="I5" i="14"/>
  <c r="I9" i="14"/>
  <c r="I3" i="14"/>
  <c r="M5" i="7"/>
  <c r="M7" i="7"/>
  <c r="M9" i="7"/>
  <c r="M11" i="7"/>
  <c r="M13" i="7"/>
  <c r="M15" i="7"/>
  <c r="M17" i="7"/>
  <c r="M21" i="7"/>
  <c r="M25" i="7"/>
  <c r="M29" i="7"/>
  <c r="M33" i="7"/>
  <c r="M37" i="7"/>
  <c r="M41" i="7"/>
  <c r="M45" i="7"/>
  <c r="M49" i="7"/>
  <c r="M53" i="7"/>
  <c r="M57" i="7"/>
  <c r="M61" i="7"/>
  <c r="M65" i="7"/>
  <c r="M69" i="7"/>
  <c r="M73" i="7"/>
  <c r="M77" i="7"/>
  <c r="M81" i="7"/>
  <c r="M85" i="7"/>
  <c r="M18" i="7"/>
  <c r="M22" i="7"/>
  <c r="M26" i="7"/>
  <c r="M30" i="7"/>
  <c r="M34" i="7"/>
  <c r="M38" i="7"/>
  <c r="M42" i="7"/>
  <c r="M46" i="7"/>
  <c r="M50" i="7"/>
  <c r="M54" i="7"/>
  <c r="M58" i="7"/>
  <c r="M62" i="7"/>
  <c r="M66" i="7"/>
  <c r="M70" i="7"/>
  <c r="M74" i="7"/>
  <c r="M78" i="7"/>
  <c r="M82" i="7"/>
  <c r="M86" i="7"/>
  <c r="M89" i="7"/>
  <c r="M91" i="7"/>
  <c r="M93" i="7"/>
  <c r="M95" i="7"/>
  <c r="M97" i="7"/>
  <c r="M99" i="7"/>
  <c r="M101" i="7"/>
  <c r="M103" i="7"/>
  <c r="M105" i="7"/>
  <c r="M107" i="7"/>
  <c r="M109" i="7"/>
  <c r="M111" i="7"/>
  <c r="M113" i="7"/>
  <c r="M115" i="7"/>
  <c r="M117" i="7"/>
  <c r="M119" i="7"/>
  <c r="M121" i="7"/>
  <c r="M123" i="7"/>
  <c r="M125" i="7"/>
  <c r="M127" i="7"/>
  <c r="M129" i="7"/>
  <c r="M131" i="7"/>
  <c r="M133" i="7"/>
  <c r="M135" i="7"/>
  <c r="M138" i="7"/>
  <c r="M142" i="7"/>
  <c r="M146" i="7"/>
  <c r="M150" i="7"/>
  <c r="M154" i="7"/>
  <c r="M158" i="7"/>
  <c r="M162" i="7"/>
  <c r="M166" i="7"/>
  <c r="M170" i="7"/>
  <c r="M174" i="7"/>
  <c r="M178" i="7"/>
  <c r="M182" i="7"/>
  <c r="M186" i="7"/>
  <c r="M190" i="7"/>
  <c r="M194" i="7"/>
  <c r="M198" i="7"/>
  <c r="M202" i="7"/>
  <c r="M206" i="7"/>
  <c r="M210" i="7"/>
  <c r="M214" i="7"/>
  <c r="M218" i="7"/>
  <c r="M222" i="7"/>
  <c r="M226" i="7"/>
  <c r="M230" i="7"/>
  <c r="M234" i="7"/>
  <c r="M236" i="7"/>
  <c r="M238" i="7"/>
  <c r="M240" i="7"/>
  <c r="M242" i="7"/>
  <c r="M244" i="7"/>
  <c r="M246" i="7"/>
  <c r="M249" i="7"/>
  <c r="M253" i="7"/>
  <c r="M257" i="7"/>
  <c r="M261" i="7"/>
  <c r="M265" i="7"/>
  <c r="M137" i="7"/>
  <c r="M141" i="7"/>
  <c r="M145" i="7"/>
  <c r="M149" i="7"/>
  <c r="M153" i="7"/>
  <c r="M157" i="7"/>
  <c r="M161" i="7"/>
  <c r="M165" i="7"/>
  <c r="M169" i="7"/>
  <c r="M173" i="7"/>
  <c r="M177" i="7"/>
  <c r="M181" i="7"/>
  <c r="M185" i="7"/>
  <c r="M189" i="7"/>
  <c r="M193" i="7"/>
  <c r="M197" i="7"/>
  <c r="M201" i="7"/>
  <c r="M205" i="7"/>
  <c r="M209" i="7"/>
  <c r="M213" i="7"/>
  <c r="M217" i="7"/>
  <c r="M221" i="7"/>
  <c r="M225" i="7"/>
  <c r="M229" i="7"/>
  <c r="M233" i="7"/>
  <c r="M250" i="7"/>
  <c r="M254" i="7"/>
  <c r="M258" i="7"/>
  <c r="M262" i="7"/>
  <c r="M266" i="7"/>
  <c r="M3" i="7"/>
  <c r="H6" i="3"/>
  <c r="H10" i="3"/>
  <c r="H14" i="3"/>
  <c r="H18" i="3"/>
  <c r="H5" i="3"/>
  <c r="H9" i="3"/>
  <c r="H13" i="3"/>
  <c r="H17" i="3"/>
  <c r="H21" i="3"/>
  <c r="I14" i="2"/>
  <c r="I27" i="2"/>
  <c r="I31" i="2"/>
  <c r="I35" i="2"/>
  <c r="I39" i="2"/>
  <c r="I43" i="2"/>
  <c r="I46" i="2"/>
  <c r="I50" i="2"/>
  <c r="I54" i="2"/>
  <c r="I58" i="2"/>
  <c r="I62" i="2"/>
  <c r="I5" i="2"/>
  <c r="I7" i="2"/>
  <c r="I9" i="2"/>
  <c r="I11" i="2"/>
  <c r="I13" i="2"/>
  <c r="I16" i="2"/>
  <c r="I18" i="2"/>
  <c r="I20" i="2"/>
  <c r="I24" i="2"/>
  <c r="I26" i="2"/>
  <c r="I30" i="2"/>
  <c r="I34" i="2"/>
  <c r="I38" i="2"/>
  <c r="I42" i="2"/>
  <c r="I47" i="2"/>
  <c r="I51" i="2"/>
  <c r="I55" i="2"/>
  <c r="I59" i="2"/>
  <c r="I63" i="2"/>
  <c r="I66" i="2"/>
  <c r="I70" i="2"/>
  <c r="I65" i="2"/>
  <c r="I69" i="2"/>
  <c r="I73" i="2"/>
  <c r="I4" i="14"/>
  <c r="I8" i="14"/>
  <c r="I12" i="14"/>
  <c r="I7" i="14"/>
  <c r="I11" i="14"/>
  <c r="M4" i="7"/>
  <c r="M6" i="7"/>
  <c r="M8" i="7"/>
  <c r="M10" i="7"/>
  <c r="M12" i="7"/>
  <c r="M14" i="7"/>
  <c r="M16" i="7"/>
  <c r="M19" i="7"/>
  <c r="M23" i="7"/>
  <c r="M27" i="7"/>
  <c r="M31" i="7"/>
  <c r="M35" i="7"/>
  <c r="M39" i="7"/>
  <c r="M43" i="7"/>
  <c r="M47" i="7"/>
  <c r="M51" i="7"/>
  <c r="M55" i="7"/>
  <c r="M59" i="7"/>
  <c r="M63" i="7"/>
  <c r="M67" i="7"/>
  <c r="M71" i="7"/>
  <c r="M75" i="7"/>
  <c r="M79" i="7"/>
  <c r="M83" i="7"/>
  <c r="M87" i="7"/>
  <c r="M20" i="7"/>
  <c r="M24" i="7"/>
  <c r="M28" i="7"/>
  <c r="M32" i="7"/>
  <c r="M36" i="7"/>
  <c r="M40" i="7"/>
  <c r="M44" i="7"/>
  <c r="M48" i="7"/>
  <c r="M52" i="7"/>
  <c r="M56" i="7"/>
  <c r="M60" i="7"/>
  <c r="M64" i="7"/>
  <c r="M68" i="7"/>
  <c r="M72" i="7"/>
  <c r="M76" i="7"/>
  <c r="M80" i="7"/>
  <c r="M84" i="7"/>
  <c r="M88" i="7"/>
  <c r="M90" i="7"/>
  <c r="M92" i="7"/>
  <c r="M94" i="7"/>
  <c r="M96" i="7"/>
  <c r="M98" i="7"/>
  <c r="M100" i="7"/>
  <c r="M102" i="7"/>
  <c r="M104" i="7"/>
  <c r="M106" i="7"/>
  <c r="M108" i="7"/>
  <c r="M110" i="7"/>
  <c r="M112" i="7"/>
  <c r="M114" i="7"/>
  <c r="M116" i="7"/>
  <c r="M118" i="7"/>
  <c r="M120" i="7"/>
  <c r="M122" i="7"/>
  <c r="M124" i="7"/>
  <c r="M126" i="7"/>
  <c r="M128" i="7"/>
  <c r="M130" i="7"/>
  <c r="M132" i="7"/>
  <c r="M134" i="7"/>
  <c r="M136" i="7"/>
  <c r="M140" i="7"/>
  <c r="M144" i="7"/>
  <c r="M148" i="7"/>
  <c r="M152" i="7"/>
  <c r="M156" i="7"/>
  <c r="M160" i="7"/>
  <c r="M164" i="7"/>
  <c r="M168" i="7"/>
  <c r="M172" i="7"/>
  <c r="M176" i="7"/>
  <c r="M180" i="7"/>
  <c r="M184" i="7"/>
  <c r="M188" i="7"/>
  <c r="M192" i="7"/>
  <c r="M196" i="7"/>
  <c r="M200" i="7"/>
  <c r="M204" i="7"/>
  <c r="M208" i="7"/>
  <c r="M212" i="7"/>
  <c r="M216" i="7"/>
  <c r="M220" i="7"/>
  <c r="M224" i="7"/>
  <c r="M228" i="7"/>
  <c r="M232" i="7"/>
  <c r="M235" i="7"/>
  <c r="M237" i="7"/>
  <c r="M239" i="7"/>
  <c r="M241" i="7"/>
  <c r="M243" i="7"/>
  <c r="M245" i="7"/>
  <c r="M248" i="7"/>
  <c r="M251" i="7"/>
  <c r="M255" i="7"/>
  <c r="M259" i="7"/>
  <c r="M263" i="7"/>
  <c r="M267" i="7"/>
  <c r="M139" i="7"/>
  <c r="M143" i="7"/>
  <c r="M147" i="7"/>
  <c r="M151" i="7"/>
  <c r="M155" i="7"/>
  <c r="M159" i="7"/>
  <c r="M163" i="7"/>
  <c r="M167" i="7"/>
  <c r="M171" i="7"/>
  <c r="M175" i="7"/>
  <c r="M179" i="7"/>
  <c r="M183" i="7"/>
  <c r="M187" i="7"/>
  <c r="M191" i="7"/>
  <c r="M195" i="7"/>
  <c r="M199" i="7"/>
  <c r="M203" i="7"/>
  <c r="M207" i="7"/>
  <c r="M211" i="7"/>
  <c r="M215" i="7"/>
  <c r="M219" i="7"/>
  <c r="M223" i="7"/>
  <c r="M227" i="7"/>
  <c r="M231" i="7"/>
  <c r="M247" i="7"/>
  <c r="M252" i="7"/>
  <c r="M256" i="7"/>
  <c r="M260" i="7"/>
  <c r="M264" i="7"/>
  <c r="M268" i="7"/>
  <c r="W4" i="1"/>
  <c r="W6" i="1"/>
  <c r="W8" i="1"/>
  <c r="W10" i="1"/>
  <c r="W12" i="1"/>
  <c r="W14" i="1"/>
  <c r="W16" i="1"/>
  <c r="W20" i="1"/>
  <c r="W24" i="1"/>
  <c r="W28" i="1"/>
  <c r="W32" i="1"/>
  <c r="W36" i="1"/>
  <c r="W40" i="1"/>
  <c r="W44" i="1"/>
  <c r="W48" i="1"/>
  <c r="W52" i="1"/>
  <c r="W56" i="1"/>
  <c r="W60" i="1"/>
  <c r="W64" i="1"/>
  <c r="W68" i="1"/>
  <c r="W72" i="1"/>
  <c r="W76" i="1"/>
  <c r="W80" i="1"/>
  <c r="W84" i="1"/>
  <c r="W88" i="1"/>
  <c r="W90" i="1"/>
  <c r="W92" i="1"/>
  <c r="W19" i="1"/>
  <c r="W23" i="1"/>
  <c r="W27" i="1"/>
  <c r="W31" i="1"/>
  <c r="W35" i="1"/>
  <c r="W39" i="1"/>
  <c r="W43" i="1"/>
  <c r="W47" i="1"/>
  <c r="W51" i="1"/>
  <c r="W55" i="1"/>
  <c r="W59" i="1"/>
  <c r="W63" i="1"/>
  <c r="W67" i="1"/>
  <c r="W71" i="1"/>
  <c r="W75" i="1"/>
  <c r="W79" i="1"/>
  <c r="W83" i="1"/>
  <c r="W87" i="1"/>
  <c r="J3" i="4"/>
  <c r="J5" i="4"/>
  <c r="J9" i="4"/>
  <c r="J13" i="4"/>
  <c r="J17" i="4"/>
  <c r="J21" i="4"/>
  <c r="J25" i="4"/>
  <c r="J29" i="4"/>
  <c r="J33" i="4"/>
  <c r="J37" i="4"/>
  <c r="J41" i="4"/>
  <c r="J45" i="4"/>
  <c r="J49" i="4"/>
  <c r="J53" i="4"/>
  <c r="J57" i="4"/>
  <c r="J61" i="4"/>
  <c r="J65" i="4"/>
  <c r="J69" i="4"/>
  <c r="J73" i="4"/>
  <c r="J77" i="4"/>
  <c r="J81" i="4"/>
  <c r="J85" i="4"/>
  <c r="J89" i="4"/>
  <c r="J93" i="4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88" i="4"/>
  <c r="J92" i="4"/>
  <c r="J4" i="4"/>
  <c r="W5" i="1"/>
  <c r="W7" i="1"/>
  <c r="W9" i="1"/>
  <c r="W11" i="1"/>
  <c r="W13" i="1"/>
  <c r="W15" i="1"/>
  <c r="W18" i="1"/>
  <c r="W22" i="1"/>
  <c r="W26" i="1"/>
  <c r="W30" i="1"/>
  <c r="W34" i="1"/>
  <c r="W38" i="1"/>
  <c r="W42" i="1"/>
  <c r="W46" i="1"/>
  <c r="W50" i="1"/>
  <c r="W54" i="1"/>
  <c r="W58" i="1"/>
  <c r="W62" i="1"/>
  <c r="W66" i="1"/>
  <c r="W70" i="1"/>
  <c r="W74" i="1"/>
  <c r="W78" i="1"/>
  <c r="W82" i="1"/>
  <c r="W86" i="1"/>
  <c r="W89" i="1"/>
  <c r="W91" i="1"/>
  <c r="W17" i="1"/>
  <c r="W21" i="1"/>
  <c r="W25" i="1"/>
  <c r="W29" i="1"/>
  <c r="W33" i="1"/>
  <c r="W37" i="1"/>
  <c r="W41" i="1"/>
  <c r="W45" i="1"/>
  <c r="W49" i="1"/>
  <c r="W53" i="1"/>
  <c r="W57" i="1"/>
  <c r="W61" i="1"/>
  <c r="W65" i="1"/>
  <c r="W69" i="1"/>
  <c r="W73" i="1"/>
  <c r="W77" i="1"/>
  <c r="W81" i="1"/>
  <c r="W85" i="1"/>
  <c r="W3" i="1"/>
  <c r="F3" i="4"/>
  <c r="J7" i="4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87" i="4"/>
  <c r="J91" i="4"/>
  <c r="J6" i="4"/>
  <c r="J10" i="4"/>
  <c r="J14" i="4"/>
  <c r="J18" i="4"/>
  <c r="J22" i="4"/>
  <c r="J26" i="4"/>
  <c r="J30" i="4"/>
  <c r="J34" i="4"/>
  <c r="J38" i="4"/>
  <c r="J42" i="4"/>
  <c r="J46" i="4"/>
  <c r="J50" i="4"/>
  <c r="J54" i="4"/>
  <c r="J58" i="4"/>
  <c r="J62" i="4"/>
  <c r="J66" i="4"/>
  <c r="J70" i="4"/>
  <c r="J74" i="4"/>
  <c r="J78" i="4"/>
  <c r="J82" i="4"/>
  <c r="J86" i="4"/>
  <c r="J90" i="4"/>
  <c r="I93" i="4" l="1"/>
  <c r="I92" i="4" s="1"/>
  <c r="I91" i="4" s="1"/>
  <c r="I90" i="4" s="1"/>
  <c r="I89" i="4" s="1"/>
  <c r="I88" i="4" s="1"/>
  <c r="I87" i="4" s="1"/>
  <c r="I86" i="4" s="1"/>
  <c r="I85" i="4" s="1"/>
  <c r="I84" i="4" s="1"/>
  <c r="I83" i="4" s="1"/>
  <c r="I82" i="4" s="1"/>
  <c r="I81" i="4" s="1"/>
  <c r="I80" i="4" s="1"/>
  <c r="I79" i="4" s="1"/>
  <c r="I78" i="4" s="1"/>
  <c r="I77" i="4" s="1"/>
  <c r="I76" i="4" s="1"/>
  <c r="I75" i="4" s="1"/>
  <c r="I74" i="4" s="1"/>
  <c r="I73" i="4" s="1"/>
  <c r="I72" i="4" s="1"/>
  <c r="I71" i="4" s="1"/>
  <c r="I70" i="4" s="1"/>
  <c r="I69" i="4" s="1"/>
  <c r="I68" i="4" s="1"/>
  <c r="I67" i="4" s="1"/>
  <c r="I66" i="4" s="1"/>
  <c r="I65" i="4" s="1"/>
  <c r="I64" i="4" s="1"/>
  <c r="I63" i="4" s="1"/>
  <c r="I62" i="4" s="1"/>
  <c r="I61" i="4" s="1"/>
  <c r="I60" i="4" s="1"/>
  <c r="I59" i="4" s="1"/>
  <c r="I58" i="4" s="1"/>
  <c r="I57" i="4" s="1"/>
  <c r="I56" i="4" s="1"/>
  <c r="I55" i="4" s="1"/>
  <c r="I54" i="4" s="1"/>
  <c r="I53" i="4" s="1"/>
  <c r="I52" i="4" s="1"/>
  <c r="I51" i="4" s="1"/>
  <c r="I50" i="4" s="1"/>
  <c r="I49" i="4" s="1"/>
  <c r="I48" i="4" s="1"/>
  <c r="I47" i="4" s="1"/>
  <c r="I46" i="4" s="1"/>
  <c r="I45" i="4" s="1"/>
  <c r="I44" i="4" s="1"/>
  <c r="I43" i="4" s="1"/>
  <c r="I42" i="4" s="1"/>
  <c r="I41" i="4" s="1"/>
  <c r="I40" i="4" s="1"/>
  <c r="I39" i="4" s="1"/>
  <c r="I38" i="4" s="1"/>
  <c r="I37" i="4" s="1"/>
  <c r="I36" i="4" s="1"/>
  <c r="I35" i="4" s="1"/>
  <c r="I34" i="4" s="1"/>
  <c r="I33" i="4" s="1"/>
  <c r="I32" i="4" s="1"/>
  <c r="I31" i="4" s="1"/>
  <c r="I30" i="4" s="1"/>
  <c r="I29" i="4" s="1"/>
  <c r="I28" i="4" s="1"/>
  <c r="I27" i="4" s="1"/>
  <c r="I26" i="4" s="1"/>
  <c r="I25" i="4" s="1"/>
  <c r="I24" i="4" s="1"/>
  <c r="I23" i="4" s="1"/>
  <c r="I22" i="4" s="1"/>
  <c r="I21" i="4" s="1"/>
  <c r="I20" i="4" s="1"/>
  <c r="I19" i="4" s="1"/>
  <c r="I18" i="4" s="1"/>
  <c r="I17" i="4" s="1"/>
  <c r="I16" i="4" s="1"/>
  <c r="I15" i="4" s="1"/>
  <c r="I14" i="4" s="1"/>
  <c r="I13" i="4" s="1"/>
  <c r="I12" i="4" s="1"/>
  <c r="I11" i="4" s="1"/>
  <c r="I10" i="4" s="1"/>
  <c r="I9" i="4" s="1"/>
  <c r="I8" i="4" s="1"/>
  <c r="I7" i="4" s="1"/>
  <c r="I6" i="4" s="1"/>
  <c r="I5" i="4" s="1"/>
  <c r="I4" i="4" s="1"/>
  <c r="L268" i="7"/>
  <c r="L267" i="7"/>
  <c r="L266" i="7" s="1"/>
  <c r="L265" i="7" s="1"/>
  <c r="L264" i="7" s="1"/>
  <c r="L263" i="7" s="1"/>
  <c r="L262" i="7" s="1"/>
  <c r="L261" i="7" s="1"/>
  <c r="L260" i="7" s="1"/>
  <c r="L259" i="7" s="1"/>
  <c r="L258" i="7" s="1"/>
  <c r="L257" i="7" s="1"/>
  <c r="L256" i="7" s="1"/>
  <c r="L255" i="7" s="1"/>
  <c r="L254" i="7" s="1"/>
  <c r="L253" i="7" s="1"/>
  <c r="L252" i="7" s="1"/>
  <c r="L251" i="7" s="1"/>
  <c r="L250" i="7" s="1"/>
  <c r="L249" i="7" s="1"/>
  <c r="L248" i="7" s="1"/>
  <c r="L247" i="7" s="1"/>
  <c r="L246" i="7" s="1"/>
  <c r="L245" i="7" s="1"/>
  <c r="L244" i="7" s="1"/>
  <c r="L243" i="7" s="1"/>
  <c r="L242" i="7" s="1"/>
  <c r="L241" i="7" s="1"/>
  <c r="L240" i="7" s="1"/>
  <c r="L239" i="7" s="1"/>
  <c r="L238" i="7" s="1"/>
  <c r="L237" i="7" s="1"/>
  <c r="L236" i="7" s="1"/>
  <c r="L235" i="7" s="1"/>
  <c r="L234" i="7" s="1"/>
  <c r="L233" i="7" s="1"/>
  <c r="L232" i="7" s="1"/>
  <c r="L231" i="7" s="1"/>
  <c r="L230" i="7" s="1"/>
  <c r="L229" i="7" s="1"/>
  <c r="L228" i="7" s="1"/>
  <c r="L227" i="7" s="1"/>
  <c r="L226" i="7" s="1"/>
  <c r="L225" i="7" s="1"/>
  <c r="L224" i="7" s="1"/>
  <c r="L223" i="7" s="1"/>
  <c r="L222" i="7" s="1"/>
  <c r="L221" i="7" s="1"/>
  <c r="L220" i="7" s="1"/>
  <c r="L219" i="7" s="1"/>
  <c r="L218" i="7" s="1"/>
  <c r="L217" i="7" s="1"/>
  <c r="L216" i="7" s="1"/>
  <c r="L215" i="7" s="1"/>
  <c r="L214" i="7" s="1"/>
  <c r="L213" i="7" s="1"/>
  <c r="L212" i="7" s="1"/>
  <c r="L211" i="7" s="1"/>
  <c r="L210" i="7" s="1"/>
  <c r="L209" i="7" s="1"/>
  <c r="L208" i="7" s="1"/>
  <c r="L207" i="7" s="1"/>
  <c r="L206" i="7" s="1"/>
  <c r="L205" i="7" s="1"/>
  <c r="L204" i="7" s="1"/>
  <c r="L203" i="7" s="1"/>
  <c r="L202" i="7" s="1"/>
  <c r="L201" i="7" s="1"/>
  <c r="L200" i="7" s="1"/>
  <c r="L199" i="7" s="1"/>
  <c r="L198" i="7" s="1"/>
  <c r="L197" i="7" s="1"/>
  <c r="L196" i="7" s="1"/>
  <c r="L195" i="7" s="1"/>
  <c r="L194" i="7" s="1"/>
  <c r="L193" i="7" s="1"/>
  <c r="L192" i="7" s="1"/>
  <c r="L191" i="7" s="1"/>
  <c r="L190" i="7" s="1"/>
  <c r="L189" i="7" s="1"/>
  <c r="L188" i="7" s="1"/>
  <c r="L187" i="7" s="1"/>
  <c r="L186" i="7" s="1"/>
  <c r="L185" i="7" s="1"/>
  <c r="L184" i="7" s="1"/>
  <c r="L183" i="7" s="1"/>
  <c r="L182" i="7" s="1"/>
  <c r="L181" i="7" s="1"/>
  <c r="L180" i="7" s="1"/>
  <c r="L179" i="7" s="1"/>
  <c r="L178" i="7" s="1"/>
  <c r="L177" i="7" s="1"/>
  <c r="L176" i="7" s="1"/>
  <c r="L175" i="7" s="1"/>
  <c r="L174" i="7" s="1"/>
  <c r="L173" i="7" s="1"/>
  <c r="L172" i="7" s="1"/>
  <c r="L171" i="7" s="1"/>
  <c r="L170" i="7" s="1"/>
  <c r="L169" i="7" s="1"/>
  <c r="L168" i="7" s="1"/>
  <c r="L167" i="7" s="1"/>
  <c r="L166" i="7" s="1"/>
  <c r="L165" i="7" s="1"/>
  <c r="L164" i="7" s="1"/>
  <c r="L163" i="7" s="1"/>
  <c r="L162" i="7" s="1"/>
  <c r="L161" i="7" s="1"/>
  <c r="L160" i="7" s="1"/>
  <c r="L159" i="7" s="1"/>
  <c r="L158" i="7" s="1"/>
  <c r="L157" i="7" s="1"/>
  <c r="L156" i="7" s="1"/>
  <c r="L155" i="7" s="1"/>
  <c r="L154" i="7" s="1"/>
  <c r="L153" i="7" s="1"/>
  <c r="L152" i="7" s="1"/>
  <c r="L151" i="7" s="1"/>
  <c r="L150" i="7" s="1"/>
  <c r="L149" i="7" s="1"/>
  <c r="L148" i="7" s="1"/>
  <c r="L147" i="7" s="1"/>
  <c r="L146" i="7" s="1"/>
  <c r="L145" i="7" s="1"/>
  <c r="L144" i="7" s="1"/>
  <c r="L143" i="7" s="1"/>
  <c r="L142" i="7" s="1"/>
  <c r="L141" i="7" s="1"/>
  <c r="L140" i="7" s="1"/>
  <c r="L139" i="7" s="1"/>
  <c r="L138" i="7" s="1"/>
  <c r="L137" i="7" s="1"/>
  <c r="L136" i="7" s="1"/>
  <c r="L135" i="7" s="1"/>
  <c r="L134" i="7" s="1"/>
  <c r="L133" i="7" s="1"/>
  <c r="L132" i="7" s="1"/>
  <c r="L131" i="7" s="1"/>
  <c r="L130" i="7" s="1"/>
  <c r="L129" i="7" s="1"/>
  <c r="L128" i="7" s="1"/>
  <c r="L127" i="7" s="1"/>
  <c r="L126" i="7" s="1"/>
  <c r="L125" i="7" s="1"/>
  <c r="L124" i="7" s="1"/>
  <c r="L123" i="7" s="1"/>
  <c r="L122" i="7" s="1"/>
  <c r="L121" i="7" s="1"/>
  <c r="L120" i="7" s="1"/>
  <c r="L119" i="7" s="1"/>
  <c r="L118" i="7" s="1"/>
  <c r="L117" i="7" s="1"/>
  <c r="L116" i="7" s="1"/>
  <c r="L115" i="7" s="1"/>
  <c r="L114" i="7" s="1"/>
  <c r="L113" i="7" s="1"/>
  <c r="L112" i="7" s="1"/>
  <c r="L111" i="7" s="1"/>
  <c r="L110" i="7" s="1"/>
  <c r="L109" i="7" s="1"/>
  <c r="L108" i="7" s="1"/>
  <c r="L107" i="7" s="1"/>
  <c r="L106" i="7" s="1"/>
  <c r="L105" i="7" s="1"/>
  <c r="L104" i="7" s="1"/>
  <c r="L103" i="7" s="1"/>
  <c r="L102" i="7" s="1"/>
  <c r="L101" i="7" s="1"/>
  <c r="L100" i="7" s="1"/>
  <c r="L99" i="7" s="1"/>
  <c r="L98" i="7" s="1"/>
  <c r="L97" i="7" s="1"/>
  <c r="L96" i="7" s="1"/>
  <c r="L95" i="7" s="1"/>
  <c r="L94" i="7" s="1"/>
  <c r="L93" i="7" s="1"/>
  <c r="L92" i="7" s="1"/>
  <c r="L91" i="7" s="1"/>
  <c r="L90" i="7" s="1"/>
  <c r="L89" i="7" s="1"/>
  <c r="L88" i="7" s="1"/>
  <c r="L87" i="7" s="1"/>
  <c r="L86" i="7" s="1"/>
  <c r="L85" i="7" s="1"/>
  <c r="L84" i="7" s="1"/>
  <c r="L83" i="7" s="1"/>
  <c r="L82" i="7" s="1"/>
  <c r="L81" i="7" s="1"/>
  <c r="L80" i="7" s="1"/>
  <c r="L79" i="7" s="1"/>
  <c r="L78" i="7" s="1"/>
  <c r="L77" i="7" s="1"/>
  <c r="L76" i="7" s="1"/>
  <c r="L75" i="7" s="1"/>
  <c r="L74" i="7" s="1"/>
  <c r="L73" i="7" s="1"/>
  <c r="L72" i="7" s="1"/>
  <c r="L71" i="7" s="1"/>
  <c r="L70" i="7" s="1"/>
  <c r="L69" i="7" s="1"/>
  <c r="L68" i="7" s="1"/>
  <c r="L67" i="7" s="1"/>
  <c r="L66" i="7" s="1"/>
  <c r="L65" i="7" s="1"/>
  <c r="L64" i="7" s="1"/>
  <c r="L63" i="7" s="1"/>
  <c r="L62" i="7" s="1"/>
  <c r="L61" i="7" s="1"/>
  <c r="L60" i="7" s="1"/>
  <c r="L59" i="7" s="1"/>
  <c r="L58" i="7" s="1"/>
  <c r="L57" i="7" s="1"/>
  <c r="L56" i="7" s="1"/>
  <c r="L55" i="7" s="1"/>
  <c r="L54" i="7" s="1"/>
  <c r="L53" i="7" s="1"/>
  <c r="L52" i="7" s="1"/>
  <c r="L51" i="7" s="1"/>
  <c r="L50" i="7" s="1"/>
  <c r="L49" i="7" s="1"/>
  <c r="L48" i="7" s="1"/>
  <c r="L47" i="7" s="1"/>
  <c r="L46" i="7" s="1"/>
  <c r="L45" i="7" s="1"/>
  <c r="L44" i="7" s="1"/>
  <c r="L43" i="7" s="1"/>
  <c r="L42" i="7" s="1"/>
  <c r="L41" i="7" s="1"/>
  <c r="L40" i="7" s="1"/>
  <c r="L39" i="7" s="1"/>
  <c r="L38" i="7" s="1"/>
  <c r="L37" i="7" s="1"/>
  <c r="L36" i="7" s="1"/>
  <c r="L35" i="7" s="1"/>
  <c r="L34" i="7" s="1"/>
  <c r="L33" i="7" s="1"/>
  <c r="L32" i="7" s="1"/>
  <c r="L31" i="7" s="1"/>
  <c r="L30" i="7" s="1"/>
  <c r="L29" i="7" s="1"/>
  <c r="L28" i="7" s="1"/>
  <c r="L27" i="7" s="1"/>
  <c r="L26" i="7" s="1"/>
  <c r="L25" i="7" s="1"/>
  <c r="L24" i="7" s="1"/>
  <c r="L23" i="7" s="1"/>
  <c r="L22" i="7" s="1"/>
  <c r="L21" i="7" s="1"/>
  <c r="L20" i="7" s="1"/>
  <c r="L19" i="7" s="1"/>
  <c r="L18" i="7" s="1"/>
  <c r="L17" i="7" s="1"/>
  <c r="L16" i="7" s="1"/>
  <c r="L15" i="7" s="1"/>
  <c r="L14" i="7" s="1"/>
  <c r="L13" i="7" s="1"/>
  <c r="L12" i="7" s="1"/>
  <c r="L11" i="7" s="1"/>
  <c r="L10" i="7" s="1"/>
  <c r="L9" i="7" s="1"/>
  <c r="L8" i="7" s="1"/>
  <c r="L7" i="7" s="1"/>
  <c r="L6" i="7" s="1"/>
  <c r="L5" i="7" s="1"/>
  <c r="L4" i="7" s="1"/>
  <c r="L3" i="7" s="1"/>
  <c r="H73" i="2"/>
  <c r="H72" i="2" s="1"/>
  <c r="H71" i="2" s="1"/>
  <c r="H70" i="2" s="1"/>
  <c r="H69" i="2" s="1"/>
  <c r="H68" i="2" s="1"/>
  <c r="H67" i="2" s="1"/>
  <c r="H66" i="2" s="1"/>
  <c r="H65" i="2" s="1"/>
  <c r="H64" i="2" s="1"/>
  <c r="H63" i="2" s="1"/>
  <c r="H62" i="2" s="1"/>
  <c r="H61" i="2" s="1"/>
  <c r="H60" i="2" s="1"/>
  <c r="H59" i="2" s="1"/>
  <c r="H58" i="2" s="1"/>
  <c r="H57" i="2" s="1"/>
  <c r="H56" i="2" s="1"/>
  <c r="H55" i="2" s="1"/>
  <c r="H54" i="2" s="1"/>
  <c r="H53" i="2" s="1"/>
  <c r="H52" i="2" s="1"/>
  <c r="H51" i="2" s="1"/>
  <c r="H50" i="2" s="1"/>
  <c r="H49" i="2" s="1"/>
  <c r="H48" i="2" s="1"/>
  <c r="H47" i="2" s="1"/>
  <c r="H46" i="2" s="1"/>
  <c r="H45" i="2" s="1"/>
  <c r="H44" i="2" s="1"/>
  <c r="H43" i="2" s="1"/>
  <c r="H42" i="2" s="1"/>
  <c r="H41" i="2" s="1"/>
  <c r="H40" i="2" s="1"/>
  <c r="H39" i="2" s="1"/>
  <c r="H38" i="2" s="1"/>
  <c r="H37" i="2" s="1"/>
  <c r="H36" i="2" s="1"/>
  <c r="H35" i="2" s="1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G21" i="3"/>
  <c r="G20" i="3" s="1"/>
  <c r="G19" i="3" s="1"/>
  <c r="G18" i="3" s="1"/>
  <c r="G17" i="3" s="1"/>
  <c r="G16" i="3" s="1"/>
  <c r="G15" i="3" s="1"/>
  <c r="G14" i="3" s="1"/>
  <c r="G13" i="3" s="1"/>
  <c r="G12" i="3" s="1"/>
  <c r="G11" i="3" s="1"/>
  <c r="G10" i="3" s="1"/>
  <c r="G9" i="3" s="1"/>
  <c r="G8" i="3" s="1"/>
  <c r="G7" i="3" s="1"/>
  <c r="G6" i="3" s="1"/>
  <c r="G5" i="3" s="1"/>
  <c r="G4" i="3" s="1"/>
  <c r="G3" i="3" s="1"/>
  <c r="H614" i="10"/>
  <c r="H613" i="10" s="1"/>
  <c r="H612" i="10" s="1"/>
  <c r="H611" i="10" s="1"/>
  <c r="H610" i="10" s="1"/>
  <c r="H609" i="10" s="1"/>
  <c r="H608" i="10" s="1"/>
  <c r="H607" i="10" s="1"/>
  <c r="H606" i="10" s="1"/>
  <c r="H605" i="10" s="1"/>
  <c r="H604" i="10" s="1"/>
  <c r="H603" i="10" s="1"/>
  <c r="H602" i="10" s="1"/>
  <c r="H601" i="10" s="1"/>
  <c r="H600" i="10" s="1"/>
  <c r="H599" i="10" s="1"/>
  <c r="H598" i="10" s="1"/>
  <c r="H597" i="10" s="1"/>
  <c r="H596" i="10" s="1"/>
  <c r="H595" i="10" s="1"/>
  <c r="H594" i="10" s="1"/>
  <c r="H593" i="10" s="1"/>
  <c r="H592" i="10" s="1"/>
  <c r="H591" i="10" s="1"/>
  <c r="H590" i="10" s="1"/>
  <c r="H589" i="10" s="1"/>
  <c r="H588" i="10" s="1"/>
  <c r="H587" i="10" s="1"/>
  <c r="H586" i="10" s="1"/>
  <c r="H585" i="10" s="1"/>
  <c r="H584" i="10" s="1"/>
  <c r="H583" i="10" s="1"/>
  <c r="H582" i="10" s="1"/>
  <c r="H581" i="10" s="1"/>
  <c r="H580" i="10" s="1"/>
  <c r="H579" i="10" s="1"/>
  <c r="H578" i="10" s="1"/>
  <c r="H577" i="10" s="1"/>
  <c r="H576" i="10" s="1"/>
  <c r="H575" i="10" s="1"/>
  <c r="H574" i="10" s="1"/>
  <c r="H573" i="10" s="1"/>
  <c r="H572" i="10" s="1"/>
  <c r="H571" i="10" s="1"/>
  <c r="H570" i="10" s="1"/>
  <c r="H569" i="10" s="1"/>
  <c r="H568" i="10" s="1"/>
  <c r="H567" i="10" s="1"/>
  <c r="H566" i="10" s="1"/>
  <c r="H565" i="10" s="1"/>
  <c r="H564" i="10" s="1"/>
  <c r="H563" i="10" s="1"/>
  <c r="H562" i="10" s="1"/>
  <c r="H561" i="10" s="1"/>
  <c r="H560" i="10" s="1"/>
  <c r="H559" i="10" s="1"/>
  <c r="H558" i="10" s="1"/>
  <c r="H557" i="10" s="1"/>
  <c r="H556" i="10" s="1"/>
  <c r="H555" i="10" s="1"/>
  <c r="H554" i="10" s="1"/>
  <c r="H553" i="10" s="1"/>
  <c r="H552" i="10" s="1"/>
  <c r="H551" i="10" s="1"/>
  <c r="H550" i="10" s="1"/>
  <c r="H549" i="10" s="1"/>
  <c r="H548" i="10" s="1"/>
  <c r="H547" i="10" s="1"/>
  <c r="H546" i="10" s="1"/>
  <c r="H545" i="10" s="1"/>
  <c r="H544" i="10" s="1"/>
  <c r="H543" i="10" s="1"/>
  <c r="H542" i="10" s="1"/>
  <c r="H541" i="10" s="1"/>
  <c r="H540" i="10" s="1"/>
  <c r="H539" i="10" s="1"/>
  <c r="H538" i="10" s="1"/>
  <c r="H537" i="10" s="1"/>
  <c r="H536" i="10" s="1"/>
  <c r="H535" i="10" s="1"/>
  <c r="H534" i="10" s="1"/>
  <c r="H533" i="10" s="1"/>
  <c r="H532" i="10" s="1"/>
  <c r="H531" i="10" s="1"/>
  <c r="H530" i="10" s="1"/>
  <c r="H529" i="10" s="1"/>
  <c r="H528" i="10" s="1"/>
  <c r="H527" i="10" s="1"/>
  <c r="H526" i="10" s="1"/>
  <c r="H525" i="10" s="1"/>
  <c r="H524" i="10" s="1"/>
  <c r="H523" i="10" s="1"/>
  <c r="H522" i="10" s="1"/>
  <c r="H521" i="10" s="1"/>
  <c r="H520" i="10" s="1"/>
  <c r="H519" i="10" s="1"/>
  <c r="H518" i="10" s="1"/>
  <c r="H517" i="10" s="1"/>
  <c r="H516" i="10" s="1"/>
  <c r="H515" i="10" s="1"/>
  <c r="H514" i="10" s="1"/>
  <c r="H513" i="10" s="1"/>
  <c r="H512" i="10" s="1"/>
  <c r="H511" i="10" s="1"/>
  <c r="H510" i="10" s="1"/>
  <c r="H509" i="10" s="1"/>
  <c r="H508" i="10" s="1"/>
  <c r="H507" i="10" s="1"/>
  <c r="H506" i="10" s="1"/>
  <c r="H505" i="10" s="1"/>
  <c r="H504" i="10" s="1"/>
  <c r="H503" i="10" s="1"/>
  <c r="H502" i="10" s="1"/>
  <c r="H501" i="10" s="1"/>
  <c r="H500" i="10" s="1"/>
  <c r="H499" i="10" s="1"/>
  <c r="H498" i="10" s="1"/>
  <c r="H497" i="10" s="1"/>
  <c r="H496" i="10" s="1"/>
  <c r="H495" i="10" s="1"/>
  <c r="H494" i="10" s="1"/>
  <c r="H493" i="10" s="1"/>
  <c r="H492" i="10" s="1"/>
  <c r="H491" i="10" s="1"/>
  <c r="H490" i="10" s="1"/>
  <c r="H489" i="10" s="1"/>
  <c r="H488" i="10" s="1"/>
  <c r="H487" i="10" s="1"/>
  <c r="H486" i="10" s="1"/>
  <c r="H485" i="10" s="1"/>
  <c r="H484" i="10" s="1"/>
  <c r="H483" i="10" s="1"/>
  <c r="H482" i="10" s="1"/>
  <c r="H481" i="10" s="1"/>
  <c r="H480" i="10" s="1"/>
  <c r="H479" i="10" s="1"/>
  <c r="H478" i="10" s="1"/>
  <c r="H477" i="10" s="1"/>
  <c r="H476" i="10" s="1"/>
  <c r="H475" i="10" s="1"/>
  <c r="H474" i="10" s="1"/>
  <c r="H473" i="10" s="1"/>
  <c r="H472" i="10" s="1"/>
  <c r="H471" i="10" s="1"/>
  <c r="H470" i="10" s="1"/>
  <c r="H469" i="10" s="1"/>
  <c r="H468" i="10" s="1"/>
  <c r="H467" i="10" s="1"/>
  <c r="H466" i="10" s="1"/>
  <c r="H465" i="10" s="1"/>
  <c r="H464" i="10" s="1"/>
  <c r="H463" i="10" s="1"/>
  <c r="H462" i="10" s="1"/>
  <c r="H461" i="10" s="1"/>
  <c r="H460" i="10" s="1"/>
  <c r="H459" i="10" s="1"/>
  <c r="H458" i="10" s="1"/>
  <c r="H457" i="10" s="1"/>
  <c r="H456" i="10" s="1"/>
  <c r="H455" i="10" s="1"/>
  <c r="H454" i="10" s="1"/>
  <c r="H453" i="10" s="1"/>
  <c r="H452" i="10" s="1"/>
  <c r="H451" i="10" s="1"/>
  <c r="H450" i="10" s="1"/>
  <c r="H449" i="10" s="1"/>
  <c r="H448" i="10" s="1"/>
  <c r="H447" i="10" s="1"/>
  <c r="H446" i="10" s="1"/>
  <c r="H445" i="10" s="1"/>
  <c r="H444" i="10" s="1"/>
  <c r="H443" i="10" s="1"/>
  <c r="H442" i="10" s="1"/>
  <c r="H441" i="10" s="1"/>
  <c r="H440" i="10" s="1"/>
  <c r="H439" i="10" s="1"/>
  <c r="H438" i="10" s="1"/>
  <c r="H437" i="10" s="1"/>
  <c r="H436" i="10" s="1"/>
  <c r="H435" i="10" s="1"/>
  <c r="H434" i="10" s="1"/>
  <c r="H433" i="10" s="1"/>
  <c r="H432" i="10" s="1"/>
  <c r="H431" i="10" s="1"/>
  <c r="H430" i="10" s="1"/>
  <c r="H429" i="10" s="1"/>
  <c r="H428" i="10" s="1"/>
  <c r="H427" i="10" s="1"/>
  <c r="H426" i="10" s="1"/>
  <c r="H425" i="10" s="1"/>
  <c r="H424" i="10" s="1"/>
  <c r="H423" i="10" s="1"/>
  <c r="H422" i="10" s="1"/>
  <c r="H421" i="10" s="1"/>
  <c r="H420" i="10" s="1"/>
  <c r="H419" i="10" s="1"/>
  <c r="H418" i="10" s="1"/>
  <c r="H417" i="10" s="1"/>
  <c r="H416" i="10" s="1"/>
  <c r="H415" i="10" s="1"/>
  <c r="H414" i="10" s="1"/>
  <c r="H413" i="10" s="1"/>
  <c r="H412" i="10" s="1"/>
  <c r="H411" i="10" s="1"/>
  <c r="H410" i="10" s="1"/>
  <c r="H409" i="10" s="1"/>
  <c r="H408" i="10" s="1"/>
  <c r="H407" i="10" s="1"/>
  <c r="H406" i="10" s="1"/>
  <c r="H405" i="10" s="1"/>
  <c r="H404" i="10" s="1"/>
  <c r="H403" i="10" s="1"/>
  <c r="H402" i="10" s="1"/>
  <c r="H401" i="10" s="1"/>
  <c r="H400" i="10" s="1"/>
  <c r="H399" i="10" s="1"/>
  <c r="H398" i="10" s="1"/>
  <c r="H397" i="10" s="1"/>
  <c r="H396" i="10" s="1"/>
  <c r="H395" i="10" s="1"/>
  <c r="H394" i="10" s="1"/>
  <c r="H393" i="10" s="1"/>
  <c r="H392" i="10" s="1"/>
  <c r="H391" i="10" s="1"/>
  <c r="H390" i="10" s="1"/>
  <c r="H389" i="10" s="1"/>
  <c r="H388" i="10" s="1"/>
  <c r="H387" i="10" s="1"/>
  <c r="H386" i="10" s="1"/>
  <c r="H385" i="10" s="1"/>
  <c r="H384" i="10" s="1"/>
  <c r="H383" i="10" s="1"/>
  <c r="H382" i="10" s="1"/>
  <c r="H381" i="10" s="1"/>
  <c r="H380" i="10" s="1"/>
  <c r="H379" i="10" s="1"/>
  <c r="H378" i="10" s="1"/>
  <c r="H377" i="10" s="1"/>
  <c r="H376" i="10" s="1"/>
  <c r="H375" i="10" s="1"/>
  <c r="H374" i="10" s="1"/>
  <c r="H373" i="10" s="1"/>
  <c r="H372" i="10" s="1"/>
  <c r="H371" i="10" s="1"/>
  <c r="H370" i="10" s="1"/>
  <c r="H369" i="10" s="1"/>
  <c r="H368" i="10" s="1"/>
  <c r="H367" i="10" s="1"/>
  <c r="H366" i="10" s="1"/>
  <c r="H365" i="10" s="1"/>
  <c r="H364" i="10" s="1"/>
  <c r="H363" i="10" s="1"/>
  <c r="H362" i="10" s="1"/>
  <c r="H361" i="10" s="1"/>
  <c r="H360" i="10" s="1"/>
  <c r="H359" i="10" s="1"/>
  <c r="H358" i="10" s="1"/>
  <c r="H357" i="10" s="1"/>
  <c r="H356" i="10" s="1"/>
  <c r="H355" i="10" s="1"/>
  <c r="H354" i="10" s="1"/>
  <c r="H353" i="10" s="1"/>
  <c r="H352" i="10" s="1"/>
  <c r="H351" i="10" s="1"/>
  <c r="H350" i="10" s="1"/>
  <c r="H349" i="10" s="1"/>
  <c r="H348" i="10" s="1"/>
  <c r="H347" i="10" s="1"/>
  <c r="H346" i="10" s="1"/>
  <c r="H345" i="10" s="1"/>
  <c r="H344" i="10" s="1"/>
  <c r="H343" i="10" s="1"/>
  <c r="H342" i="10" s="1"/>
  <c r="H341" i="10" s="1"/>
  <c r="H340" i="10" s="1"/>
  <c r="H339" i="10" s="1"/>
  <c r="H338" i="10" s="1"/>
  <c r="H337" i="10" s="1"/>
  <c r="H336" i="10" s="1"/>
  <c r="H335" i="10" s="1"/>
  <c r="H334" i="10" s="1"/>
  <c r="H333" i="10" s="1"/>
  <c r="H332" i="10" s="1"/>
  <c r="H331" i="10" s="1"/>
  <c r="H330" i="10" s="1"/>
  <c r="H329" i="10" s="1"/>
  <c r="H328" i="10" s="1"/>
  <c r="H327" i="10" s="1"/>
  <c r="H326" i="10" s="1"/>
  <c r="H325" i="10" s="1"/>
  <c r="H324" i="10" s="1"/>
  <c r="H323" i="10" s="1"/>
  <c r="H322" i="10" s="1"/>
  <c r="H321" i="10" s="1"/>
  <c r="H320" i="10" s="1"/>
  <c r="H319" i="10" s="1"/>
  <c r="H318" i="10" s="1"/>
  <c r="H317" i="10" s="1"/>
  <c r="H316" i="10" s="1"/>
  <c r="H315" i="10" s="1"/>
  <c r="H314" i="10" s="1"/>
  <c r="H313" i="10" s="1"/>
  <c r="H312" i="10" s="1"/>
  <c r="H311" i="10" s="1"/>
  <c r="H310" i="10" s="1"/>
  <c r="H309" i="10" s="1"/>
  <c r="H308" i="10" s="1"/>
  <c r="H307" i="10" s="1"/>
  <c r="H306" i="10" s="1"/>
  <c r="H305" i="10" s="1"/>
  <c r="H304" i="10" s="1"/>
  <c r="H303" i="10" s="1"/>
  <c r="H302" i="10" s="1"/>
  <c r="H301" i="10" s="1"/>
  <c r="H300" i="10" s="1"/>
  <c r="H299" i="10" s="1"/>
  <c r="H298" i="10" s="1"/>
  <c r="H297" i="10" s="1"/>
  <c r="H296" i="10" s="1"/>
  <c r="H295" i="10" s="1"/>
  <c r="H294" i="10" s="1"/>
  <c r="H293" i="10" s="1"/>
  <c r="H292" i="10" s="1"/>
  <c r="H291" i="10" s="1"/>
  <c r="H290" i="10" s="1"/>
  <c r="H289" i="10" s="1"/>
  <c r="H288" i="10" s="1"/>
  <c r="H287" i="10" s="1"/>
  <c r="H286" i="10" s="1"/>
  <c r="H285" i="10" s="1"/>
  <c r="H284" i="10" s="1"/>
  <c r="H283" i="10" s="1"/>
  <c r="H282" i="10" s="1"/>
  <c r="H281" i="10" s="1"/>
  <c r="H280" i="10" s="1"/>
  <c r="H279" i="10" s="1"/>
  <c r="H278" i="10" s="1"/>
  <c r="H277" i="10" s="1"/>
  <c r="H276" i="10" s="1"/>
  <c r="H275" i="10" s="1"/>
  <c r="H274" i="10" s="1"/>
  <c r="H273" i="10" s="1"/>
  <c r="H272" i="10" s="1"/>
  <c r="H271" i="10" s="1"/>
  <c r="H270" i="10" s="1"/>
  <c r="H269" i="10" s="1"/>
  <c r="H268" i="10" s="1"/>
  <c r="H267" i="10" s="1"/>
  <c r="H266" i="10" s="1"/>
  <c r="H265" i="10" s="1"/>
  <c r="H264" i="10" s="1"/>
  <c r="H263" i="10" s="1"/>
  <c r="H262" i="10" s="1"/>
  <c r="H261" i="10" s="1"/>
  <c r="H260" i="10" s="1"/>
  <c r="H259" i="10" s="1"/>
  <c r="H258" i="10" s="1"/>
  <c r="H257" i="10" s="1"/>
  <c r="H256" i="10" s="1"/>
  <c r="H255" i="10" s="1"/>
  <c r="H254" i="10" s="1"/>
  <c r="H253" i="10" s="1"/>
  <c r="H252" i="10" s="1"/>
  <c r="H251" i="10" s="1"/>
  <c r="H250" i="10" s="1"/>
  <c r="H249" i="10" s="1"/>
  <c r="H248" i="10" s="1"/>
  <c r="H247" i="10" s="1"/>
  <c r="H246" i="10" s="1"/>
  <c r="H245" i="10" s="1"/>
  <c r="H244" i="10" s="1"/>
  <c r="H243" i="10" s="1"/>
  <c r="H242" i="10" s="1"/>
  <c r="H241" i="10" s="1"/>
  <c r="H240" i="10" s="1"/>
  <c r="H239" i="10" s="1"/>
  <c r="H238" i="10" s="1"/>
  <c r="H237" i="10" s="1"/>
  <c r="H236" i="10" s="1"/>
  <c r="H235" i="10" s="1"/>
  <c r="H234" i="10" s="1"/>
  <c r="H233" i="10" s="1"/>
  <c r="H232" i="10" s="1"/>
  <c r="H231" i="10" s="1"/>
  <c r="H230" i="10" s="1"/>
  <c r="H229" i="10" s="1"/>
  <c r="H228" i="10" s="1"/>
  <c r="H227" i="10" s="1"/>
  <c r="H226" i="10" s="1"/>
  <c r="H225" i="10" s="1"/>
  <c r="H224" i="10" s="1"/>
  <c r="H223" i="10" s="1"/>
  <c r="H222" i="10" s="1"/>
  <c r="H221" i="10" s="1"/>
  <c r="H220" i="10" s="1"/>
  <c r="H219" i="10" s="1"/>
  <c r="H218" i="10" s="1"/>
  <c r="H217" i="10" s="1"/>
  <c r="H216" i="10" s="1"/>
  <c r="H215" i="10" s="1"/>
  <c r="H214" i="10" s="1"/>
  <c r="H213" i="10" s="1"/>
  <c r="H212" i="10" s="1"/>
  <c r="H211" i="10" s="1"/>
  <c r="H210" i="10" s="1"/>
  <c r="H209" i="10" s="1"/>
  <c r="H208" i="10" s="1"/>
  <c r="H207" i="10" s="1"/>
  <c r="H206" i="10" s="1"/>
  <c r="H205" i="10" s="1"/>
  <c r="H204" i="10" s="1"/>
  <c r="H203" i="10" s="1"/>
  <c r="H202" i="10" s="1"/>
  <c r="H201" i="10" s="1"/>
  <c r="H200" i="10" s="1"/>
  <c r="H199" i="10" s="1"/>
  <c r="H198" i="10" s="1"/>
  <c r="H197" i="10" s="1"/>
  <c r="H196" i="10" s="1"/>
  <c r="H195" i="10" s="1"/>
  <c r="H194" i="10" s="1"/>
  <c r="H193" i="10" s="1"/>
  <c r="H192" i="10" s="1"/>
  <c r="H191" i="10" s="1"/>
  <c r="H190" i="10" s="1"/>
  <c r="H189" i="10" s="1"/>
  <c r="H188" i="10" s="1"/>
  <c r="H187" i="10" s="1"/>
  <c r="H186" i="10" s="1"/>
  <c r="H185" i="10" s="1"/>
  <c r="H184" i="10" s="1"/>
  <c r="H183" i="10" s="1"/>
  <c r="H182" i="10" s="1"/>
  <c r="H181" i="10" s="1"/>
  <c r="H180" i="10" s="1"/>
  <c r="H179" i="10" s="1"/>
  <c r="H178" i="10" s="1"/>
  <c r="H177" i="10" s="1"/>
  <c r="H176" i="10" s="1"/>
  <c r="H175" i="10" s="1"/>
  <c r="H174" i="10" s="1"/>
  <c r="H173" i="10" s="1"/>
  <c r="H172" i="10" s="1"/>
  <c r="H171" i="10" s="1"/>
  <c r="H170" i="10" s="1"/>
  <c r="H169" i="10" s="1"/>
  <c r="H168" i="10" s="1"/>
  <c r="H167" i="10" s="1"/>
  <c r="H166" i="10" s="1"/>
  <c r="H165" i="10" s="1"/>
  <c r="H164" i="10" s="1"/>
  <c r="H163" i="10" s="1"/>
  <c r="H162" i="10" s="1"/>
  <c r="H161" i="10" s="1"/>
  <c r="H160" i="10" s="1"/>
  <c r="H159" i="10" s="1"/>
  <c r="H158" i="10" s="1"/>
  <c r="H157" i="10" s="1"/>
  <c r="H156" i="10" s="1"/>
  <c r="H155" i="10" s="1"/>
  <c r="H154" i="10" s="1"/>
  <c r="H153" i="10" s="1"/>
  <c r="H152" i="10" s="1"/>
  <c r="H151" i="10" s="1"/>
  <c r="H150" i="10" s="1"/>
  <c r="H149" i="10" s="1"/>
  <c r="H148" i="10" s="1"/>
  <c r="H147" i="10" s="1"/>
  <c r="H146" i="10" s="1"/>
  <c r="H145" i="10" s="1"/>
  <c r="H144" i="10" s="1"/>
  <c r="H143" i="10" s="1"/>
  <c r="H142" i="10" s="1"/>
  <c r="H141" i="10" s="1"/>
  <c r="H140" i="10" s="1"/>
  <c r="H139" i="10" s="1"/>
  <c r="H138" i="10" s="1"/>
  <c r="H137" i="10" s="1"/>
  <c r="H136" i="10" s="1"/>
  <c r="H135" i="10" s="1"/>
  <c r="H134" i="10" s="1"/>
  <c r="H133" i="10" s="1"/>
  <c r="H132" i="10" s="1"/>
  <c r="H131" i="10" s="1"/>
  <c r="H130" i="10" s="1"/>
  <c r="H129" i="10" s="1"/>
  <c r="H128" i="10" s="1"/>
  <c r="H127" i="10" s="1"/>
  <c r="H126" i="10" s="1"/>
  <c r="H125" i="10" s="1"/>
  <c r="H124" i="10" s="1"/>
  <c r="H123" i="10" s="1"/>
  <c r="H122" i="10" s="1"/>
  <c r="H121" i="10" s="1"/>
  <c r="H120" i="10" s="1"/>
  <c r="H119" i="10" s="1"/>
  <c r="H118" i="10" s="1"/>
  <c r="H117" i="10" s="1"/>
  <c r="H116" i="10" s="1"/>
  <c r="H115" i="10" s="1"/>
  <c r="H114" i="10" s="1"/>
  <c r="H113" i="10" s="1"/>
  <c r="H112" i="10" s="1"/>
  <c r="H111" i="10" s="1"/>
  <c r="H110" i="10" s="1"/>
  <c r="H109" i="10" s="1"/>
  <c r="H108" i="10" s="1"/>
  <c r="H107" i="10" s="1"/>
  <c r="H106" i="10" s="1"/>
  <c r="H105" i="10" s="1"/>
  <c r="H104" i="10" s="1"/>
  <c r="H103" i="10" s="1"/>
  <c r="H102" i="10" s="1"/>
  <c r="H101" i="10" s="1"/>
  <c r="H100" i="10" s="1"/>
  <c r="H99" i="10" s="1"/>
  <c r="H98" i="10" s="1"/>
  <c r="H97" i="10" s="1"/>
  <c r="H96" i="10" s="1"/>
  <c r="H95" i="10" s="1"/>
  <c r="H94" i="10" s="1"/>
  <c r="H93" i="10" s="1"/>
  <c r="H92" i="10" s="1"/>
  <c r="H91" i="10" s="1"/>
  <c r="H90" i="10" s="1"/>
  <c r="H89" i="10" s="1"/>
  <c r="H88" i="10" s="1"/>
  <c r="H87" i="10" s="1"/>
  <c r="H86" i="10" s="1"/>
  <c r="H85" i="10" s="1"/>
  <c r="H84" i="10" s="1"/>
  <c r="H83" i="10" s="1"/>
  <c r="H82" i="10" s="1"/>
  <c r="H81" i="10" s="1"/>
  <c r="H80" i="10" s="1"/>
  <c r="H79" i="10" s="1"/>
  <c r="H78" i="10" s="1"/>
  <c r="H77" i="10" s="1"/>
  <c r="H76" i="10" s="1"/>
  <c r="H75" i="10" s="1"/>
  <c r="H74" i="10" s="1"/>
  <c r="H73" i="10" s="1"/>
  <c r="H72" i="10" s="1"/>
  <c r="H71" i="10" s="1"/>
  <c r="H70" i="10" s="1"/>
  <c r="H69" i="10" s="1"/>
  <c r="H68" i="10" s="1"/>
  <c r="H67" i="10" s="1"/>
  <c r="H66" i="10" s="1"/>
  <c r="H65" i="10" s="1"/>
  <c r="H64" i="10" s="1"/>
  <c r="H63" i="10" s="1"/>
  <c r="H62" i="10" s="1"/>
  <c r="H61" i="10" s="1"/>
  <c r="H60" i="10" s="1"/>
  <c r="H59" i="10" s="1"/>
  <c r="H58" i="10" s="1"/>
  <c r="H57" i="10" s="1"/>
  <c r="H56" i="10" s="1"/>
  <c r="H55" i="10" s="1"/>
  <c r="H54" i="10" s="1"/>
  <c r="H53" i="10" s="1"/>
  <c r="H52" i="10" s="1"/>
  <c r="H51" i="10" s="1"/>
  <c r="H50" i="10" s="1"/>
  <c r="H49" i="10" s="1"/>
  <c r="H48" i="10" s="1"/>
  <c r="H47" i="10" s="1"/>
  <c r="H46" i="10" s="1"/>
  <c r="H45" i="10" s="1"/>
  <c r="H44" i="10" s="1"/>
  <c r="H43" i="10" s="1"/>
  <c r="H42" i="10" s="1"/>
  <c r="H41" i="10" s="1"/>
  <c r="H40" i="10" s="1"/>
  <c r="H39" i="10" s="1"/>
  <c r="H38" i="10" s="1"/>
  <c r="H37" i="10" s="1"/>
  <c r="H36" i="10" s="1"/>
  <c r="H35" i="10" s="1"/>
  <c r="H34" i="10" s="1"/>
  <c r="H33" i="10" s="1"/>
  <c r="H32" i="10" s="1"/>
  <c r="H31" i="10" s="1"/>
  <c r="H30" i="10" s="1"/>
  <c r="H29" i="10" s="1"/>
  <c r="H28" i="10" s="1"/>
  <c r="H27" i="10" s="1"/>
  <c r="H26" i="10" s="1"/>
  <c r="H25" i="10" s="1"/>
  <c r="H24" i="10" s="1"/>
  <c r="H23" i="10" s="1"/>
  <c r="H22" i="10" s="1"/>
  <c r="H21" i="10" s="1"/>
  <c r="H20" i="10" s="1"/>
  <c r="H19" i="10" s="1"/>
  <c r="H18" i="10" s="1"/>
  <c r="H17" i="10" s="1"/>
  <c r="H16" i="10" s="1"/>
  <c r="H15" i="10" s="1"/>
  <c r="H14" i="10" s="1"/>
  <c r="H13" i="10" s="1"/>
  <c r="H12" i="10" s="1"/>
  <c r="H11" i="10" s="1"/>
  <c r="H10" i="10" s="1"/>
  <c r="H9" i="10" s="1"/>
  <c r="H8" i="10" s="1"/>
  <c r="H7" i="10" s="1"/>
  <c r="H6" i="10" s="1"/>
  <c r="H5" i="10" s="1"/>
  <c r="H4" i="10" s="1"/>
  <c r="I40" i="13"/>
  <c r="I39" i="13" s="1"/>
  <c r="I38" i="13" s="1"/>
  <c r="I37" i="13" s="1"/>
  <c r="I36" i="13" s="1"/>
  <c r="I35" i="13" s="1"/>
  <c r="I34" i="13" s="1"/>
  <c r="I33" i="13" s="1"/>
  <c r="I32" i="13" s="1"/>
  <c r="I31" i="13" s="1"/>
  <c r="I30" i="13" s="1"/>
  <c r="I29" i="13" s="1"/>
  <c r="I28" i="13" s="1"/>
  <c r="I27" i="13" s="1"/>
  <c r="I26" i="13" s="1"/>
  <c r="I25" i="13" s="1"/>
  <c r="I24" i="13" s="1"/>
  <c r="I23" i="13" s="1"/>
  <c r="I22" i="13" s="1"/>
  <c r="I21" i="13" s="1"/>
  <c r="I20" i="13" s="1"/>
  <c r="I19" i="13" s="1"/>
  <c r="I18" i="13" s="1"/>
  <c r="I17" i="13" s="1"/>
  <c r="I16" i="13" s="1"/>
  <c r="I15" i="13" s="1"/>
  <c r="I14" i="13" s="1"/>
  <c r="I13" i="13" s="1"/>
  <c r="I12" i="13" s="1"/>
  <c r="I11" i="13" s="1"/>
  <c r="I10" i="13" s="1"/>
  <c r="I9" i="13" s="1"/>
  <c r="I8" i="13" s="1"/>
  <c r="I7" i="13" s="1"/>
  <c r="I6" i="13" s="1"/>
  <c r="I5" i="13" s="1"/>
  <c r="I4" i="13" s="1"/>
  <c r="J632" i="11"/>
  <c r="J631" i="11" s="1"/>
  <c r="J630" i="11" s="1"/>
  <c r="J629" i="11" s="1"/>
  <c r="J628" i="11" s="1"/>
  <c r="J627" i="11" s="1"/>
  <c r="J626" i="11" s="1"/>
  <c r="J625" i="11" s="1"/>
  <c r="J624" i="11" s="1"/>
  <c r="J623" i="11" s="1"/>
  <c r="J622" i="11" s="1"/>
  <c r="J621" i="11" s="1"/>
  <c r="J620" i="11" s="1"/>
  <c r="J619" i="11" s="1"/>
  <c r="J618" i="11" s="1"/>
  <c r="J617" i="11" s="1"/>
  <c r="J616" i="11" s="1"/>
  <c r="J615" i="11" s="1"/>
  <c r="J614" i="11" s="1"/>
  <c r="J613" i="11" s="1"/>
  <c r="J612" i="11" s="1"/>
  <c r="J611" i="11" s="1"/>
  <c r="J610" i="11" s="1"/>
  <c r="J609" i="11" s="1"/>
  <c r="J608" i="11" s="1"/>
  <c r="J607" i="11" s="1"/>
  <c r="J606" i="11" s="1"/>
  <c r="J605" i="11" s="1"/>
  <c r="J604" i="11" s="1"/>
  <c r="J603" i="11" s="1"/>
  <c r="J602" i="11" s="1"/>
  <c r="J601" i="11" s="1"/>
  <c r="J600" i="11" s="1"/>
  <c r="J599" i="11" s="1"/>
  <c r="J598" i="11" s="1"/>
  <c r="J597" i="11" s="1"/>
  <c r="J596" i="11" s="1"/>
  <c r="J595" i="11" s="1"/>
  <c r="J594" i="11" s="1"/>
  <c r="J593" i="11" s="1"/>
  <c r="J592" i="11" s="1"/>
  <c r="J591" i="11" s="1"/>
  <c r="J590" i="11" s="1"/>
  <c r="J589" i="11" s="1"/>
  <c r="J588" i="11" s="1"/>
  <c r="J587" i="11" s="1"/>
  <c r="J586" i="11" s="1"/>
  <c r="J585" i="11" s="1"/>
  <c r="J584" i="11" s="1"/>
  <c r="J583" i="11" s="1"/>
  <c r="J582" i="11" s="1"/>
  <c r="J581" i="11" s="1"/>
  <c r="J580" i="11" s="1"/>
  <c r="J579" i="11" s="1"/>
  <c r="J578" i="11" s="1"/>
  <c r="J577" i="11" s="1"/>
  <c r="J576" i="11" s="1"/>
  <c r="J575" i="11" s="1"/>
  <c r="J574" i="11" s="1"/>
  <c r="J573" i="11" s="1"/>
  <c r="J572" i="11" s="1"/>
  <c r="J571" i="11" s="1"/>
  <c r="J570" i="11" s="1"/>
  <c r="J569" i="11" s="1"/>
  <c r="J568" i="11" s="1"/>
  <c r="J567" i="11" s="1"/>
  <c r="J566" i="11" s="1"/>
  <c r="J565" i="11" s="1"/>
  <c r="J564" i="11" s="1"/>
  <c r="J563" i="11" s="1"/>
  <c r="J562" i="11" s="1"/>
  <c r="J561" i="11" s="1"/>
  <c r="J560" i="11" s="1"/>
  <c r="J559" i="11" s="1"/>
  <c r="J558" i="11" s="1"/>
  <c r="J557" i="11" s="1"/>
  <c r="J556" i="11" s="1"/>
  <c r="J555" i="11" s="1"/>
  <c r="J554" i="11" s="1"/>
  <c r="J553" i="11" s="1"/>
  <c r="J552" i="11" s="1"/>
  <c r="J551" i="11" s="1"/>
  <c r="J550" i="11" s="1"/>
  <c r="J549" i="11" s="1"/>
  <c r="J548" i="11" s="1"/>
  <c r="J547" i="11" s="1"/>
  <c r="J546" i="11" s="1"/>
  <c r="J545" i="11" s="1"/>
  <c r="J544" i="11" s="1"/>
  <c r="J543" i="11" s="1"/>
  <c r="J542" i="11" s="1"/>
  <c r="J541" i="11" s="1"/>
  <c r="J540" i="11" s="1"/>
  <c r="J539" i="11" s="1"/>
  <c r="J538" i="11" s="1"/>
  <c r="J537" i="11" s="1"/>
  <c r="J536" i="11" s="1"/>
  <c r="J535" i="11" s="1"/>
  <c r="J534" i="11" s="1"/>
  <c r="J533" i="11" s="1"/>
  <c r="J532" i="11" s="1"/>
  <c r="J531" i="11" s="1"/>
  <c r="J530" i="11" s="1"/>
  <c r="J529" i="11" s="1"/>
  <c r="J528" i="11" s="1"/>
  <c r="J527" i="11" s="1"/>
  <c r="J526" i="11" s="1"/>
  <c r="J525" i="11" s="1"/>
  <c r="J524" i="11" s="1"/>
  <c r="J523" i="11" s="1"/>
  <c r="J522" i="11" s="1"/>
  <c r="J521" i="11" s="1"/>
  <c r="J520" i="11" s="1"/>
  <c r="J519" i="11" s="1"/>
  <c r="J518" i="11" s="1"/>
  <c r="J517" i="11" s="1"/>
  <c r="J516" i="11" s="1"/>
  <c r="J515" i="11" s="1"/>
  <c r="J514" i="11" s="1"/>
  <c r="J513" i="11" s="1"/>
  <c r="J512" i="11" s="1"/>
  <c r="J511" i="11" s="1"/>
  <c r="J510" i="11" s="1"/>
  <c r="J509" i="11" s="1"/>
  <c r="J508" i="11" s="1"/>
  <c r="J507" i="11" s="1"/>
  <c r="J506" i="11" s="1"/>
  <c r="J505" i="11" s="1"/>
  <c r="J504" i="11" s="1"/>
  <c r="J503" i="11" s="1"/>
  <c r="J502" i="11" s="1"/>
  <c r="J501" i="11" s="1"/>
  <c r="J500" i="11" s="1"/>
  <c r="J499" i="11" s="1"/>
  <c r="J498" i="11" s="1"/>
  <c r="J497" i="11" s="1"/>
  <c r="J496" i="11" s="1"/>
  <c r="J495" i="11" s="1"/>
  <c r="J494" i="11" s="1"/>
  <c r="J493" i="11" s="1"/>
  <c r="J492" i="11" s="1"/>
  <c r="J491" i="11" s="1"/>
  <c r="J490" i="11" s="1"/>
  <c r="J489" i="11" s="1"/>
  <c r="J488" i="11" s="1"/>
  <c r="J487" i="11" s="1"/>
  <c r="J486" i="11" s="1"/>
  <c r="J485" i="11" s="1"/>
  <c r="J484" i="11" s="1"/>
  <c r="J483" i="11" s="1"/>
  <c r="J482" i="11" s="1"/>
  <c r="J481" i="11" s="1"/>
  <c r="J480" i="11" s="1"/>
  <c r="J479" i="11" s="1"/>
  <c r="J478" i="11" s="1"/>
  <c r="J477" i="11" s="1"/>
  <c r="J476" i="11" s="1"/>
  <c r="J475" i="11" s="1"/>
  <c r="J474" i="11" s="1"/>
  <c r="J473" i="11" s="1"/>
  <c r="J472" i="11" s="1"/>
  <c r="J471" i="11" s="1"/>
  <c r="J470" i="11" s="1"/>
  <c r="J469" i="11" s="1"/>
  <c r="J468" i="11" s="1"/>
  <c r="J467" i="11" s="1"/>
  <c r="J466" i="11" s="1"/>
  <c r="J465" i="11" s="1"/>
  <c r="J464" i="11" s="1"/>
  <c r="J463" i="11" s="1"/>
  <c r="J462" i="11" s="1"/>
  <c r="J461" i="11" s="1"/>
  <c r="J460" i="11" s="1"/>
  <c r="J459" i="11" s="1"/>
  <c r="J458" i="11" s="1"/>
  <c r="J457" i="11" s="1"/>
  <c r="J456" i="11" s="1"/>
  <c r="J455" i="11" s="1"/>
  <c r="J454" i="11" s="1"/>
  <c r="J453" i="11" s="1"/>
  <c r="J452" i="11" s="1"/>
  <c r="J451" i="11" s="1"/>
  <c r="J450" i="11" s="1"/>
  <c r="J449" i="11" s="1"/>
  <c r="J448" i="11" s="1"/>
  <c r="J447" i="11" s="1"/>
  <c r="J446" i="11" s="1"/>
  <c r="J445" i="11" s="1"/>
  <c r="J444" i="11" s="1"/>
  <c r="J443" i="11" s="1"/>
  <c r="J442" i="11" s="1"/>
  <c r="J441" i="11" s="1"/>
  <c r="J440" i="11" s="1"/>
  <c r="J439" i="11" s="1"/>
  <c r="J438" i="11" s="1"/>
  <c r="J437" i="11" s="1"/>
  <c r="J436" i="11" s="1"/>
  <c r="J435" i="11" s="1"/>
  <c r="J434" i="11" s="1"/>
  <c r="J433" i="11" s="1"/>
  <c r="J432" i="11" s="1"/>
  <c r="J431" i="11" s="1"/>
  <c r="J430" i="11" s="1"/>
  <c r="J429" i="11" s="1"/>
  <c r="J428" i="11" s="1"/>
  <c r="J427" i="11" s="1"/>
  <c r="J426" i="11" s="1"/>
  <c r="J425" i="11" s="1"/>
  <c r="J424" i="11" s="1"/>
  <c r="J423" i="11" s="1"/>
  <c r="J422" i="11" s="1"/>
  <c r="J421" i="11" s="1"/>
  <c r="J420" i="11" s="1"/>
  <c r="J419" i="11" s="1"/>
  <c r="J418" i="11" s="1"/>
  <c r="J417" i="11" s="1"/>
  <c r="J416" i="11" s="1"/>
  <c r="J415" i="11" s="1"/>
  <c r="J414" i="11" s="1"/>
  <c r="J413" i="11" s="1"/>
  <c r="J412" i="11" s="1"/>
  <c r="J411" i="11" s="1"/>
  <c r="J410" i="11" s="1"/>
  <c r="J409" i="11" s="1"/>
  <c r="J408" i="11" s="1"/>
  <c r="J407" i="11" s="1"/>
  <c r="J406" i="11" s="1"/>
  <c r="J405" i="11" s="1"/>
  <c r="J404" i="11" s="1"/>
  <c r="J403" i="11" s="1"/>
  <c r="J402" i="11" s="1"/>
  <c r="J401" i="11" s="1"/>
  <c r="J400" i="11" s="1"/>
  <c r="J399" i="11" s="1"/>
  <c r="J398" i="11" s="1"/>
  <c r="J397" i="11" s="1"/>
  <c r="J396" i="11" s="1"/>
  <c r="J395" i="11" s="1"/>
  <c r="J394" i="11" s="1"/>
  <c r="J393" i="11" s="1"/>
  <c r="J392" i="11" s="1"/>
  <c r="J391" i="11" s="1"/>
  <c r="J390" i="11" s="1"/>
  <c r="J389" i="11" s="1"/>
  <c r="J388" i="11" s="1"/>
  <c r="J387" i="11" s="1"/>
  <c r="J386" i="11" s="1"/>
  <c r="J385" i="11" s="1"/>
  <c r="J384" i="11" s="1"/>
  <c r="J383" i="11" s="1"/>
  <c r="J382" i="11" s="1"/>
  <c r="J381" i="11" s="1"/>
  <c r="J380" i="11" s="1"/>
  <c r="J379" i="11" s="1"/>
  <c r="J378" i="11" s="1"/>
  <c r="J377" i="11" s="1"/>
  <c r="J376" i="11" s="1"/>
  <c r="J375" i="11" s="1"/>
  <c r="J374" i="11" s="1"/>
  <c r="J373" i="11" s="1"/>
  <c r="J372" i="11" s="1"/>
  <c r="J371" i="11" s="1"/>
  <c r="J370" i="11" s="1"/>
  <c r="J369" i="11" s="1"/>
  <c r="J368" i="11" s="1"/>
  <c r="J367" i="11" s="1"/>
  <c r="J366" i="11" s="1"/>
  <c r="J365" i="11" s="1"/>
  <c r="J364" i="11" s="1"/>
  <c r="J363" i="11" s="1"/>
  <c r="J362" i="11" s="1"/>
  <c r="J361" i="11" s="1"/>
  <c r="J360" i="11" s="1"/>
  <c r="J359" i="11" s="1"/>
  <c r="J358" i="11" s="1"/>
  <c r="J357" i="11" s="1"/>
  <c r="J356" i="11" s="1"/>
  <c r="J355" i="11" s="1"/>
  <c r="J354" i="11" s="1"/>
  <c r="J353" i="11" s="1"/>
  <c r="J352" i="11" s="1"/>
  <c r="J351" i="11" s="1"/>
  <c r="J350" i="11" s="1"/>
  <c r="J349" i="11" s="1"/>
  <c r="J348" i="11" s="1"/>
  <c r="J347" i="11" s="1"/>
  <c r="J346" i="11" s="1"/>
  <c r="J345" i="11" s="1"/>
  <c r="J344" i="11" s="1"/>
  <c r="J343" i="11" s="1"/>
  <c r="J342" i="11" s="1"/>
  <c r="J341" i="11" s="1"/>
  <c r="J340" i="11" s="1"/>
  <c r="J339" i="11" s="1"/>
  <c r="J338" i="11" s="1"/>
  <c r="J337" i="11" s="1"/>
  <c r="J336" i="11" s="1"/>
  <c r="J335" i="11" s="1"/>
  <c r="J334" i="11" s="1"/>
  <c r="J333" i="11" s="1"/>
  <c r="J332" i="11" s="1"/>
  <c r="J331" i="11" s="1"/>
  <c r="J330" i="11" s="1"/>
  <c r="J329" i="11" s="1"/>
  <c r="J328" i="11" s="1"/>
  <c r="J327" i="11" s="1"/>
  <c r="J326" i="11" s="1"/>
  <c r="J325" i="11" s="1"/>
  <c r="J324" i="11" s="1"/>
  <c r="J323" i="11" s="1"/>
  <c r="J322" i="11" s="1"/>
  <c r="J321" i="11" s="1"/>
  <c r="J320" i="11" s="1"/>
  <c r="J319" i="11" s="1"/>
  <c r="J318" i="11" s="1"/>
  <c r="J317" i="11" s="1"/>
  <c r="J316" i="11" s="1"/>
  <c r="J315" i="11" s="1"/>
  <c r="J314" i="11" s="1"/>
  <c r="J313" i="11" s="1"/>
  <c r="J312" i="11" s="1"/>
  <c r="J311" i="11" s="1"/>
  <c r="J310" i="11" s="1"/>
  <c r="J309" i="11" s="1"/>
  <c r="J308" i="11" s="1"/>
  <c r="J307" i="11" s="1"/>
  <c r="J306" i="11" s="1"/>
  <c r="J305" i="11" s="1"/>
  <c r="J304" i="11" s="1"/>
  <c r="J303" i="11" s="1"/>
  <c r="J302" i="11" s="1"/>
  <c r="J301" i="11" s="1"/>
  <c r="J300" i="11" s="1"/>
  <c r="J299" i="11" s="1"/>
  <c r="J298" i="11" s="1"/>
  <c r="J297" i="11" s="1"/>
  <c r="J296" i="11" s="1"/>
  <c r="J295" i="11" s="1"/>
  <c r="J294" i="11" s="1"/>
  <c r="J293" i="11" s="1"/>
  <c r="J292" i="11" s="1"/>
  <c r="J291" i="11" s="1"/>
  <c r="J290" i="11" s="1"/>
  <c r="J289" i="11" s="1"/>
  <c r="J288" i="11" s="1"/>
  <c r="J287" i="11" s="1"/>
  <c r="J286" i="11" s="1"/>
  <c r="J285" i="11" s="1"/>
  <c r="J284" i="11" s="1"/>
  <c r="J283" i="11" s="1"/>
  <c r="J282" i="11" s="1"/>
  <c r="J281" i="11" s="1"/>
  <c r="J280" i="11" s="1"/>
  <c r="J279" i="11" s="1"/>
  <c r="J278" i="11" s="1"/>
  <c r="J277" i="11" s="1"/>
  <c r="J276" i="11" s="1"/>
  <c r="J275" i="11" s="1"/>
  <c r="J274" i="11" s="1"/>
  <c r="J273" i="11" s="1"/>
  <c r="J272" i="11" s="1"/>
  <c r="J271" i="11" s="1"/>
  <c r="J270" i="11" s="1"/>
  <c r="J269" i="11" s="1"/>
  <c r="J268" i="11" s="1"/>
  <c r="J267" i="11" s="1"/>
  <c r="J266" i="11" s="1"/>
  <c r="J265" i="11" s="1"/>
  <c r="J264" i="11" s="1"/>
  <c r="J263" i="11" s="1"/>
  <c r="J262" i="11" s="1"/>
  <c r="J261" i="11" s="1"/>
  <c r="J260" i="11" s="1"/>
  <c r="J259" i="11" s="1"/>
  <c r="J258" i="11" s="1"/>
  <c r="J257" i="11" s="1"/>
  <c r="J256" i="11" s="1"/>
  <c r="J255" i="11" s="1"/>
  <c r="J254" i="11" s="1"/>
  <c r="J253" i="11" s="1"/>
  <c r="J252" i="11" s="1"/>
  <c r="J251" i="11" s="1"/>
  <c r="J250" i="11" s="1"/>
  <c r="J249" i="11" s="1"/>
  <c r="J248" i="11" s="1"/>
  <c r="J247" i="11" s="1"/>
  <c r="J246" i="11" s="1"/>
  <c r="J245" i="11" s="1"/>
  <c r="J244" i="11" s="1"/>
  <c r="J243" i="11" s="1"/>
  <c r="J242" i="11" s="1"/>
  <c r="J241" i="11" s="1"/>
  <c r="J240" i="11" s="1"/>
  <c r="J239" i="11" s="1"/>
  <c r="J238" i="11" s="1"/>
  <c r="J237" i="11" s="1"/>
  <c r="J236" i="11" s="1"/>
  <c r="J235" i="11" s="1"/>
  <c r="J234" i="11" s="1"/>
  <c r="J233" i="11" s="1"/>
  <c r="J232" i="11" s="1"/>
  <c r="J231" i="11" s="1"/>
  <c r="J230" i="11" s="1"/>
  <c r="J229" i="11" s="1"/>
  <c r="J228" i="11" s="1"/>
  <c r="J227" i="11" s="1"/>
  <c r="J226" i="11" s="1"/>
  <c r="J225" i="11" s="1"/>
  <c r="J224" i="11" s="1"/>
  <c r="J223" i="11" s="1"/>
  <c r="J222" i="11" s="1"/>
  <c r="J221" i="11" s="1"/>
  <c r="J220" i="11" s="1"/>
  <c r="J219" i="11" s="1"/>
  <c r="J218" i="11" s="1"/>
  <c r="J217" i="11" s="1"/>
  <c r="J216" i="11" s="1"/>
  <c r="J215" i="11" s="1"/>
  <c r="J214" i="11" s="1"/>
  <c r="J213" i="11" s="1"/>
  <c r="J212" i="11" s="1"/>
  <c r="J211" i="11" s="1"/>
  <c r="J210" i="11" s="1"/>
  <c r="J209" i="11" s="1"/>
  <c r="J208" i="11" s="1"/>
  <c r="J207" i="11" s="1"/>
  <c r="J206" i="11" s="1"/>
  <c r="J205" i="11" s="1"/>
  <c r="J204" i="11" s="1"/>
  <c r="J203" i="11" s="1"/>
  <c r="J202" i="11" s="1"/>
  <c r="J201" i="11" s="1"/>
  <c r="J200" i="11" s="1"/>
  <c r="J199" i="11" s="1"/>
  <c r="J198" i="11" s="1"/>
  <c r="J197" i="11" s="1"/>
  <c r="J196" i="11" s="1"/>
  <c r="J195" i="11" s="1"/>
  <c r="J194" i="11" s="1"/>
  <c r="J193" i="11" s="1"/>
  <c r="J192" i="11" s="1"/>
  <c r="J191" i="11" s="1"/>
  <c r="J190" i="11" s="1"/>
  <c r="J189" i="11" s="1"/>
  <c r="J188" i="11" s="1"/>
  <c r="J187" i="11" s="1"/>
  <c r="J186" i="11" s="1"/>
  <c r="J185" i="11" s="1"/>
  <c r="J184" i="11" s="1"/>
  <c r="J183" i="11" s="1"/>
  <c r="J182" i="11" s="1"/>
  <c r="J181" i="11" s="1"/>
  <c r="J180" i="11" s="1"/>
  <c r="J179" i="11" s="1"/>
  <c r="J178" i="11" s="1"/>
  <c r="J177" i="11" s="1"/>
  <c r="J176" i="11" s="1"/>
  <c r="J175" i="11" s="1"/>
  <c r="J174" i="11" s="1"/>
  <c r="J173" i="11" s="1"/>
  <c r="J172" i="11" s="1"/>
  <c r="J171" i="11" s="1"/>
  <c r="J170" i="11" s="1"/>
  <c r="J169" i="11" s="1"/>
  <c r="J168" i="11" s="1"/>
  <c r="J167" i="11" s="1"/>
  <c r="J166" i="11" s="1"/>
  <c r="J165" i="11" s="1"/>
  <c r="J164" i="11" s="1"/>
  <c r="J163" i="11" s="1"/>
  <c r="J162" i="11" s="1"/>
  <c r="J161" i="11" s="1"/>
  <c r="J160" i="11" s="1"/>
  <c r="J159" i="11" s="1"/>
  <c r="J158" i="11" s="1"/>
  <c r="J157" i="11" s="1"/>
  <c r="J156" i="11" s="1"/>
  <c r="J155" i="11" s="1"/>
  <c r="J154" i="11" s="1"/>
  <c r="J153" i="11" s="1"/>
  <c r="J152" i="11" s="1"/>
  <c r="J151" i="11" s="1"/>
  <c r="J150" i="11" s="1"/>
  <c r="J149" i="11" s="1"/>
  <c r="J148" i="11" s="1"/>
  <c r="J147" i="11" s="1"/>
  <c r="J146" i="11" s="1"/>
  <c r="J145" i="11" s="1"/>
  <c r="J144" i="11" s="1"/>
  <c r="J143" i="11" s="1"/>
  <c r="J142" i="11" s="1"/>
  <c r="J141" i="11" s="1"/>
  <c r="J140" i="11" s="1"/>
  <c r="J139" i="11" s="1"/>
  <c r="J138" i="11" s="1"/>
  <c r="J137" i="11" s="1"/>
  <c r="J136" i="11" s="1"/>
  <c r="J135" i="11" s="1"/>
  <c r="J134" i="11" s="1"/>
  <c r="J133" i="11" s="1"/>
  <c r="J132" i="11" s="1"/>
  <c r="J131" i="11" s="1"/>
  <c r="J130" i="11" s="1"/>
  <c r="J129" i="11" s="1"/>
  <c r="J128" i="11" s="1"/>
  <c r="J127" i="11" s="1"/>
  <c r="J126" i="11" s="1"/>
  <c r="J125" i="11" s="1"/>
  <c r="J124" i="11" s="1"/>
  <c r="J123" i="11" s="1"/>
  <c r="J122" i="11" s="1"/>
  <c r="J121" i="11" s="1"/>
  <c r="J120" i="11" s="1"/>
  <c r="J119" i="11" s="1"/>
  <c r="J118" i="11" s="1"/>
  <c r="J117" i="11" s="1"/>
  <c r="J116" i="11" s="1"/>
  <c r="J115" i="11" s="1"/>
  <c r="J114" i="11" s="1"/>
  <c r="J113" i="11" s="1"/>
  <c r="J112" i="11" s="1"/>
  <c r="J111" i="11" s="1"/>
  <c r="J110" i="11" s="1"/>
  <c r="J109" i="11" s="1"/>
  <c r="J108" i="11" s="1"/>
  <c r="J107" i="11" s="1"/>
  <c r="J106" i="11" s="1"/>
  <c r="J105" i="11" s="1"/>
  <c r="J104" i="11" s="1"/>
  <c r="J103" i="11" s="1"/>
  <c r="J102" i="11" s="1"/>
  <c r="J101" i="11" s="1"/>
  <c r="J100" i="11" s="1"/>
  <c r="J99" i="11" s="1"/>
  <c r="J98" i="11" s="1"/>
  <c r="J97" i="11" s="1"/>
  <c r="J96" i="11" s="1"/>
  <c r="J95" i="11" s="1"/>
  <c r="J94" i="11" s="1"/>
  <c r="J93" i="11" s="1"/>
  <c r="J92" i="11" s="1"/>
  <c r="J91" i="11" s="1"/>
  <c r="J90" i="11" s="1"/>
  <c r="J89" i="11" s="1"/>
  <c r="J88" i="11" s="1"/>
  <c r="J87" i="11" s="1"/>
  <c r="J86" i="11" s="1"/>
  <c r="J85" i="11" s="1"/>
  <c r="J84" i="11" s="1"/>
  <c r="J83" i="11" s="1"/>
  <c r="J82" i="11" s="1"/>
  <c r="J81" i="11" s="1"/>
  <c r="J80" i="11" s="1"/>
  <c r="J79" i="11" s="1"/>
  <c r="J78" i="11" s="1"/>
  <c r="J77" i="11" s="1"/>
  <c r="J76" i="11" s="1"/>
  <c r="J75" i="11" s="1"/>
  <c r="J74" i="11" s="1"/>
  <c r="J73" i="11" s="1"/>
  <c r="J72" i="11" s="1"/>
  <c r="J71" i="11" s="1"/>
  <c r="J70" i="11" s="1"/>
  <c r="J69" i="11" s="1"/>
  <c r="J68" i="11" s="1"/>
  <c r="J67" i="11" s="1"/>
  <c r="J66" i="11" s="1"/>
  <c r="J65" i="11" s="1"/>
  <c r="J64" i="11" s="1"/>
  <c r="J63" i="11" s="1"/>
  <c r="J62" i="11" s="1"/>
  <c r="J61" i="11" s="1"/>
  <c r="J60" i="11" s="1"/>
  <c r="J59" i="11" s="1"/>
  <c r="J58" i="11" s="1"/>
  <c r="J57" i="11" s="1"/>
  <c r="J56" i="11" s="1"/>
  <c r="J55" i="11" s="1"/>
  <c r="J54" i="11" s="1"/>
  <c r="J53" i="11" s="1"/>
  <c r="J52" i="11" s="1"/>
  <c r="J51" i="11" s="1"/>
  <c r="J50" i="11" s="1"/>
  <c r="J49" i="11" s="1"/>
  <c r="J48" i="11" s="1"/>
  <c r="J47" i="11" s="1"/>
  <c r="J46" i="11" s="1"/>
  <c r="J45" i="11" s="1"/>
  <c r="J44" i="11" s="1"/>
  <c r="J43" i="11" s="1"/>
  <c r="J42" i="11" s="1"/>
  <c r="J41" i="11" s="1"/>
  <c r="J40" i="11" s="1"/>
  <c r="J39" i="11" s="1"/>
  <c r="J38" i="11" s="1"/>
  <c r="J37" i="11" s="1"/>
  <c r="J36" i="11" s="1"/>
  <c r="J35" i="11" s="1"/>
  <c r="J34" i="11" s="1"/>
  <c r="J33" i="11" s="1"/>
  <c r="J32" i="11" s="1"/>
  <c r="J31" i="11" s="1"/>
  <c r="J30" i="11" s="1"/>
  <c r="J29" i="11" s="1"/>
  <c r="J28" i="11" s="1"/>
  <c r="J27" i="11" s="1"/>
  <c r="J26" i="11" s="1"/>
  <c r="J25" i="11" s="1"/>
  <c r="J24" i="11" s="1"/>
  <c r="J23" i="11" s="1"/>
  <c r="J22" i="11" s="1"/>
  <c r="J21" i="11" s="1"/>
  <c r="J20" i="11" s="1"/>
  <c r="J19" i="11" s="1"/>
  <c r="J18" i="11" s="1"/>
  <c r="J17" i="11" s="1"/>
  <c r="J16" i="11" s="1"/>
  <c r="J15" i="11" s="1"/>
  <c r="J14" i="11" s="1"/>
  <c r="J13" i="11" s="1"/>
  <c r="J12" i="11" s="1"/>
  <c r="J11" i="11" s="1"/>
  <c r="J10" i="11" s="1"/>
  <c r="J9" i="11" s="1"/>
  <c r="J8" i="11" s="1"/>
  <c r="J7" i="11" s="1"/>
  <c r="J6" i="11" s="1"/>
  <c r="J5" i="11" s="1"/>
  <c r="J4" i="11" s="1"/>
  <c r="P1484" i="12"/>
  <c r="P1483" i="12" s="1"/>
  <c r="P1482" i="12" s="1"/>
  <c r="P1481" i="12" s="1"/>
  <c r="P1480" i="12" s="1"/>
  <c r="P1479" i="12" s="1"/>
  <c r="P1478" i="12" s="1"/>
  <c r="P1477" i="12" s="1"/>
  <c r="P1476" i="12" s="1"/>
  <c r="P1475" i="12" s="1"/>
  <c r="P1474" i="12" s="1"/>
  <c r="P1473" i="12" s="1"/>
  <c r="P1472" i="12" s="1"/>
  <c r="P1471" i="12" s="1"/>
  <c r="P1470" i="12" s="1"/>
  <c r="P1469" i="12" s="1"/>
  <c r="P1468" i="12" s="1"/>
  <c r="P1467" i="12" s="1"/>
  <c r="P1466" i="12" s="1"/>
  <c r="P1465" i="12" s="1"/>
  <c r="P1464" i="12" s="1"/>
  <c r="P1463" i="12" s="1"/>
  <c r="P1462" i="12" s="1"/>
  <c r="P1461" i="12" s="1"/>
  <c r="P1460" i="12" s="1"/>
  <c r="P1459" i="12" s="1"/>
  <c r="P1458" i="12" s="1"/>
  <c r="P1457" i="12" s="1"/>
  <c r="P1456" i="12" s="1"/>
  <c r="P1455" i="12" s="1"/>
  <c r="P1454" i="12" s="1"/>
  <c r="P1453" i="12" s="1"/>
  <c r="P1452" i="12" s="1"/>
  <c r="P1451" i="12" s="1"/>
  <c r="P1450" i="12" s="1"/>
  <c r="P1449" i="12" s="1"/>
  <c r="P1448" i="12" s="1"/>
  <c r="P1447" i="12" s="1"/>
  <c r="P1446" i="12" s="1"/>
  <c r="P1445" i="12" s="1"/>
  <c r="P1444" i="12" s="1"/>
  <c r="P1443" i="12" s="1"/>
  <c r="P1442" i="12" s="1"/>
  <c r="P1441" i="12" s="1"/>
  <c r="P1440" i="12" s="1"/>
  <c r="P1439" i="12" s="1"/>
  <c r="P1438" i="12" s="1"/>
  <c r="P1437" i="12" s="1"/>
  <c r="P1436" i="12" s="1"/>
  <c r="P1435" i="12" s="1"/>
  <c r="P1434" i="12" s="1"/>
  <c r="P1433" i="12" s="1"/>
  <c r="P1432" i="12" s="1"/>
  <c r="P1431" i="12" s="1"/>
  <c r="P1430" i="12" s="1"/>
  <c r="P1429" i="12" s="1"/>
  <c r="P1428" i="12" s="1"/>
  <c r="P1427" i="12" s="1"/>
  <c r="P1426" i="12" s="1"/>
  <c r="P1425" i="12" s="1"/>
  <c r="P1424" i="12" s="1"/>
  <c r="P1423" i="12" s="1"/>
  <c r="P1422" i="12" s="1"/>
  <c r="P1421" i="12" s="1"/>
  <c r="P1420" i="12" s="1"/>
  <c r="P1419" i="12" s="1"/>
  <c r="P1418" i="12" s="1"/>
  <c r="P1417" i="12" s="1"/>
  <c r="P1416" i="12" s="1"/>
  <c r="P1415" i="12" s="1"/>
  <c r="P1414" i="12" s="1"/>
  <c r="P1413" i="12" s="1"/>
  <c r="P1412" i="12" s="1"/>
  <c r="P1411" i="12" s="1"/>
  <c r="P1410" i="12" s="1"/>
  <c r="P1409" i="12" s="1"/>
  <c r="P1408" i="12" s="1"/>
  <c r="P1407" i="12" s="1"/>
  <c r="P1406" i="12" s="1"/>
  <c r="P1405" i="12" s="1"/>
  <c r="P1404" i="12" s="1"/>
  <c r="P1403" i="12" s="1"/>
  <c r="P1402" i="12" s="1"/>
  <c r="P1401" i="12" s="1"/>
  <c r="P1400" i="12" s="1"/>
  <c r="P1399" i="12" s="1"/>
  <c r="P1398" i="12" s="1"/>
  <c r="P1397" i="12" s="1"/>
  <c r="P1396" i="12" s="1"/>
  <c r="P1395" i="12" s="1"/>
  <c r="P1394" i="12" s="1"/>
  <c r="P1393" i="12" s="1"/>
  <c r="P1392" i="12" s="1"/>
  <c r="P1391" i="12" s="1"/>
  <c r="P1390" i="12" s="1"/>
  <c r="P1389" i="12" s="1"/>
  <c r="P1388" i="12" s="1"/>
  <c r="P1387" i="12" s="1"/>
  <c r="P1386" i="12" s="1"/>
  <c r="P1385" i="12" s="1"/>
  <c r="P1384" i="12" s="1"/>
  <c r="P1383" i="12" s="1"/>
  <c r="P1382" i="12" s="1"/>
  <c r="P1381" i="12" s="1"/>
  <c r="P1380" i="12" s="1"/>
  <c r="P1379" i="12" s="1"/>
  <c r="P1378" i="12" s="1"/>
  <c r="P1377" i="12" s="1"/>
  <c r="P1376" i="12" s="1"/>
  <c r="P1375" i="12" s="1"/>
  <c r="P1374" i="12" s="1"/>
  <c r="P1373" i="12" s="1"/>
  <c r="P1372" i="12" s="1"/>
  <c r="P1371" i="12" s="1"/>
  <c r="P1370" i="12" s="1"/>
  <c r="P1369" i="12" s="1"/>
  <c r="P1368" i="12" s="1"/>
  <c r="P1367" i="12" s="1"/>
  <c r="P1366" i="12" s="1"/>
  <c r="P1365" i="12" s="1"/>
  <c r="P1364" i="12" s="1"/>
  <c r="P1363" i="12" s="1"/>
  <c r="P1362" i="12" s="1"/>
  <c r="P1361" i="12" s="1"/>
  <c r="P1360" i="12" s="1"/>
  <c r="P1359" i="12" s="1"/>
  <c r="P1358" i="12" s="1"/>
  <c r="P1357" i="12" s="1"/>
  <c r="P1356" i="12" s="1"/>
  <c r="P1355" i="12" s="1"/>
  <c r="P1354" i="12" s="1"/>
  <c r="P1353" i="12" s="1"/>
  <c r="P1352" i="12" s="1"/>
  <c r="P1351" i="12" s="1"/>
  <c r="P1350" i="12" s="1"/>
  <c r="P1349" i="12" s="1"/>
  <c r="P1348" i="12" s="1"/>
  <c r="P1347" i="12" s="1"/>
  <c r="P1346" i="12" s="1"/>
  <c r="P1345" i="12" s="1"/>
  <c r="P1344" i="12" s="1"/>
  <c r="P1343" i="12" s="1"/>
  <c r="P1342" i="12" s="1"/>
  <c r="P1341" i="12" s="1"/>
  <c r="P1340" i="12" s="1"/>
  <c r="P1339" i="12" s="1"/>
  <c r="P1338" i="12" s="1"/>
  <c r="P1337" i="12" s="1"/>
  <c r="P1336" i="12" s="1"/>
  <c r="P1335" i="12" s="1"/>
  <c r="P1334" i="12" s="1"/>
  <c r="P1333" i="12" s="1"/>
  <c r="P1332" i="12" s="1"/>
  <c r="P1331" i="12" s="1"/>
  <c r="P1330" i="12" s="1"/>
  <c r="P1329" i="12" s="1"/>
  <c r="P1328" i="12" s="1"/>
  <c r="P1327" i="12" s="1"/>
  <c r="P1326" i="12" s="1"/>
  <c r="P1325" i="12" s="1"/>
  <c r="P1324" i="12" s="1"/>
  <c r="P1323" i="12" s="1"/>
  <c r="P1322" i="12" s="1"/>
  <c r="P1321" i="12" s="1"/>
  <c r="P1320" i="12" s="1"/>
  <c r="P1319" i="12" s="1"/>
  <c r="P1318" i="12" s="1"/>
  <c r="P1317" i="12" s="1"/>
  <c r="P1316" i="12" s="1"/>
  <c r="P1315" i="12" s="1"/>
  <c r="P1314" i="12" s="1"/>
  <c r="P1313" i="12" s="1"/>
  <c r="P1312" i="12" s="1"/>
  <c r="P1311" i="12" s="1"/>
  <c r="P1310" i="12" s="1"/>
  <c r="P1309" i="12" s="1"/>
  <c r="P1308" i="12" s="1"/>
  <c r="P1307" i="12" s="1"/>
  <c r="P1306" i="12" s="1"/>
  <c r="P1305" i="12" s="1"/>
  <c r="P1304" i="12" s="1"/>
  <c r="P1303" i="12" s="1"/>
  <c r="P1302" i="12" s="1"/>
  <c r="P1301" i="12" s="1"/>
  <c r="P1300" i="12" s="1"/>
  <c r="P1299" i="12" s="1"/>
  <c r="P1298" i="12" s="1"/>
  <c r="P1297" i="12" s="1"/>
  <c r="P1296" i="12" s="1"/>
  <c r="P1295" i="12" s="1"/>
  <c r="P1294" i="12" s="1"/>
  <c r="P1293" i="12" s="1"/>
  <c r="P1292" i="12" s="1"/>
  <c r="P1291" i="12" s="1"/>
  <c r="P1290" i="12" s="1"/>
  <c r="P1289" i="12" s="1"/>
  <c r="P1288" i="12" s="1"/>
  <c r="P1287" i="12" s="1"/>
  <c r="P1286" i="12" s="1"/>
  <c r="P1285" i="12" s="1"/>
  <c r="P1284" i="12" s="1"/>
  <c r="P1283" i="12" s="1"/>
  <c r="P1282" i="12" s="1"/>
  <c r="P1281" i="12" s="1"/>
  <c r="P1280" i="12" s="1"/>
  <c r="P1279" i="12" s="1"/>
  <c r="P1278" i="12" s="1"/>
  <c r="P1277" i="12" s="1"/>
  <c r="P1276" i="12" s="1"/>
  <c r="P1275" i="12" s="1"/>
  <c r="P1274" i="12" s="1"/>
  <c r="P1273" i="12" s="1"/>
  <c r="P1272" i="12" s="1"/>
  <c r="P1271" i="12" s="1"/>
  <c r="P1270" i="12" s="1"/>
  <c r="P1269" i="12" s="1"/>
  <c r="P1268" i="12" s="1"/>
  <c r="P1267" i="12" s="1"/>
  <c r="P1266" i="12" s="1"/>
  <c r="P1265" i="12" s="1"/>
  <c r="P1264" i="12" s="1"/>
  <c r="P1263" i="12" s="1"/>
  <c r="P1262" i="12" s="1"/>
  <c r="P1261" i="12" s="1"/>
  <c r="P1260" i="12" s="1"/>
  <c r="P1259" i="12" s="1"/>
  <c r="P1258" i="12" s="1"/>
  <c r="P1257" i="12" s="1"/>
  <c r="P1256" i="12" s="1"/>
  <c r="P1255" i="12" s="1"/>
  <c r="P1254" i="12" s="1"/>
  <c r="P1253" i="12" s="1"/>
  <c r="P1252" i="12" s="1"/>
  <c r="P1251" i="12" s="1"/>
  <c r="P1250" i="12" s="1"/>
  <c r="P1249" i="12" s="1"/>
  <c r="P1248" i="12" s="1"/>
  <c r="P1247" i="12" s="1"/>
  <c r="P1246" i="12" s="1"/>
  <c r="P1245" i="12" s="1"/>
  <c r="P1244" i="12" s="1"/>
  <c r="P1243" i="12" s="1"/>
  <c r="P1242" i="12" s="1"/>
  <c r="P1241" i="12" s="1"/>
  <c r="P1240" i="12" s="1"/>
  <c r="P1239" i="12" s="1"/>
  <c r="P1238" i="12" s="1"/>
  <c r="P1237" i="12" s="1"/>
  <c r="P1236" i="12" s="1"/>
  <c r="P1235" i="12" s="1"/>
  <c r="P1234" i="12" s="1"/>
  <c r="P1233" i="12" s="1"/>
  <c r="P1232" i="12" s="1"/>
  <c r="P1231" i="12" s="1"/>
  <c r="P1230" i="12" s="1"/>
  <c r="P1229" i="12" s="1"/>
  <c r="P1228" i="12" s="1"/>
  <c r="P1227" i="12" s="1"/>
  <c r="P1226" i="12" s="1"/>
  <c r="P1225" i="12" s="1"/>
  <c r="P1224" i="12" s="1"/>
  <c r="P1223" i="12" s="1"/>
  <c r="P1222" i="12" s="1"/>
  <c r="P1221" i="12" s="1"/>
  <c r="P1220" i="12" s="1"/>
  <c r="P1219" i="12" s="1"/>
  <c r="P1218" i="12" s="1"/>
  <c r="P1217" i="12" s="1"/>
  <c r="P1216" i="12" s="1"/>
  <c r="P1215" i="12" s="1"/>
  <c r="P1214" i="12" s="1"/>
  <c r="P1213" i="12" s="1"/>
  <c r="P1212" i="12" s="1"/>
  <c r="P1211" i="12" s="1"/>
  <c r="P1210" i="12" s="1"/>
  <c r="P1209" i="12" s="1"/>
  <c r="P1208" i="12" s="1"/>
  <c r="P1207" i="12" s="1"/>
  <c r="P1206" i="12" s="1"/>
  <c r="P1205" i="12" s="1"/>
  <c r="P1204" i="12" s="1"/>
  <c r="P1203" i="12" s="1"/>
  <c r="P1202" i="12" s="1"/>
  <c r="P1201" i="12" s="1"/>
  <c r="P1200" i="12" s="1"/>
  <c r="P1199" i="12" s="1"/>
  <c r="P1198" i="12" s="1"/>
  <c r="P1197" i="12" s="1"/>
  <c r="P1196" i="12" s="1"/>
  <c r="P1195" i="12" s="1"/>
  <c r="P1194" i="12" s="1"/>
  <c r="P1193" i="12" s="1"/>
  <c r="P1192" i="12" s="1"/>
  <c r="P1191" i="12" s="1"/>
  <c r="P1190" i="12" s="1"/>
  <c r="P1189" i="12" s="1"/>
  <c r="P1188" i="12" s="1"/>
  <c r="P1187" i="12" s="1"/>
  <c r="P1186" i="12" s="1"/>
  <c r="P1185" i="12" s="1"/>
  <c r="P1184" i="12" s="1"/>
  <c r="P1183" i="12" s="1"/>
  <c r="P1182" i="12" s="1"/>
  <c r="P1181" i="12" s="1"/>
  <c r="P1180" i="12" s="1"/>
  <c r="P1179" i="12" s="1"/>
  <c r="P1178" i="12" s="1"/>
  <c r="P1177" i="12" s="1"/>
  <c r="P1176" i="12" s="1"/>
  <c r="P1175" i="12" s="1"/>
  <c r="P1174" i="12" s="1"/>
  <c r="P1173" i="12" s="1"/>
  <c r="P1172" i="12" s="1"/>
  <c r="P1171" i="12" s="1"/>
  <c r="P1170" i="12" s="1"/>
  <c r="P1169" i="12" s="1"/>
  <c r="P1168" i="12" s="1"/>
  <c r="P1167" i="12" s="1"/>
  <c r="P1166" i="12" s="1"/>
  <c r="P1165" i="12" s="1"/>
  <c r="P1164" i="12" s="1"/>
  <c r="P1163" i="12" s="1"/>
  <c r="P1162" i="12" s="1"/>
  <c r="P1161" i="12" s="1"/>
  <c r="P1160" i="12" s="1"/>
  <c r="P1159" i="12" s="1"/>
  <c r="P1158" i="12" s="1"/>
  <c r="P1157" i="12" s="1"/>
  <c r="P1156" i="12" s="1"/>
  <c r="P1155" i="12" s="1"/>
  <c r="P1154" i="12" s="1"/>
  <c r="P1153" i="12" s="1"/>
  <c r="P1152" i="12" s="1"/>
  <c r="P1151" i="12" s="1"/>
  <c r="P1150" i="12" s="1"/>
  <c r="P1149" i="12" s="1"/>
  <c r="P1148" i="12" s="1"/>
  <c r="P1147" i="12" s="1"/>
  <c r="P1146" i="12" s="1"/>
  <c r="P1145" i="12" s="1"/>
  <c r="P1144" i="12" s="1"/>
  <c r="P1143" i="12" s="1"/>
  <c r="P1142" i="12" s="1"/>
  <c r="P1141" i="12" s="1"/>
  <c r="P1140" i="12" s="1"/>
  <c r="P1139" i="12" s="1"/>
  <c r="P1138" i="12" s="1"/>
  <c r="P1137" i="12" s="1"/>
  <c r="P1136" i="12" s="1"/>
  <c r="P1135" i="12" s="1"/>
  <c r="P1134" i="12" s="1"/>
  <c r="P1133" i="12" s="1"/>
  <c r="P1132" i="12" s="1"/>
  <c r="P1131" i="12" s="1"/>
  <c r="P1130" i="12" s="1"/>
  <c r="P1129" i="12" s="1"/>
  <c r="P1128" i="12" s="1"/>
  <c r="P1127" i="12" s="1"/>
  <c r="P1126" i="12" s="1"/>
  <c r="P1125" i="12" s="1"/>
  <c r="P1124" i="12" s="1"/>
  <c r="P1123" i="12" s="1"/>
  <c r="P1122" i="12" s="1"/>
  <c r="P1121" i="12" s="1"/>
  <c r="P1120" i="12" s="1"/>
  <c r="P1119" i="12" s="1"/>
  <c r="P1118" i="12" s="1"/>
  <c r="P1117" i="12" s="1"/>
  <c r="P1116" i="12" s="1"/>
  <c r="P1115" i="12" s="1"/>
  <c r="P1114" i="12" s="1"/>
  <c r="P1113" i="12" s="1"/>
  <c r="P1112" i="12" s="1"/>
  <c r="P1111" i="12" s="1"/>
  <c r="P1110" i="12" s="1"/>
  <c r="P1109" i="12" s="1"/>
  <c r="P1108" i="12" s="1"/>
  <c r="P1107" i="12" s="1"/>
  <c r="P1106" i="12" s="1"/>
  <c r="P1105" i="12" s="1"/>
  <c r="P1104" i="12" s="1"/>
  <c r="P1103" i="12" s="1"/>
  <c r="P1102" i="12" s="1"/>
  <c r="P1101" i="12" s="1"/>
  <c r="P1100" i="12" s="1"/>
  <c r="P1099" i="12" s="1"/>
  <c r="P1098" i="12" s="1"/>
  <c r="P1097" i="12" s="1"/>
  <c r="P1096" i="12" s="1"/>
  <c r="P1095" i="12" s="1"/>
  <c r="P1094" i="12" s="1"/>
  <c r="P1093" i="12" s="1"/>
  <c r="P1092" i="12" s="1"/>
  <c r="P1091" i="12" s="1"/>
  <c r="P1090" i="12" s="1"/>
  <c r="P1089" i="12" s="1"/>
  <c r="P1088" i="12" s="1"/>
  <c r="P1087" i="12" s="1"/>
  <c r="P1086" i="12" s="1"/>
  <c r="P1085" i="12" s="1"/>
  <c r="P1084" i="12" s="1"/>
  <c r="P1083" i="12" s="1"/>
  <c r="P1082" i="12" s="1"/>
  <c r="P1081" i="12" s="1"/>
  <c r="P1080" i="12" s="1"/>
  <c r="P1079" i="12" s="1"/>
  <c r="P1078" i="12" s="1"/>
  <c r="P1077" i="12" s="1"/>
  <c r="P1076" i="12" s="1"/>
  <c r="P1075" i="12" s="1"/>
  <c r="P1074" i="12" s="1"/>
  <c r="P1073" i="12" s="1"/>
  <c r="P1072" i="12" s="1"/>
  <c r="P1071" i="12" s="1"/>
  <c r="P1070" i="12" s="1"/>
  <c r="P1069" i="12" s="1"/>
  <c r="P1068" i="12" s="1"/>
  <c r="P1067" i="12" s="1"/>
  <c r="P1066" i="12" s="1"/>
  <c r="P1065" i="12" s="1"/>
  <c r="P1064" i="12" s="1"/>
  <c r="P1063" i="12" s="1"/>
  <c r="P1062" i="12" s="1"/>
  <c r="P1061" i="12" s="1"/>
  <c r="P1060" i="12" s="1"/>
  <c r="P1059" i="12" s="1"/>
  <c r="P1058" i="12" s="1"/>
  <c r="P1057" i="12" s="1"/>
  <c r="P1056" i="12" s="1"/>
  <c r="P1055" i="12" s="1"/>
  <c r="P1054" i="12" s="1"/>
  <c r="P1053" i="12" s="1"/>
  <c r="P1052" i="12" s="1"/>
  <c r="P1051" i="12" s="1"/>
  <c r="P1050" i="12" s="1"/>
  <c r="P1049" i="12" s="1"/>
  <c r="P1048" i="12" s="1"/>
  <c r="P1047" i="12" s="1"/>
  <c r="P1046" i="12" s="1"/>
  <c r="P1045" i="12" s="1"/>
  <c r="P1044" i="12" s="1"/>
  <c r="P1043" i="12" s="1"/>
  <c r="P1042" i="12" s="1"/>
  <c r="P1041" i="12" s="1"/>
  <c r="P1040" i="12" s="1"/>
  <c r="P1039" i="12" s="1"/>
  <c r="P1038" i="12" s="1"/>
  <c r="P1037" i="12" s="1"/>
  <c r="P1036" i="12" s="1"/>
  <c r="P1035" i="12" s="1"/>
  <c r="P1034" i="12" s="1"/>
  <c r="P1033" i="12" s="1"/>
  <c r="P1032" i="12" s="1"/>
  <c r="P1031" i="12" s="1"/>
  <c r="P1030" i="12" s="1"/>
  <c r="P1029" i="12" s="1"/>
  <c r="P1028" i="12" s="1"/>
  <c r="P1027" i="12" s="1"/>
  <c r="P1026" i="12" s="1"/>
  <c r="P1025" i="12" s="1"/>
  <c r="P1024" i="12" s="1"/>
  <c r="P1023" i="12" s="1"/>
  <c r="P1022" i="12" s="1"/>
  <c r="P1021" i="12" s="1"/>
  <c r="P1020" i="12" s="1"/>
  <c r="P1019" i="12" s="1"/>
  <c r="P1018" i="12" s="1"/>
  <c r="P1017" i="12" s="1"/>
  <c r="P1016" i="12" s="1"/>
  <c r="P1015" i="12" s="1"/>
  <c r="P1014" i="12" s="1"/>
  <c r="P1013" i="12" s="1"/>
  <c r="P1012" i="12" s="1"/>
  <c r="P1011" i="12" s="1"/>
  <c r="P1010" i="12" s="1"/>
  <c r="P1009" i="12" s="1"/>
  <c r="P1008" i="12" s="1"/>
  <c r="P1007" i="12" s="1"/>
  <c r="P1006" i="12" s="1"/>
  <c r="P1005" i="12" s="1"/>
  <c r="P1004" i="12" s="1"/>
  <c r="P1003" i="12" s="1"/>
  <c r="P1002" i="12" s="1"/>
  <c r="P1001" i="12" s="1"/>
  <c r="P1000" i="12" s="1"/>
  <c r="P999" i="12" s="1"/>
  <c r="P998" i="12" s="1"/>
  <c r="P997" i="12" s="1"/>
  <c r="P996" i="12" s="1"/>
  <c r="P995" i="12" s="1"/>
  <c r="P994" i="12" s="1"/>
  <c r="P993" i="12" s="1"/>
  <c r="P992" i="12" s="1"/>
  <c r="P991" i="12" s="1"/>
  <c r="P990" i="12" s="1"/>
  <c r="P989" i="12" s="1"/>
  <c r="P988" i="12" s="1"/>
  <c r="P987" i="12" s="1"/>
  <c r="P986" i="12" s="1"/>
  <c r="P985" i="12" s="1"/>
  <c r="P984" i="12" s="1"/>
  <c r="P983" i="12" s="1"/>
  <c r="P982" i="12" s="1"/>
  <c r="P981" i="12" s="1"/>
  <c r="P980" i="12" s="1"/>
  <c r="P979" i="12" s="1"/>
  <c r="P978" i="12" s="1"/>
  <c r="P977" i="12" s="1"/>
  <c r="P976" i="12" s="1"/>
  <c r="P975" i="12" s="1"/>
  <c r="P974" i="12" s="1"/>
  <c r="P973" i="12" s="1"/>
  <c r="P972" i="12" s="1"/>
  <c r="P971" i="12" s="1"/>
  <c r="P970" i="12" s="1"/>
  <c r="P969" i="12" s="1"/>
  <c r="P968" i="12" s="1"/>
  <c r="P967" i="12" s="1"/>
  <c r="P966" i="12" s="1"/>
  <c r="P965" i="12" s="1"/>
  <c r="P964" i="12" s="1"/>
  <c r="P963" i="12" s="1"/>
  <c r="P962" i="12" s="1"/>
  <c r="P961" i="12" s="1"/>
  <c r="P960" i="12" s="1"/>
  <c r="P959" i="12" s="1"/>
  <c r="P958" i="12" s="1"/>
  <c r="P957" i="12" s="1"/>
  <c r="P956" i="12" s="1"/>
  <c r="P955" i="12" s="1"/>
  <c r="P954" i="12" s="1"/>
  <c r="P953" i="12" s="1"/>
  <c r="P952" i="12" s="1"/>
  <c r="P951" i="12" s="1"/>
  <c r="P950" i="12" s="1"/>
  <c r="P949" i="12" s="1"/>
  <c r="P948" i="12" s="1"/>
  <c r="P947" i="12" s="1"/>
  <c r="P946" i="12" s="1"/>
  <c r="P945" i="12" s="1"/>
  <c r="P944" i="12" s="1"/>
  <c r="P943" i="12" s="1"/>
  <c r="P942" i="12" s="1"/>
  <c r="P941" i="12" s="1"/>
  <c r="P940" i="12" s="1"/>
  <c r="P939" i="12" s="1"/>
  <c r="P938" i="12" s="1"/>
  <c r="P937" i="12" s="1"/>
  <c r="P936" i="12" s="1"/>
  <c r="P935" i="12" s="1"/>
  <c r="P934" i="12" s="1"/>
  <c r="P933" i="12" s="1"/>
  <c r="P932" i="12" s="1"/>
  <c r="P931" i="12" s="1"/>
  <c r="P930" i="12" s="1"/>
  <c r="P929" i="12" s="1"/>
  <c r="P928" i="12" s="1"/>
  <c r="P927" i="12" s="1"/>
  <c r="P926" i="12" s="1"/>
  <c r="P925" i="12" s="1"/>
  <c r="P924" i="12" s="1"/>
  <c r="P923" i="12" s="1"/>
  <c r="P922" i="12" s="1"/>
  <c r="P921" i="12" s="1"/>
  <c r="P920" i="12" s="1"/>
  <c r="P919" i="12" s="1"/>
  <c r="P918" i="12" s="1"/>
  <c r="P917" i="12" s="1"/>
  <c r="P916" i="12" s="1"/>
  <c r="P915" i="12" s="1"/>
  <c r="P914" i="12" s="1"/>
  <c r="P913" i="12" s="1"/>
  <c r="P912" i="12" s="1"/>
  <c r="P911" i="12" s="1"/>
  <c r="P910" i="12" s="1"/>
  <c r="P909" i="12" s="1"/>
  <c r="P908" i="12" s="1"/>
  <c r="P907" i="12" s="1"/>
  <c r="P906" i="12" s="1"/>
  <c r="P905" i="12" s="1"/>
  <c r="P904" i="12" s="1"/>
  <c r="P903" i="12" s="1"/>
  <c r="P902" i="12" s="1"/>
  <c r="P901" i="12" s="1"/>
  <c r="P900" i="12" s="1"/>
  <c r="P899" i="12" s="1"/>
  <c r="P898" i="12" s="1"/>
  <c r="P897" i="12" s="1"/>
  <c r="P896" i="12" s="1"/>
  <c r="P895" i="12" s="1"/>
  <c r="P894" i="12" s="1"/>
  <c r="P893" i="12" s="1"/>
  <c r="P892" i="12" s="1"/>
  <c r="P891" i="12" s="1"/>
  <c r="P890" i="12" s="1"/>
  <c r="P889" i="12" s="1"/>
  <c r="P888" i="12" s="1"/>
  <c r="P887" i="12" s="1"/>
  <c r="P886" i="12" s="1"/>
  <c r="P885" i="12" s="1"/>
  <c r="P884" i="12" s="1"/>
  <c r="P883" i="12" s="1"/>
  <c r="P882" i="12" s="1"/>
  <c r="P881" i="12" s="1"/>
  <c r="P880" i="12" s="1"/>
  <c r="P879" i="12" s="1"/>
  <c r="P878" i="12" s="1"/>
  <c r="P877" i="12" s="1"/>
  <c r="P876" i="12" s="1"/>
  <c r="P875" i="12" s="1"/>
  <c r="P874" i="12" s="1"/>
  <c r="P873" i="12" s="1"/>
  <c r="P872" i="12" s="1"/>
  <c r="P871" i="12" s="1"/>
  <c r="P870" i="12" s="1"/>
  <c r="P869" i="12" s="1"/>
  <c r="P868" i="12" s="1"/>
  <c r="P867" i="12" s="1"/>
  <c r="P866" i="12" s="1"/>
  <c r="P865" i="12" s="1"/>
  <c r="P864" i="12" s="1"/>
  <c r="P863" i="12" s="1"/>
  <c r="P862" i="12" s="1"/>
  <c r="P861" i="12" s="1"/>
  <c r="P860" i="12" s="1"/>
  <c r="P859" i="12" s="1"/>
  <c r="P858" i="12" s="1"/>
  <c r="P857" i="12" s="1"/>
  <c r="P856" i="12" s="1"/>
  <c r="P855" i="12" s="1"/>
  <c r="P854" i="12" s="1"/>
  <c r="P853" i="12" s="1"/>
  <c r="P852" i="12" s="1"/>
  <c r="P851" i="12" s="1"/>
  <c r="P850" i="12" s="1"/>
  <c r="P849" i="12" s="1"/>
  <c r="P848" i="12" s="1"/>
  <c r="P847" i="12" s="1"/>
  <c r="P846" i="12" s="1"/>
  <c r="P845" i="12" s="1"/>
  <c r="P844" i="12" s="1"/>
  <c r="P843" i="12" s="1"/>
  <c r="P842" i="12" s="1"/>
  <c r="P841" i="12" s="1"/>
  <c r="P840" i="12" s="1"/>
  <c r="P839" i="12" s="1"/>
  <c r="P838" i="12" s="1"/>
  <c r="P837" i="12" s="1"/>
  <c r="P836" i="12" s="1"/>
  <c r="P835" i="12" s="1"/>
  <c r="P834" i="12" s="1"/>
  <c r="P833" i="12" s="1"/>
  <c r="P832" i="12" s="1"/>
  <c r="P831" i="12" s="1"/>
  <c r="P830" i="12" s="1"/>
  <c r="P829" i="12" s="1"/>
  <c r="P828" i="12" s="1"/>
  <c r="P827" i="12" s="1"/>
  <c r="P826" i="12" s="1"/>
  <c r="P825" i="12" s="1"/>
  <c r="P824" i="12" s="1"/>
  <c r="P823" i="12" s="1"/>
  <c r="P822" i="12" s="1"/>
  <c r="P821" i="12" s="1"/>
  <c r="P820" i="12" s="1"/>
  <c r="P819" i="12" s="1"/>
  <c r="P818" i="12" s="1"/>
  <c r="P817" i="12" s="1"/>
  <c r="P816" i="12" s="1"/>
  <c r="P815" i="12" s="1"/>
  <c r="P814" i="12" s="1"/>
  <c r="P813" i="12" s="1"/>
  <c r="P812" i="12" s="1"/>
  <c r="P811" i="12" s="1"/>
  <c r="P810" i="12" s="1"/>
  <c r="P809" i="12" s="1"/>
  <c r="P808" i="12" s="1"/>
  <c r="P807" i="12" s="1"/>
  <c r="P806" i="12" s="1"/>
  <c r="P805" i="12" s="1"/>
  <c r="P804" i="12" s="1"/>
  <c r="P803" i="12" s="1"/>
  <c r="P802" i="12" s="1"/>
  <c r="P801" i="12" s="1"/>
  <c r="P800" i="12" s="1"/>
  <c r="P799" i="12" s="1"/>
  <c r="P798" i="12" s="1"/>
  <c r="P797" i="12" s="1"/>
  <c r="P796" i="12" s="1"/>
  <c r="P795" i="12" s="1"/>
  <c r="P794" i="12" s="1"/>
  <c r="P793" i="12" s="1"/>
  <c r="P792" i="12" s="1"/>
  <c r="P791" i="12" s="1"/>
  <c r="P790" i="12" s="1"/>
  <c r="P789" i="12" s="1"/>
  <c r="P788" i="12" s="1"/>
  <c r="P787" i="12" s="1"/>
  <c r="P786" i="12" s="1"/>
  <c r="P785" i="12" s="1"/>
  <c r="P784" i="12" s="1"/>
  <c r="P783" i="12" s="1"/>
  <c r="P782" i="12" s="1"/>
  <c r="P781" i="12" s="1"/>
  <c r="P780" i="12" s="1"/>
  <c r="P779" i="12" s="1"/>
  <c r="P778" i="12" s="1"/>
  <c r="P777" i="12" s="1"/>
  <c r="P776" i="12" s="1"/>
  <c r="P775" i="12" s="1"/>
  <c r="P774" i="12" s="1"/>
  <c r="P773" i="12" s="1"/>
  <c r="P772" i="12" s="1"/>
  <c r="P771" i="12" s="1"/>
  <c r="P770" i="12" s="1"/>
  <c r="P769" i="12" s="1"/>
  <c r="P768" i="12" s="1"/>
  <c r="P767" i="12" s="1"/>
  <c r="P766" i="12" s="1"/>
  <c r="P765" i="12" s="1"/>
  <c r="P764" i="12" s="1"/>
  <c r="P763" i="12" s="1"/>
  <c r="P762" i="12" s="1"/>
  <c r="P761" i="12" s="1"/>
  <c r="P760" i="12" s="1"/>
  <c r="P759" i="12" s="1"/>
  <c r="P758" i="12" s="1"/>
  <c r="P757" i="12" s="1"/>
  <c r="P756" i="12" s="1"/>
  <c r="P755" i="12" s="1"/>
  <c r="P754" i="12" s="1"/>
  <c r="P753" i="12" s="1"/>
  <c r="P752" i="12" s="1"/>
  <c r="P751" i="12" s="1"/>
  <c r="P750" i="12" s="1"/>
  <c r="P749" i="12" s="1"/>
  <c r="P748" i="12" s="1"/>
  <c r="P747" i="12" s="1"/>
  <c r="P746" i="12" s="1"/>
  <c r="P745" i="12" s="1"/>
  <c r="P744" i="12" s="1"/>
  <c r="P743" i="12" s="1"/>
  <c r="P742" i="12" s="1"/>
  <c r="P741" i="12" s="1"/>
  <c r="P740" i="12" s="1"/>
  <c r="P739" i="12" s="1"/>
  <c r="P738" i="12" s="1"/>
  <c r="P737" i="12" s="1"/>
  <c r="P736" i="12" s="1"/>
  <c r="P735" i="12" s="1"/>
  <c r="P734" i="12" s="1"/>
  <c r="P733" i="12" s="1"/>
  <c r="P732" i="12" s="1"/>
  <c r="P731" i="12" s="1"/>
  <c r="P730" i="12" s="1"/>
  <c r="P729" i="12" s="1"/>
  <c r="P728" i="12" s="1"/>
  <c r="P727" i="12" s="1"/>
  <c r="P726" i="12" s="1"/>
  <c r="P725" i="12" s="1"/>
  <c r="P724" i="12" s="1"/>
  <c r="P723" i="12" s="1"/>
  <c r="P722" i="12" s="1"/>
  <c r="P721" i="12" s="1"/>
  <c r="P720" i="12" s="1"/>
  <c r="P719" i="12" s="1"/>
  <c r="P718" i="12" s="1"/>
  <c r="P717" i="12" s="1"/>
  <c r="P716" i="12" s="1"/>
  <c r="P715" i="12" s="1"/>
  <c r="P714" i="12" s="1"/>
  <c r="P713" i="12" s="1"/>
  <c r="P712" i="12" s="1"/>
  <c r="P711" i="12" s="1"/>
  <c r="P710" i="12" s="1"/>
  <c r="P709" i="12" s="1"/>
  <c r="P708" i="12" s="1"/>
  <c r="P707" i="12" s="1"/>
  <c r="P706" i="12" s="1"/>
  <c r="P705" i="12" s="1"/>
  <c r="P704" i="12" s="1"/>
  <c r="P703" i="12" s="1"/>
  <c r="P702" i="12" s="1"/>
  <c r="P701" i="12" s="1"/>
  <c r="P700" i="12" s="1"/>
  <c r="P699" i="12" s="1"/>
  <c r="P698" i="12" s="1"/>
  <c r="P697" i="12" s="1"/>
  <c r="P696" i="12" s="1"/>
  <c r="P695" i="12" s="1"/>
  <c r="P694" i="12" s="1"/>
  <c r="P693" i="12" s="1"/>
  <c r="P692" i="12" s="1"/>
  <c r="P691" i="12" s="1"/>
  <c r="P690" i="12" s="1"/>
  <c r="P689" i="12" s="1"/>
  <c r="P688" i="12" s="1"/>
  <c r="P687" i="12" s="1"/>
  <c r="P686" i="12" s="1"/>
  <c r="P685" i="12" s="1"/>
  <c r="P684" i="12" s="1"/>
  <c r="P683" i="12" s="1"/>
  <c r="P682" i="12" s="1"/>
  <c r="P681" i="12" s="1"/>
  <c r="P680" i="12" s="1"/>
  <c r="P679" i="12" s="1"/>
  <c r="P678" i="12" s="1"/>
  <c r="P677" i="12" s="1"/>
  <c r="P676" i="12" s="1"/>
  <c r="P675" i="12" s="1"/>
  <c r="P674" i="12" s="1"/>
  <c r="P673" i="12" s="1"/>
  <c r="P672" i="12" s="1"/>
  <c r="P671" i="12" s="1"/>
  <c r="P670" i="12" s="1"/>
  <c r="P669" i="12" s="1"/>
  <c r="P668" i="12" s="1"/>
  <c r="P667" i="12" s="1"/>
  <c r="P666" i="12" s="1"/>
  <c r="P665" i="12" s="1"/>
  <c r="P664" i="12" s="1"/>
  <c r="P663" i="12" s="1"/>
  <c r="P662" i="12" s="1"/>
  <c r="P661" i="12" s="1"/>
  <c r="P660" i="12" s="1"/>
  <c r="P659" i="12" s="1"/>
  <c r="P658" i="12" s="1"/>
  <c r="P657" i="12" s="1"/>
  <c r="P656" i="12" s="1"/>
  <c r="P655" i="12" s="1"/>
  <c r="P654" i="12" s="1"/>
  <c r="P653" i="12" s="1"/>
  <c r="P652" i="12" s="1"/>
  <c r="P651" i="12" s="1"/>
  <c r="P650" i="12" s="1"/>
  <c r="P649" i="12" s="1"/>
  <c r="P648" i="12" s="1"/>
  <c r="P647" i="12" s="1"/>
  <c r="P646" i="12" s="1"/>
  <c r="P645" i="12" s="1"/>
  <c r="P644" i="12" s="1"/>
  <c r="P643" i="12" s="1"/>
  <c r="P642" i="12" s="1"/>
  <c r="P641" i="12" s="1"/>
  <c r="P640" i="12" s="1"/>
  <c r="P639" i="12" s="1"/>
  <c r="P638" i="12" s="1"/>
  <c r="P637" i="12" s="1"/>
  <c r="P636" i="12" s="1"/>
  <c r="P635" i="12" s="1"/>
  <c r="P634" i="12" s="1"/>
  <c r="P633" i="12" s="1"/>
  <c r="P632" i="12" s="1"/>
  <c r="P631" i="12" s="1"/>
  <c r="P630" i="12" s="1"/>
  <c r="P629" i="12" s="1"/>
  <c r="P628" i="12" s="1"/>
  <c r="P627" i="12" s="1"/>
  <c r="P626" i="12" s="1"/>
  <c r="P625" i="12" s="1"/>
  <c r="P624" i="12" s="1"/>
  <c r="P623" i="12" s="1"/>
  <c r="P622" i="12" s="1"/>
  <c r="P621" i="12" s="1"/>
  <c r="P620" i="12" s="1"/>
  <c r="P619" i="12" s="1"/>
  <c r="P618" i="12" s="1"/>
  <c r="P617" i="12" s="1"/>
  <c r="P616" i="12" s="1"/>
  <c r="P615" i="12" s="1"/>
  <c r="P614" i="12" s="1"/>
  <c r="P613" i="12" s="1"/>
  <c r="P612" i="12" s="1"/>
  <c r="P611" i="12" s="1"/>
  <c r="P610" i="12" s="1"/>
  <c r="P609" i="12" s="1"/>
  <c r="P608" i="12" s="1"/>
  <c r="P607" i="12" s="1"/>
  <c r="P606" i="12" s="1"/>
  <c r="P605" i="12" s="1"/>
  <c r="P604" i="12" s="1"/>
  <c r="P603" i="12" s="1"/>
  <c r="P602" i="12" s="1"/>
  <c r="P601" i="12" s="1"/>
  <c r="P600" i="12" s="1"/>
  <c r="P599" i="12" s="1"/>
  <c r="P598" i="12" s="1"/>
  <c r="P597" i="12" s="1"/>
  <c r="P596" i="12" s="1"/>
  <c r="P595" i="12" s="1"/>
  <c r="P594" i="12" s="1"/>
  <c r="P593" i="12" s="1"/>
  <c r="P592" i="12" s="1"/>
  <c r="P591" i="12" s="1"/>
  <c r="P590" i="12" s="1"/>
  <c r="P589" i="12" s="1"/>
  <c r="P588" i="12" s="1"/>
  <c r="P587" i="12" s="1"/>
  <c r="P586" i="12" s="1"/>
  <c r="P585" i="12" s="1"/>
  <c r="P584" i="12" s="1"/>
  <c r="P583" i="12" s="1"/>
  <c r="P582" i="12" s="1"/>
  <c r="P581" i="12" s="1"/>
  <c r="P580" i="12" s="1"/>
  <c r="P579" i="12" s="1"/>
  <c r="P578" i="12" s="1"/>
  <c r="P577" i="12" s="1"/>
  <c r="P576" i="12" s="1"/>
  <c r="P575" i="12" s="1"/>
  <c r="P574" i="12" s="1"/>
  <c r="P573" i="12" s="1"/>
  <c r="P572" i="12" s="1"/>
  <c r="P571" i="12" s="1"/>
  <c r="P570" i="12" s="1"/>
  <c r="P569" i="12" s="1"/>
  <c r="P568" i="12" s="1"/>
  <c r="P567" i="12" s="1"/>
  <c r="P566" i="12" s="1"/>
  <c r="P565" i="12" s="1"/>
  <c r="P564" i="12" s="1"/>
  <c r="P563" i="12" s="1"/>
  <c r="P562" i="12" s="1"/>
  <c r="P561" i="12" s="1"/>
  <c r="P560" i="12" s="1"/>
  <c r="P559" i="12" s="1"/>
  <c r="P558" i="12" s="1"/>
  <c r="P557" i="12" s="1"/>
  <c r="P556" i="12" s="1"/>
  <c r="P555" i="12" s="1"/>
  <c r="P554" i="12" s="1"/>
  <c r="P553" i="12" s="1"/>
  <c r="P552" i="12" s="1"/>
  <c r="P551" i="12" s="1"/>
  <c r="P550" i="12" s="1"/>
  <c r="P549" i="12" s="1"/>
  <c r="P548" i="12" s="1"/>
  <c r="P547" i="12" s="1"/>
  <c r="P546" i="12" s="1"/>
  <c r="P545" i="12" s="1"/>
  <c r="P544" i="12" s="1"/>
  <c r="P543" i="12" s="1"/>
  <c r="P542" i="12" s="1"/>
  <c r="P541" i="12" s="1"/>
  <c r="P540" i="12" s="1"/>
  <c r="P539" i="12" s="1"/>
  <c r="P538" i="12" s="1"/>
  <c r="P537" i="12" s="1"/>
  <c r="P536" i="12" s="1"/>
  <c r="P535" i="12" s="1"/>
  <c r="P534" i="12" s="1"/>
  <c r="P533" i="12" s="1"/>
  <c r="P532" i="12" s="1"/>
  <c r="P531" i="12" s="1"/>
  <c r="P530" i="12" s="1"/>
  <c r="P529" i="12" s="1"/>
  <c r="P528" i="12" s="1"/>
  <c r="P527" i="12" s="1"/>
  <c r="P526" i="12" s="1"/>
  <c r="P525" i="12" s="1"/>
  <c r="P524" i="12" s="1"/>
  <c r="P523" i="12" s="1"/>
  <c r="P522" i="12" s="1"/>
  <c r="P521" i="12" s="1"/>
  <c r="P520" i="12" s="1"/>
  <c r="P519" i="12" s="1"/>
  <c r="P518" i="12" s="1"/>
  <c r="P517" i="12" s="1"/>
  <c r="P516" i="12" s="1"/>
  <c r="P515" i="12" s="1"/>
  <c r="P514" i="12" s="1"/>
  <c r="P513" i="12" s="1"/>
  <c r="P512" i="12" s="1"/>
  <c r="P511" i="12" s="1"/>
  <c r="P510" i="12" s="1"/>
  <c r="P509" i="12" s="1"/>
  <c r="P508" i="12" s="1"/>
  <c r="P507" i="12" s="1"/>
  <c r="P506" i="12" s="1"/>
  <c r="P505" i="12" s="1"/>
  <c r="P504" i="12" s="1"/>
  <c r="P503" i="12" s="1"/>
  <c r="P502" i="12" s="1"/>
  <c r="P501" i="12" s="1"/>
  <c r="P500" i="12" s="1"/>
  <c r="P499" i="12" s="1"/>
  <c r="P498" i="12" s="1"/>
  <c r="P497" i="12" s="1"/>
  <c r="P496" i="12" s="1"/>
  <c r="P495" i="12" s="1"/>
  <c r="P494" i="12" s="1"/>
  <c r="P493" i="12" s="1"/>
  <c r="P492" i="12" s="1"/>
  <c r="P491" i="12" s="1"/>
  <c r="P490" i="12" s="1"/>
  <c r="P489" i="12" s="1"/>
  <c r="P488" i="12" s="1"/>
  <c r="P487" i="12" s="1"/>
  <c r="P486" i="12" s="1"/>
  <c r="P485" i="12" s="1"/>
  <c r="P484" i="12" s="1"/>
  <c r="P483" i="12" s="1"/>
  <c r="P482" i="12" s="1"/>
  <c r="P481" i="12" s="1"/>
  <c r="P480" i="12" s="1"/>
  <c r="P479" i="12" s="1"/>
  <c r="P478" i="12" s="1"/>
  <c r="P477" i="12" s="1"/>
  <c r="P476" i="12" s="1"/>
  <c r="P475" i="12" s="1"/>
  <c r="P474" i="12" s="1"/>
  <c r="P473" i="12" s="1"/>
  <c r="P472" i="12" s="1"/>
  <c r="P471" i="12" s="1"/>
  <c r="P470" i="12" s="1"/>
  <c r="P469" i="12" s="1"/>
  <c r="P468" i="12" s="1"/>
  <c r="P467" i="12" s="1"/>
  <c r="P466" i="12" s="1"/>
  <c r="P465" i="12" s="1"/>
  <c r="P464" i="12" s="1"/>
  <c r="P463" i="12" s="1"/>
  <c r="P462" i="12" s="1"/>
  <c r="P461" i="12" s="1"/>
  <c r="P460" i="12" s="1"/>
  <c r="P459" i="12" s="1"/>
  <c r="P458" i="12" s="1"/>
  <c r="P457" i="12" s="1"/>
  <c r="P456" i="12" s="1"/>
  <c r="P455" i="12" s="1"/>
  <c r="P454" i="12" s="1"/>
  <c r="P453" i="12" s="1"/>
  <c r="P452" i="12" s="1"/>
  <c r="P451" i="12" s="1"/>
  <c r="P450" i="12" s="1"/>
  <c r="P449" i="12" s="1"/>
  <c r="P448" i="12" s="1"/>
  <c r="P447" i="12" s="1"/>
  <c r="P446" i="12" s="1"/>
  <c r="P445" i="12" s="1"/>
  <c r="P444" i="12" s="1"/>
  <c r="P443" i="12" s="1"/>
  <c r="P442" i="12" s="1"/>
  <c r="P441" i="12" s="1"/>
  <c r="P440" i="12" s="1"/>
  <c r="P439" i="12" s="1"/>
  <c r="P438" i="12" s="1"/>
  <c r="P437" i="12" s="1"/>
  <c r="P436" i="12" s="1"/>
  <c r="P435" i="12" s="1"/>
  <c r="P434" i="12" s="1"/>
  <c r="P433" i="12" s="1"/>
  <c r="P432" i="12" s="1"/>
  <c r="P431" i="12" s="1"/>
  <c r="P430" i="12" s="1"/>
  <c r="P429" i="12" s="1"/>
  <c r="P428" i="12" s="1"/>
  <c r="P427" i="12" s="1"/>
  <c r="P426" i="12" s="1"/>
  <c r="P425" i="12" s="1"/>
  <c r="P424" i="12" s="1"/>
  <c r="P423" i="12" s="1"/>
  <c r="P422" i="12" s="1"/>
  <c r="P421" i="12" s="1"/>
  <c r="P420" i="12" s="1"/>
  <c r="P419" i="12" s="1"/>
  <c r="P418" i="12" s="1"/>
  <c r="P417" i="12" s="1"/>
  <c r="P416" i="12" s="1"/>
  <c r="P415" i="12" s="1"/>
  <c r="P414" i="12" s="1"/>
  <c r="P413" i="12" s="1"/>
  <c r="P412" i="12" s="1"/>
  <c r="P411" i="12" s="1"/>
  <c r="P410" i="12" s="1"/>
  <c r="P409" i="12" s="1"/>
  <c r="P408" i="12" s="1"/>
  <c r="P407" i="12" s="1"/>
  <c r="P406" i="12" s="1"/>
  <c r="P405" i="12" s="1"/>
  <c r="P404" i="12" s="1"/>
  <c r="P403" i="12" s="1"/>
  <c r="P402" i="12" s="1"/>
  <c r="P401" i="12" s="1"/>
  <c r="P400" i="12" s="1"/>
  <c r="P399" i="12" s="1"/>
  <c r="P398" i="12" s="1"/>
  <c r="P397" i="12" s="1"/>
  <c r="P396" i="12" s="1"/>
  <c r="P395" i="12" s="1"/>
  <c r="P394" i="12" s="1"/>
  <c r="P393" i="12" s="1"/>
  <c r="P392" i="12" s="1"/>
  <c r="P391" i="12" s="1"/>
  <c r="P390" i="12" s="1"/>
  <c r="P389" i="12" s="1"/>
  <c r="P388" i="12" s="1"/>
  <c r="P387" i="12" s="1"/>
  <c r="P386" i="12" s="1"/>
  <c r="P385" i="12" s="1"/>
  <c r="P384" i="12" s="1"/>
  <c r="P383" i="12" s="1"/>
  <c r="P382" i="12" s="1"/>
  <c r="P381" i="12" s="1"/>
  <c r="P380" i="12" s="1"/>
  <c r="P379" i="12" s="1"/>
  <c r="P378" i="12" s="1"/>
  <c r="P377" i="12" s="1"/>
  <c r="P376" i="12" s="1"/>
  <c r="P375" i="12" s="1"/>
  <c r="P374" i="12" s="1"/>
  <c r="P373" i="12" s="1"/>
  <c r="P372" i="12" s="1"/>
  <c r="P371" i="12" s="1"/>
  <c r="P370" i="12" s="1"/>
  <c r="P369" i="12" s="1"/>
  <c r="P368" i="12" s="1"/>
  <c r="P367" i="12" s="1"/>
  <c r="P366" i="12" s="1"/>
  <c r="P365" i="12" s="1"/>
  <c r="P364" i="12" s="1"/>
  <c r="P363" i="12" s="1"/>
  <c r="P362" i="12" s="1"/>
  <c r="P361" i="12" s="1"/>
  <c r="P360" i="12" s="1"/>
  <c r="P359" i="12" s="1"/>
  <c r="P358" i="12" s="1"/>
  <c r="P357" i="12" s="1"/>
  <c r="P356" i="12" s="1"/>
  <c r="P355" i="12" s="1"/>
  <c r="P354" i="12" s="1"/>
  <c r="P353" i="12" s="1"/>
  <c r="P352" i="12" s="1"/>
  <c r="P351" i="12" s="1"/>
  <c r="P350" i="12" s="1"/>
  <c r="P349" i="12" s="1"/>
  <c r="P348" i="12" s="1"/>
  <c r="P347" i="12" s="1"/>
  <c r="P346" i="12" s="1"/>
  <c r="P345" i="12" s="1"/>
  <c r="P344" i="12" s="1"/>
  <c r="P343" i="12" s="1"/>
  <c r="P342" i="12" s="1"/>
  <c r="P341" i="12" s="1"/>
  <c r="P340" i="12" s="1"/>
  <c r="P339" i="12" s="1"/>
  <c r="P338" i="12" s="1"/>
  <c r="P337" i="12" s="1"/>
  <c r="P336" i="12" s="1"/>
  <c r="P335" i="12" s="1"/>
  <c r="P334" i="12" s="1"/>
  <c r="P333" i="12" s="1"/>
  <c r="P332" i="12" s="1"/>
  <c r="P331" i="12" s="1"/>
  <c r="P330" i="12" s="1"/>
  <c r="P329" i="12" s="1"/>
  <c r="P328" i="12" s="1"/>
  <c r="P327" i="12" s="1"/>
  <c r="P326" i="12" s="1"/>
  <c r="P325" i="12" s="1"/>
  <c r="P324" i="12" s="1"/>
  <c r="P323" i="12" s="1"/>
  <c r="P322" i="12" s="1"/>
  <c r="P321" i="12" s="1"/>
  <c r="P320" i="12" s="1"/>
  <c r="P319" i="12" s="1"/>
  <c r="P318" i="12" s="1"/>
  <c r="P317" i="12" s="1"/>
  <c r="P316" i="12" s="1"/>
  <c r="P315" i="12" s="1"/>
  <c r="P314" i="12" s="1"/>
  <c r="P313" i="12" s="1"/>
  <c r="P312" i="12" s="1"/>
  <c r="P311" i="12" s="1"/>
  <c r="P310" i="12" s="1"/>
  <c r="P309" i="12" s="1"/>
  <c r="P308" i="12" s="1"/>
  <c r="P307" i="12" s="1"/>
  <c r="P306" i="12" s="1"/>
  <c r="P305" i="12" s="1"/>
  <c r="P304" i="12" s="1"/>
  <c r="P303" i="12" s="1"/>
  <c r="P302" i="12" s="1"/>
  <c r="P301" i="12" s="1"/>
  <c r="P300" i="12" s="1"/>
  <c r="P299" i="12" s="1"/>
  <c r="P298" i="12" s="1"/>
  <c r="P297" i="12" s="1"/>
  <c r="P296" i="12" s="1"/>
  <c r="P295" i="12" s="1"/>
  <c r="P294" i="12" s="1"/>
  <c r="P293" i="12" s="1"/>
  <c r="P292" i="12" s="1"/>
  <c r="P291" i="12" s="1"/>
  <c r="P290" i="12" s="1"/>
  <c r="P289" i="12" s="1"/>
  <c r="P288" i="12" s="1"/>
  <c r="P287" i="12" s="1"/>
  <c r="P286" i="12" s="1"/>
  <c r="P285" i="12" s="1"/>
  <c r="P284" i="12" s="1"/>
  <c r="P283" i="12" s="1"/>
  <c r="P282" i="12" s="1"/>
  <c r="P281" i="12" s="1"/>
  <c r="P280" i="12" s="1"/>
  <c r="P279" i="12" s="1"/>
  <c r="P278" i="12" s="1"/>
  <c r="P277" i="12" s="1"/>
  <c r="P276" i="12" s="1"/>
  <c r="P275" i="12" s="1"/>
  <c r="P274" i="12" s="1"/>
  <c r="P273" i="12" s="1"/>
  <c r="P272" i="12" s="1"/>
  <c r="P271" i="12" s="1"/>
  <c r="P270" i="12" s="1"/>
  <c r="P269" i="12" s="1"/>
  <c r="P268" i="12" s="1"/>
  <c r="P267" i="12" s="1"/>
  <c r="P266" i="12" s="1"/>
  <c r="P265" i="12" s="1"/>
  <c r="P264" i="12" s="1"/>
  <c r="P263" i="12" s="1"/>
  <c r="P262" i="12" s="1"/>
  <c r="P261" i="12" s="1"/>
  <c r="P260" i="12" s="1"/>
  <c r="P259" i="12" s="1"/>
  <c r="P258" i="12" s="1"/>
  <c r="P257" i="12" s="1"/>
  <c r="P256" i="12" s="1"/>
  <c r="P255" i="12" s="1"/>
  <c r="P254" i="12" s="1"/>
  <c r="P253" i="12" s="1"/>
  <c r="P252" i="12" s="1"/>
  <c r="P251" i="12" s="1"/>
  <c r="P250" i="12" s="1"/>
  <c r="P249" i="12" s="1"/>
  <c r="P248" i="12" s="1"/>
  <c r="P247" i="12" s="1"/>
  <c r="P246" i="12" s="1"/>
  <c r="P245" i="12" s="1"/>
  <c r="P244" i="12" s="1"/>
  <c r="P243" i="12" s="1"/>
  <c r="P242" i="12" s="1"/>
  <c r="P241" i="12" s="1"/>
  <c r="P240" i="12" s="1"/>
  <c r="P239" i="12" s="1"/>
  <c r="P238" i="12" s="1"/>
  <c r="P237" i="12" s="1"/>
  <c r="P236" i="12" s="1"/>
  <c r="P235" i="12" s="1"/>
  <c r="P234" i="12" s="1"/>
  <c r="P233" i="12" s="1"/>
  <c r="P232" i="12" s="1"/>
  <c r="P231" i="12" s="1"/>
  <c r="P230" i="12" s="1"/>
  <c r="P229" i="12" s="1"/>
  <c r="P228" i="12" s="1"/>
  <c r="P227" i="12" s="1"/>
  <c r="P226" i="12" s="1"/>
  <c r="P225" i="12" s="1"/>
  <c r="P224" i="12" s="1"/>
  <c r="P223" i="12" s="1"/>
  <c r="P222" i="12" s="1"/>
  <c r="P221" i="12" s="1"/>
  <c r="P220" i="12" s="1"/>
  <c r="P219" i="12" s="1"/>
  <c r="P218" i="12" s="1"/>
  <c r="P217" i="12" s="1"/>
  <c r="P216" i="12" s="1"/>
  <c r="P215" i="12" s="1"/>
  <c r="P214" i="12" s="1"/>
  <c r="P213" i="12" s="1"/>
  <c r="P212" i="12" s="1"/>
  <c r="P211" i="12" s="1"/>
  <c r="P210" i="12" s="1"/>
  <c r="P209" i="12" s="1"/>
  <c r="P208" i="12" s="1"/>
  <c r="P207" i="12" s="1"/>
  <c r="P206" i="12" s="1"/>
  <c r="P205" i="12" s="1"/>
  <c r="P204" i="12" s="1"/>
  <c r="P203" i="12" s="1"/>
  <c r="P202" i="12" s="1"/>
  <c r="P201" i="12" s="1"/>
  <c r="P200" i="12" s="1"/>
  <c r="P199" i="12" s="1"/>
  <c r="P198" i="12" s="1"/>
  <c r="P197" i="12" s="1"/>
  <c r="P196" i="12" s="1"/>
  <c r="P195" i="12" s="1"/>
  <c r="P194" i="12" s="1"/>
  <c r="P193" i="12" s="1"/>
  <c r="P192" i="12" s="1"/>
  <c r="P191" i="12" s="1"/>
  <c r="P190" i="12" s="1"/>
  <c r="P189" i="12" s="1"/>
  <c r="P188" i="12" s="1"/>
  <c r="P187" i="12" s="1"/>
  <c r="P186" i="12" s="1"/>
  <c r="P185" i="12" s="1"/>
  <c r="P184" i="12" s="1"/>
  <c r="P183" i="12" s="1"/>
  <c r="P182" i="12" s="1"/>
  <c r="P181" i="12" s="1"/>
  <c r="P180" i="12" s="1"/>
  <c r="P179" i="12" s="1"/>
  <c r="P178" i="12" s="1"/>
  <c r="P177" i="12" s="1"/>
  <c r="P176" i="12" s="1"/>
  <c r="P175" i="12" s="1"/>
  <c r="P174" i="12" s="1"/>
  <c r="P173" i="12" s="1"/>
  <c r="P172" i="12" s="1"/>
  <c r="P171" i="12" s="1"/>
  <c r="P170" i="12" s="1"/>
  <c r="P169" i="12" s="1"/>
  <c r="P168" i="12" s="1"/>
  <c r="P167" i="12" s="1"/>
  <c r="P166" i="12" s="1"/>
  <c r="P165" i="12" s="1"/>
  <c r="P164" i="12" s="1"/>
  <c r="P163" i="12" s="1"/>
  <c r="P162" i="12" s="1"/>
  <c r="P161" i="12" s="1"/>
  <c r="P160" i="12" s="1"/>
  <c r="P159" i="12" s="1"/>
  <c r="P158" i="12" s="1"/>
  <c r="P157" i="12" s="1"/>
  <c r="P156" i="12" s="1"/>
  <c r="P155" i="12" s="1"/>
  <c r="P154" i="12" s="1"/>
  <c r="P153" i="12" s="1"/>
  <c r="P152" i="12" s="1"/>
  <c r="P151" i="12" s="1"/>
  <c r="P150" i="12" s="1"/>
  <c r="P149" i="12" s="1"/>
  <c r="P148" i="12" s="1"/>
  <c r="P147" i="12" s="1"/>
  <c r="P146" i="12" s="1"/>
  <c r="P145" i="12" s="1"/>
  <c r="P144" i="12" s="1"/>
  <c r="P143" i="12" s="1"/>
  <c r="P142" i="12" s="1"/>
  <c r="P141" i="12" s="1"/>
  <c r="P140" i="12" s="1"/>
  <c r="P139" i="12" s="1"/>
  <c r="P138" i="12" s="1"/>
  <c r="P137" i="12" s="1"/>
  <c r="P136" i="12" s="1"/>
  <c r="P135" i="12" s="1"/>
  <c r="P134" i="12" s="1"/>
  <c r="P133" i="12" s="1"/>
  <c r="P132" i="12" s="1"/>
  <c r="P131" i="12" s="1"/>
  <c r="P130" i="12" s="1"/>
  <c r="P129" i="12" s="1"/>
  <c r="P128" i="12" s="1"/>
  <c r="P127" i="12" s="1"/>
  <c r="P126" i="12" s="1"/>
  <c r="P125" i="12" s="1"/>
  <c r="P124" i="12" s="1"/>
  <c r="P123" i="12" s="1"/>
  <c r="P122" i="12" s="1"/>
  <c r="P121" i="12" s="1"/>
  <c r="P120" i="12" s="1"/>
  <c r="P119" i="12" s="1"/>
  <c r="P118" i="12" s="1"/>
  <c r="P117" i="12" s="1"/>
  <c r="P116" i="12" s="1"/>
  <c r="P115" i="12" s="1"/>
  <c r="P114" i="12" s="1"/>
  <c r="P113" i="12" s="1"/>
  <c r="P112" i="12" s="1"/>
  <c r="P111" i="12" s="1"/>
  <c r="P110" i="12" s="1"/>
  <c r="P109" i="12" s="1"/>
  <c r="P108" i="12" s="1"/>
  <c r="P107" i="12" s="1"/>
  <c r="P106" i="12" s="1"/>
  <c r="P105" i="12" s="1"/>
  <c r="P104" i="12" s="1"/>
  <c r="P103" i="12" s="1"/>
  <c r="P102" i="12" s="1"/>
  <c r="P101" i="12" s="1"/>
  <c r="P100" i="12" s="1"/>
  <c r="P99" i="12" s="1"/>
  <c r="P98" i="12" s="1"/>
  <c r="P97" i="12" s="1"/>
  <c r="P96" i="12" s="1"/>
  <c r="P95" i="12" s="1"/>
  <c r="P94" i="12" s="1"/>
  <c r="P93" i="12" s="1"/>
  <c r="P92" i="12" s="1"/>
  <c r="P91" i="12" s="1"/>
  <c r="P90" i="12" s="1"/>
  <c r="P89" i="12" s="1"/>
  <c r="P88" i="12" s="1"/>
  <c r="P87" i="12" s="1"/>
  <c r="P86" i="12" s="1"/>
  <c r="P85" i="12" s="1"/>
  <c r="P84" i="12" s="1"/>
  <c r="P83" i="12" s="1"/>
  <c r="P82" i="12" s="1"/>
  <c r="P81" i="12" s="1"/>
  <c r="P80" i="12" s="1"/>
  <c r="P79" i="12" s="1"/>
  <c r="P78" i="12" s="1"/>
  <c r="P77" i="12" s="1"/>
  <c r="P76" i="12" s="1"/>
  <c r="P75" i="12" s="1"/>
  <c r="P74" i="12" s="1"/>
  <c r="P73" i="12" s="1"/>
  <c r="P72" i="12" s="1"/>
  <c r="P71" i="12" s="1"/>
  <c r="P70" i="12" s="1"/>
  <c r="P69" i="12" s="1"/>
  <c r="P68" i="12" s="1"/>
  <c r="P67" i="12" s="1"/>
  <c r="P66" i="12" s="1"/>
  <c r="P65" i="12" s="1"/>
  <c r="P64" i="12" s="1"/>
  <c r="P63" i="12" s="1"/>
  <c r="P62" i="12" s="1"/>
  <c r="P61" i="12" s="1"/>
  <c r="P60" i="12" s="1"/>
  <c r="P59" i="12" s="1"/>
  <c r="P58" i="12" s="1"/>
  <c r="P57" i="12" s="1"/>
  <c r="P56" i="12" s="1"/>
  <c r="P55" i="12" s="1"/>
  <c r="P54" i="12" s="1"/>
  <c r="P53" i="12" s="1"/>
  <c r="P52" i="12" s="1"/>
  <c r="P51" i="12" s="1"/>
  <c r="P50" i="12" s="1"/>
  <c r="P49" i="12" s="1"/>
  <c r="P48" i="12" s="1"/>
  <c r="P47" i="12" s="1"/>
  <c r="P46" i="12" s="1"/>
  <c r="P45" i="12" s="1"/>
  <c r="P44" i="12" s="1"/>
  <c r="P43" i="12" s="1"/>
  <c r="P42" i="12" s="1"/>
  <c r="P41" i="12" s="1"/>
  <c r="P40" i="12" s="1"/>
  <c r="P39" i="12" s="1"/>
  <c r="P38" i="12" s="1"/>
  <c r="P37" i="12" s="1"/>
  <c r="P36" i="12" s="1"/>
  <c r="P35" i="12" s="1"/>
  <c r="P34" i="12" s="1"/>
  <c r="P33" i="12" s="1"/>
  <c r="P32" i="12" s="1"/>
  <c r="P31" i="12" s="1"/>
  <c r="P30" i="12" s="1"/>
  <c r="P29" i="12" s="1"/>
  <c r="P28" i="12" s="1"/>
  <c r="P27" i="12" s="1"/>
  <c r="P26" i="12" s="1"/>
  <c r="P25" i="12" s="1"/>
  <c r="P24" i="12" s="1"/>
  <c r="P23" i="12" s="1"/>
  <c r="P22" i="12" s="1"/>
  <c r="P21" i="12" s="1"/>
  <c r="P20" i="12" s="1"/>
  <c r="P19" i="12" s="1"/>
  <c r="P18" i="12" s="1"/>
  <c r="P17" i="12" s="1"/>
  <c r="P16" i="12" s="1"/>
  <c r="P15" i="12" s="1"/>
  <c r="P14" i="12" s="1"/>
  <c r="P13" i="12" s="1"/>
  <c r="P12" i="12" s="1"/>
  <c r="P11" i="12" s="1"/>
  <c r="P10" i="12" s="1"/>
  <c r="P9" i="12" s="1"/>
  <c r="P8" i="12" s="1"/>
  <c r="P7" i="12" s="1"/>
  <c r="P6" i="12" s="1"/>
  <c r="P5" i="12" s="1"/>
  <c r="P4" i="12" s="1"/>
  <c r="H22" i="2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H5" i="2" s="1"/>
  <c r="H4" i="2" s="1"/>
  <c r="H3" i="2" s="1"/>
  <c r="V92" i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V66" i="1" s="1"/>
  <c r="V65" i="1" s="1"/>
  <c r="V64" i="1" s="1"/>
  <c r="V63" i="1" s="1"/>
  <c r="V62" i="1" s="1"/>
  <c r="V61" i="1" s="1"/>
  <c r="V60" i="1" s="1"/>
  <c r="V59" i="1" s="1"/>
  <c r="V58" i="1" s="1"/>
  <c r="V57" i="1" s="1"/>
  <c r="V56" i="1" s="1"/>
  <c r="V55" i="1" s="1"/>
  <c r="V54" i="1" s="1"/>
  <c r="V53" i="1" s="1"/>
  <c r="V52" i="1" s="1"/>
  <c r="V51" i="1" s="1"/>
  <c r="V50" i="1" s="1"/>
  <c r="V49" i="1" s="1"/>
  <c r="V48" i="1" s="1"/>
  <c r="V47" i="1" s="1"/>
  <c r="V46" i="1" s="1"/>
  <c r="V45" i="1" s="1"/>
  <c r="V44" i="1" s="1"/>
  <c r="V43" i="1" s="1"/>
  <c r="V42" i="1" s="1"/>
  <c r="V41" i="1" s="1"/>
  <c r="V40" i="1" s="1"/>
  <c r="V39" i="1" s="1"/>
  <c r="V38" i="1" s="1"/>
  <c r="V37" i="1" s="1"/>
  <c r="V36" i="1" s="1"/>
  <c r="V35" i="1" s="1"/>
  <c r="V34" i="1" s="1"/>
  <c r="V33" i="1" s="1"/>
  <c r="V32" i="1" s="1"/>
  <c r="V31" i="1" s="1"/>
  <c r="V30" i="1" s="1"/>
  <c r="V29" i="1" s="1"/>
  <c r="V28" i="1" s="1"/>
  <c r="V27" i="1" s="1"/>
  <c r="V26" i="1" s="1"/>
  <c r="V25" i="1" s="1"/>
  <c r="V24" i="1" s="1"/>
  <c r="V23" i="1" s="1"/>
  <c r="V22" i="1" s="1"/>
  <c r="V21" i="1" s="1"/>
  <c r="V20" i="1" s="1"/>
  <c r="V19" i="1" s="1"/>
  <c r="V18" i="1" s="1"/>
  <c r="V17" i="1" s="1"/>
  <c r="V16" i="1" s="1"/>
  <c r="V15" i="1" s="1"/>
  <c r="V14" i="1" s="1"/>
  <c r="V13" i="1" s="1"/>
  <c r="V12" i="1" s="1"/>
  <c r="V11" i="1" s="1"/>
  <c r="V10" i="1" s="1"/>
  <c r="V9" i="1" s="1"/>
  <c r="V8" i="1" s="1"/>
  <c r="V7" i="1" s="1"/>
  <c r="V6" i="1" s="1"/>
  <c r="V5" i="1" s="1"/>
  <c r="V4" i="1" s="1"/>
  <c r="V3" i="1" s="1"/>
  <c r="I3" i="4"/>
  <c r="W531" i="12"/>
  <c r="W532" i="12"/>
  <c r="W533" i="12"/>
  <c r="W534" i="12"/>
  <c r="W535" i="12"/>
  <c r="W536" i="12"/>
  <c r="W537" i="12"/>
  <c r="W538" i="12"/>
  <c r="W539" i="12"/>
  <c r="W540" i="12"/>
  <c r="W541" i="12"/>
  <c r="W542" i="12"/>
  <c r="W543" i="12"/>
  <c r="W544" i="12"/>
  <c r="W545" i="12"/>
  <c r="W546" i="12"/>
  <c r="W547" i="12"/>
  <c r="W548" i="12"/>
  <c r="W549" i="12"/>
  <c r="W550" i="12"/>
  <c r="W551" i="12"/>
  <c r="W552" i="12"/>
  <c r="W553" i="12"/>
  <c r="W554" i="12"/>
  <c r="W555" i="12"/>
  <c r="W556" i="12"/>
  <c r="W557" i="12"/>
  <c r="W558" i="12"/>
  <c r="W559" i="12"/>
  <c r="W560" i="12"/>
  <c r="W561" i="12"/>
  <c r="W562" i="12"/>
  <c r="W563" i="12"/>
  <c r="W564" i="12"/>
  <c r="W565" i="12"/>
  <c r="W566" i="12"/>
  <c r="W567" i="12"/>
  <c r="W568" i="12"/>
  <c r="W569" i="12"/>
  <c r="W570" i="12"/>
  <c r="W571" i="12"/>
  <c r="W572" i="12"/>
  <c r="W573" i="12"/>
  <c r="W574" i="12"/>
  <c r="W575" i="12"/>
  <c r="W576" i="12"/>
  <c r="W577" i="12"/>
  <c r="W578" i="12"/>
  <c r="W579" i="12"/>
  <c r="W580" i="12"/>
  <c r="W581" i="12"/>
  <c r="W582" i="12"/>
  <c r="W583" i="12"/>
  <c r="W584" i="12"/>
  <c r="W585" i="12"/>
  <c r="W586" i="12"/>
  <c r="W587" i="12"/>
  <c r="W588" i="12"/>
  <c r="W589" i="12"/>
  <c r="W590" i="12"/>
  <c r="W591" i="12"/>
  <c r="W592" i="12"/>
  <c r="W593" i="12"/>
  <c r="W594" i="12"/>
  <c r="W595" i="12"/>
  <c r="W596" i="12"/>
  <c r="W597" i="12"/>
  <c r="W598" i="12"/>
  <c r="W599" i="12"/>
  <c r="W600" i="12"/>
  <c r="W601" i="12"/>
  <c r="W602" i="12"/>
  <c r="W603" i="12"/>
  <c r="W604" i="12"/>
  <c r="W605" i="12"/>
  <c r="W606" i="12"/>
  <c r="W607" i="12"/>
  <c r="W608" i="12"/>
  <c r="W609" i="12"/>
  <c r="W610" i="12"/>
  <c r="W611" i="12"/>
  <c r="W612" i="12"/>
  <c r="W613" i="12"/>
  <c r="W614" i="12"/>
  <c r="W615" i="12"/>
  <c r="W616" i="12"/>
  <c r="W617" i="12"/>
  <c r="W618" i="12"/>
  <c r="W619" i="12"/>
  <c r="W620" i="12"/>
  <c r="W621" i="12"/>
  <c r="W622" i="12"/>
  <c r="W623" i="12"/>
  <c r="W624" i="12"/>
  <c r="W625" i="12"/>
  <c r="W626" i="12"/>
  <c r="W627" i="12"/>
  <c r="W628" i="12"/>
  <c r="W629" i="12"/>
  <c r="W630" i="12"/>
  <c r="W631" i="12"/>
  <c r="W632" i="12"/>
  <c r="W633" i="12"/>
  <c r="W634" i="12"/>
  <c r="W635" i="12"/>
  <c r="W636" i="12"/>
  <c r="W637" i="12"/>
  <c r="W638" i="12"/>
  <c r="W639" i="12"/>
  <c r="W640" i="12"/>
  <c r="W641" i="12"/>
  <c r="W642" i="12"/>
  <c r="W643" i="12"/>
  <c r="W644" i="12"/>
  <c r="W645" i="12"/>
  <c r="W646" i="12"/>
  <c r="W647" i="12"/>
  <c r="W648" i="12"/>
  <c r="W649" i="12"/>
  <c r="W650" i="12"/>
  <c r="W651" i="12"/>
  <c r="W652" i="12"/>
  <c r="W653" i="12"/>
  <c r="W654" i="12"/>
  <c r="W655" i="12"/>
  <c r="W656" i="12"/>
  <c r="W657" i="12"/>
  <c r="W658" i="12"/>
  <c r="W659" i="12"/>
  <c r="W660" i="12"/>
  <c r="W661" i="12"/>
  <c r="W662" i="12"/>
  <c r="W663" i="12"/>
  <c r="W664" i="12"/>
  <c r="W665" i="12"/>
  <c r="W666" i="12"/>
  <c r="W667" i="12"/>
  <c r="W668" i="12"/>
  <c r="W669" i="12"/>
  <c r="W670" i="12"/>
  <c r="W671" i="12"/>
  <c r="W672" i="12"/>
  <c r="W673" i="12"/>
  <c r="W674" i="12"/>
  <c r="W675" i="12"/>
  <c r="W676" i="12"/>
  <c r="W677" i="12"/>
  <c r="W678" i="12"/>
  <c r="W679" i="12"/>
  <c r="W680" i="12"/>
  <c r="W681" i="12"/>
  <c r="W682" i="12"/>
  <c r="W683" i="12"/>
  <c r="W684" i="12"/>
  <c r="W685" i="12"/>
  <c r="W686" i="12"/>
  <c r="W687" i="12"/>
  <c r="W688" i="12"/>
  <c r="W689" i="12"/>
  <c r="W690" i="12"/>
  <c r="W691" i="12"/>
  <c r="W692" i="12"/>
  <c r="W693" i="12"/>
  <c r="W694" i="12"/>
  <c r="W695" i="12"/>
  <c r="W696" i="12"/>
  <c r="W697" i="12"/>
  <c r="W698" i="12"/>
  <c r="W699" i="12"/>
  <c r="W700" i="12"/>
  <c r="W701" i="12"/>
  <c r="W702" i="12"/>
  <c r="W703" i="12"/>
  <c r="W704" i="12"/>
  <c r="W705" i="12"/>
  <c r="W706" i="12"/>
  <c r="W707" i="12"/>
  <c r="W708" i="12"/>
  <c r="W709" i="12"/>
  <c r="W710" i="12"/>
  <c r="W711" i="12"/>
  <c r="W712" i="12"/>
  <c r="W713" i="12"/>
  <c r="W714" i="12"/>
  <c r="W715" i="12"/>
  <c r="W716" i="12"/>
  <c r="W717" i="12"/>
  <c r="W718" i="12"/>
  <c r="W719" i="12"/>
  <c r="W720" i="12"/>
  <c r="W721" i="12"/>
  <c r="W722" i="12"/>
  <c r="W723" i="12"/>
  <c r="W724" i="12"/>
  <c r="W725" i="12"/>
  <c r="W726" i="12"/>
  <c r="W727" i="12"/>
  <c r="W728" i="12"/>
  <c r="W729" i="12"/>
  <c r="W730" i="12"/>
  <c r="W731" i="12"/>
  <c r="W732" i="12"/>
  <c r="W733" i="12"/>
  <c r="W734" i="12"/>
  <c r="W735" i="12"/>
  <c r="W736" i="12"/>
  <c r="W737" i="12"/>
  <c r="W738" i="12"/>
  <c r="W739" i="12"/>
  <c r="W740" i="12"/>
  <c r="W741" i="12"/>
  <c r="W742" i="12"/>
  <c r="W743" i="12"/>
  <c r="W744" i="12"/>
  <c r="W745" i="12"/>
  <c r="W746" i="12"/>
  <c r="W747" i="12"/>
  <c r="W748" i="12"/>
  <c r="W749" i="12"/>
  <c r="W750" i="12"/>
  <c r="W751" i="12"/>
  <c r="W752" i="12"/>
  <c r="W753" i="12"/>
  <c r="W754" i="12"/>
  <c r="W755" i="12"/>
  <c r="W756" i="12"/>
  <c r="W757" i="12"/>
  <c r="W758" i="12"/>
  <c r="W759" i="12"/>
  <c r="W760" i="12"/>
  <c r="W761" i="12"/>
  <c r="W762" i="12"/>
  <c r="W763" i="12"/>
  <c r="W764" i="12"/>
  <c r="W765" i="12"/>
  <c r="W766" i="12"/>
  <c r="W767" i="12"/>
  <c r="W768" i="12"/>
  <c r="W769" i="12"/>
  <c r="W770" i="12"/>
  <c r="W771" i="12"/>
  <c r="W772" i="12"/>
  <c r="W773" i="12"/>
  <c r="W774" i="12"/>
  <c r="W775" i="12"/>
  <c r="W776" i="12"/>
  <c r="W777" i="12"/>
  <c r="W778" i="12"/>
  <c r="W779" i="12"/>
  <c r="W780" i="12"/>
  <c r="W781" i="12"/>
  <c r="W782" i="12"/>
  <c r="W783" i="12"/>
  <c r="W784" i="12"/>
  <c r="W785" i="12"/>
  <c r="W786" i="12"/>
  <c r="W787" i="12"/>
  <c r="W788" i="12"/>
  <c r="W789" i="12"/>
  <c r="W790" i="12"/>
  <c r="W791" i="12"/>
  <c r="W792" i="12"/>
  <c r="W793" i="12"/>
  <c r="W794" i="12"/>
  <c r="W795" i="12"/>
  <c r="W796" i="12"/>
  <c r="W797" i="12"/>
  <c r="W798" i="12"/>
  <c r="W799" i="12"/>
  <c r="W800" i="12"/>
  <c r="W801" i="12"/>
  <c r="W802" i="12"/>
  <c r="W803" i="12"/>
  <c r="W804" i="12"/>
  <c r="W805" i="12"/>
  <c r="W806" i="12"/>
  <c r="W807" i="12"/>
  <c r="W808" i="12"/>
  <c r="W809" i="12"/>
  <c r="W810" i="12"/>
  <c r="W811" i="12"/>
  <c r="W812" i="12"/>
  <c r="W813" i="12"/>
  <c r="W814" i="12"/>
  <c r="W815" i="12"/>
  <c r="W816" i="12"/>
  <c r="W817" i="12"/>
  <c r="W818" i="12"/>
  <c r="W819" i="12"/>
  <c r="W820" i="12"/>
  <c r="W821" i="12"/>
  <c r="W822" i="12"/>
  <c r="W823" i="12"/>
  <c r="W824" i="12"/>
  <c r="W825" i="12"/>
  <c r="W826" i="12"/>
  <c r="W827" i="12"/>
  <c r="W828" i="12"/>
  <c r="W829" i="12"/>
  <c r="W830" i="12"/>
  <c r="W831" i="12"/>
  <c r="W832" i="12"/>
  <c r="W833" i="12"/>
  <c r="W834" i="12"/>
  <c r="W835" i="12"/>
  <c r="W836" i="12"/>
  <c r="W837" i="12"/>
  <c r="W838" i="12"/>
  <c r="W839" i="12"/>
  <c r="W840" i="12"/>
  <c r="W841" i="12"/>
  <c r="W842" i="12"/>
  <c r="W843" i="12"/>
  <c r="W844" i="12"/>
  <c r="W845" i="12"/>
  <c r="W846" i="12"/>
  <c r="W847" i="12"/>
  <c r="W848" i="12"/>
  <c r="W849" i="12"/>
  <c r="W850" i="12"/>
  <c r="W851" i="12"/>
  <c r="W852" i="12"/>
  <c r="W853" i="12"/>
  <c r="W854" i="12"/>
  <c r="W855" i="12"/>
  <c r="W856" i="12"/>
  <c r="W857" i="12"/>
  <c r="W858" i="12"/>
  <c r="W859" i="12"/>
  <c r="W860" i="12"/>
  <c r="W861" i="12"/>
  <c r="W862" i="12"/>
  <c r="W863" i="12"/>
  <c r="W864" i="12"/>
  <c r="W865" i="12"/>
  <c r="W866" i="12"/>
  <c r="W867" i="12"/>
  <c r="W868" i="12"/>
  <c r="W869" i="12"/>
  <c r="W870" i="12"/>
  <c r="W871" i="12"/>
  <c r="W872" i="12"/>
  <c r="W873" i="12"/>
  <c r="W874" i="12"/>
  <c r="W875" i="12"/>
  <c r="W876" i="12"/>
  <c r="W877" i="12"/>
  <c r="W878" i="12"/>
  <c r="W879" i="12"/>
  <c r="W880" i="12"/>
  <c r="W881" i="12"/>
  <c r="W882" i="12"/>
  <c r="W883" i="12"/>
  <c r="W884" i="12"/>
  <c r="W885" i="12"/>
  <c r="W886" i="12"/>
  <c r="W887" i="12"/>
  <c r="W888" i="12"/>
  <c r="W889" i="12"/>
  <c r="W890" i="12"/>
  <c r="W891" i="12"/>
  <c r="W892" i="12"/>
  <c r="W893" i="12"/>
  <c r="W894" i="12"/>
  <c r="W895" i="12"/>
  <c r="W896" i="12"/>
  <c r="W897" i="12"/>
  <c r="W898" i="12"/>
  <c r="W899" i="12"/>
  <c r="W900" i="12"/>
  <c r="W901" i="12"/>
  <c r="W902" i="12"/>
  <c r="W903" i="12"/>
  <c r="W904" i="12"/>
  <c r="W905" i="12"/>
  <c r="W906" i="12"/>
  <c r="W907" i="12"/>
  <c r="W908" i="12"/>
  <c r="W909" i="12"/>
  <c r="W910" i="12"/>
  <c r="W911" i="12"/>
  <c r="W912" i="12"/>
  <c r="W913" i="12"/>
  <c r="W914" i="12"/>
  <c r="W915" i="12"/>
  <c r="W916" i="12"/>
  <c r="W917" i="12"/>
  <c r="W918" i="12"/>
  <c r="W919" i="12"/>
  <c r="W920" i="12"/>
  <c r="W921" i="12"/>
  <c r="W922" i="12"/>
  <c r="W923" i="12"/>
  <c r="W924" i="12"/>
  <c r="W925" i="12"/>
  <c r="W926" i="12"/>
  <c r="W927" i="12"/>
  <c r="W928" i="12"/>
  <c r="W929" i="12"/>
  <c r="W930" i="12"/>
  <c r="W931" i="12"/>
  <c r="W932" i="12"/>
  <c r="W933" i="12"/>
  <c r="W934" i="12"/>
  <c r="W935" i="12"/>
  <c r="W936" i="12"/>
  <c r="W937" i="12"/>
  <c r="W938" i="12"/>
  <c r="W939" i="12"/>
  <c r="W940" i="12"/>
  <c r="W941" i="12"/>
  <c r="W942" i="12"/>
  <c r="W943" i="12"/>
  <c r="W944" i="12"/>
  <c r="W945" i="12"/>
  <c r="W946" i="12"/>
  <c r="W947" i="12"/>
  <c r="W948" i="12"/>
  <c r="W949" i="12"/>
  <c r="W950" i="12"/>
  <c r="W951" i="12"/>
  <c r="W952" i="12"/>
  <c r="W953" i="12"/>
  <c r="W954" i="12"/>
  <c r="W955" i="12"/>
  <c r="W956" i="12"/>
  <c r="W957" i="12"/>
  <c r="W958" i="12"/>
  <c r="W959" i="12"/>
  <c r="W960" i="12"/>
  <c r="W961" i="12"/>
  <c r="W962" i="12"/>
  <c r="W963" i="12"/>
  <c r="W964" i="12"/>
  <c r="W965" i="12"/>
  <c r="W966" i="12"/>
  <c r="W967" i="12"/>
  <c r="W968" i="12"/>
  <c r="W969" i="12"/>
  <c r="W970" i="12"/>
  <c r="W971" i="12"/>
  <c r="W972" i="12"/>
  <c r="W973" i="12"/>
  <c r="W974" i="12"/>
  <c r="W975" i="12"/>
  <c r="W976" i="12"/>
  <c r="W977" i="12"/>
  <c r="W978" i="12"/>
  <c r="W979" i="12"/>
  <c r="W980" i="12"/>
  <c r="W981" i="12"/>
  <c r="W982" i="12"/>
  <c r="W983" i="12"/>
  <c r="W984" i="12"/>
  <c r="W985" i="12"/>
  <c r="W986" i="12"/>
  <c r="W987" i="12"/>
  <c r="W988" i="12"/>
  <c r="W989" i="12"/>
  <c r="W990" i="12"/>
  <c r="W991" i="12"/>
  <c r="W992" i="12"/>
  <c r="W993" i="12"/>
  <c r="W994" i="12"/>
  <c r="W995" i="12"/>
  <c r="W996" i="12"/>
  <c r="W997" i="12"/>
  <c r="W998" i="12"/>
  <c r="W999" i="12"/>
  <c r="W1000" i="12"/>
  <c r="W1001" i="12"/>
  <c r="W1002" i="12"/>
  <c r="W1003" i="12"/>
  <c r="W1004" i="12"/>
  <c r="W1005" i="12"/>
  <c r="W1006" i="12"/>
  <c r="W1007" i="12"/>
  <c r="W1008" i="12"/>
  <c r="W1009" i="12"/>
  <c r="W1010" i="12"/>
  <c r="W1011" i="12"/>
  <c r="W1012" i="12"/>
  <c r="W1013" i="12"/>
  <c r="W1014" i="12"/>
  <c r="W1015" i="12"/>
  <c r="W1016" i="12"/>
  <c r="W1017" i="12"/>
  <c r="W1018" i="12"/>
  <c r="W1019" i="12"/>
  <c r="W1020" i="12"/>
  <c r="W1021" i="12"/>
  <c r="W1022" i="12"/>
  <c r="W1023" i="12"/>
  <c r="W1024" i="12"/>
  <c r="W1025" i="12"/>
  <c r="W1026" i="12"/>
  <c r="W1027" i="12"/>
  <c r="W1028" i="12"/>
  <c r="W1029" i="12"/>
  <c r="W1030" i="12"/>
  <c r="W1031" i="12"/>
  <c r="W1032" i="12"/>
  <c r="W1033" i="12"/>
  <c r="W1034" i="12"/>
  <c r="W1035" i="12"/>
  <c r="W1036" i="12"/>
  <c r="W1037" i="12"/>
  <c r="W1038" i="12"/>
  <c r="W1039" i="12"/>
  <c r="W1040" i="12"/>
  <c r="W1041" i="12"/>
  <c r="W1042" i="12"/>
  <c r="W1043" i="12"/>
  <c r="W1044" i="12"/>
  <c r="W1045" i="12"/>
  <c r="W1046" i="12"/>
  <c r="W1047" i="12"/>
  <c r="W1048" i="12"/>
  <c r="W1049" i="12"/>
  <c r="W1050" i="12"/>
  <c r="W1051" i="12"/>
  <c r="W1052" i="12"/>
  <c r="W1053" i="12"/>
  <c r="W1054" i="12"/>
  <c r="W1055" i="12"/>
  <c r="W1056" i="12"/>
  <c r="W1057" i="12"/>
  <c r="W1058" i="12"/>
  <c r="W1059" i="12"/>
  <c r="W1060" i="12"/>
  <c r="W1061" i="12"/>
  <c r="W1062" i="12"/>
  <c r="W1063" i="12"/>
  <c r="W1064" i="12"/>
  <c r="W1065" i="12"/>
  <c r="W1066" i="12"/>
  <c r="W1067" i="12"/>
  <c r="W1068" i="12"/>
  <c r="W1069" i="12"/>
  <c r="W1070" i="12"/>
  <c r="W1071" i="12"/>
  <c r="W1072" i="12"/>
  <c r="W1073" i="12"/>
  <c r="W1074" i="12"/>
  <c r="W1075" i="12"/>
  <c r="W1076" i="12"/>
  <c r="W1077" i="12"/>
  <c r="W1078" i="12"/>
  <c r="W1079" i="12"/>
  <c r="W1080" i="12"/>
  <c r="W1081" i="12"/>
  <c r="W1082" i="12"/>
  <c r="W1083" i="12"/>
  <c r="W1084" i="12"/>
  <c r="W1085" i="12"/>
  <c r="W1086" i="12"/>
  <c r="W1087" i="12"/>
  <c r="W1088" i="12"/>
  <c r="W1089" i="12"/>
  <c r="W1090" i="12"/>
  <c r="W1091" i="12"/>
  <c r="W1092" i="12"/>
  <c r="W1093" i="12"/>
  <c r="W1094" i="12"/>
  <c r="W1095" i="12"/>
  <c r="W1096" i="12"/>
  <c r="W1097" i="12"/>
  <c r="W1098" i="12"/>
  <c r="W1099" i="12"/>
  <c r="W1100" i="12"/>
  <c r="W1101" i="12"/>
  <c r="W1102" i="12"/>
  <c r="W1103" i="12"/>
  <c r="W1104" i="12"/>
  <c r="W1105" i="12"/>
  <c r="W1106" i="12"/>
  <c r="W1107" i="12"/>
  <c r="W1108" i="12"/>
  <c r="W1109" i="12"/>
  <c r="W1110" i="12"/>
  <c r="W1111" i="12"/>
  <c r="W1112" i="12"/>
  <c r="W1113" i="12"/>
  <c r="W1114" i="12"/>
  <c r="W1115" i="12"/>
  <c r="W1116" i="12"/>
  <c r="W1117" i="12"/>
  <c r="W1118" i="12"/>
  <c r="W1119" i="12"/>
  <c r="W1120" i="12"/>
  <c r="W1121" i="12"/>
  <c r="W1122" i="12"/>
  <c r="W1123" i="12"/>
  <c r="W1124" i="12"/>
  <c r="W1125" i="12"/>
  <c r="W1126" i="12"/>
  <c r="W1127" i="12"/>
  <c r="W1128" i="12"/>
  <c r="W1129" i="12"/>
  <c r="W1130" i="12"/>
  <c r="W1131" i="12"/>
  <c r="W1132" i="12"/>
  <c r="W1133" i="12"/>
  <c r="W1134" i="12"/>
  <c r="W1135" i="12"/>
  <c r="W1136" i="12"/>
  <c r="W1137" i="12"/>
  <c r="W1138" i="12"/>
  <c r="W1139" i="12"/>
  <c r="W1140" i="12"/>
  <c r="W1141" i="12"/>
  <c r="W1142" i="12"/>
  <c r="W1143" i="12"/>
  <c r="W1144" i="12"/>
  <c r="W1145" i="12"/>
  <c r="W1146" i="12"/>
  <c r="W1147" i="12"/>
  <c r="W1148" i="12"/>
  <c r="W1149" i="12"/>
  <c r="W1150" i="12"/>
  <c r="W1151" i="12"/>
  <c r="W1152" i="12"/>
  <c r="W1153" i="12"/>
  <c r="W1154" i="12"/>
  <c r="W1155" i="12"/>
  <c r="W1156" i="12"/>
  <c r="W1157" i="12"/>
  <c r="W1158" i="12"/>
  <c r="W1159" i="12"/>
  <c r="W1160" i="12"/>
  <c r="W1161" i="12"/>
  <c r="W1162" i="12"/>
  <c r="W1163" i="12"/>
  <c r="W1164" i="12"/>
  <c r="W1165" i="12"/>
  <c r="W1166" i="12"/>
  <c r="W1167" i="12"/>
  <c r="W1168" i="12"/>
  <c r="W1169" i="12"/>
  <c r="W1170" i="12"/>
  <c r="W1171" i="12"/>
  <c r="W1172" i="12"/>
  <c r="W1173" i="12"/>
  <c r="W1174" i="12"/>
  <c r="W1175" i="12"/>
  <c r="W1176" i="12"/>
  <c r="W1177" i="12"/>
  <c r="W1178" i="12"/>
  <c r="W1179" i="12"/>
  <c r="W1180" i="12"/>
  <c r="W1181" i="12"/>
  <c r="W1182" i="12"/>
  <c r="W1183" i="12"/>
  <c r="W1184" i="12"/>
  <c r="W1185" i="12"/>
  <c r="W1186" i="12"/>
  <c r="W1187" i="12"/>
  <c r="W1188" i="12"/>
  <c r="W1189" i="12"/>
  <c r="W1190" i="12"/>
  <c r="W1191" i="12"/>
  <c r="W1192" i="12"/>
  <c r="W1193" i="12"/>
  <c r="W1194" i="12"/>
  <c r="W1195" i="12"/>
  <c r="W1196" i="12"/>
  <c r="W1197" i="12"/>
  <c r="W1198" i="12"/>
  <c r="W1199" i="12"/>
  <c r="W1200" i="12"/>
  <c r="W1201" i="12"/>
  <c r="W1202" i="12"/>
  <c r="W1203" i="12"/>
  <c r="W1204" i="12"/>
  <c r="W1205" i="12"/>
  <c r="W1206" i="12"/>
  <c r="W1207" i="12"/>
  <c r="W1208" i="12"/>
  <c r="W1209" i="12"/>
  <c r="W1210" i="12"/>
  <c r="W1211" i="12"/>
  <c r="W1212" i="12"/>
  <c r="W1213" i="12"/>
  <c r="W1214" i="12"/>
  <c r="W1215" i="12"/>
  <c r="W1216" i="12"/>
  <c r="W1217" i="12"/>
  <c r="W1218" i="12"/>
  <c r="W1219" i="12"/>
  <c r="W1220" i="12"/>
  <c r="W1221" i="12"/>
  <c r="W1222" i="12"/>
  <c r="W1223" i="12"/>
  <c r="W1224" i="12"/>
  <c r="W1225" i="12"/>
  <c r="W1226" i="12"/>
  <c r="W1227" i="12"/>
  <c r="W1228" i="12"/>
  <c r="W1229" i="12"/>
  <c r="W1230" i="12"/>
  <c r="W1231" i="12"/>
  <c r="W1232" i="12"/>
  <c r="W1233" i="12"/>
  <c r="W1234" i="12"/>
  <c r="W1235" i="12"/>
  <c r="W1236" i="12"/>
  <c r="W1237" i="12"/>
  <c r="W1238" i="12"/>
  <c r="W1239" i="12"/>
  <c r="W1240" i="12"/>
  <c r="W1241" i="12"/>
  <c r="W1242" i="12"/>
  <c r="W1243" i="12"/>
  <c r="W1244" i="12"/>
  <c r="W1245" i="12"/>
  <c r="W1246" i="12"/>
  <c r="W1247" i="12"/>
  <c r="W1248" i="12"/>
  <c r="W1249" i="12"/>
  <c r="W1250" i="12"/>
  <c r="W1251" i="12"/>
  <c r="W1252" i="12"/>
  <c r="W1253" i="12"/>
  <c r="W1254" i="12"/>
  <c r="W1255" i="12"/>
  <c r="W1256" i="12"/>
  <c r="W1257" i="12"/>
  <c r="W1258" i="12"/>
  <c r="W1259" i="12"/>
  <c r="W1260" i="12"/>
  <c r="W1261" i="12"/>
  <c r="W1262" i="12"/>
  <c r="W1263" i="12"/>
  <c r="W1264" i="12"/>
  <c r="W1265" i="12"/>
  <c r="W1266" i="12"/>
  <c r="W1267" i="12"/>
  <c r="W1268" i="12"/>
  <c r="W1269" i="12"/>
  <c r="W1270" i="12"/>
  <c r="W1271" i="12"/>
  <c r="W1272" i="12"/>
  <c r="W1273" i="12"/>
  <c r="W1274" i="12"/>
  <c r="W1275" i="12"/>
  <c r="W1276" i="12"/>
  <c r="W1277" i="12"/>
  <c r="W1278" i="12"/>
  <c r="W1279" i="12"/>
  <c r="W1280" i="12"/>
  <c r="W1281" i="12"/>
  <c r="W1282" i="12"/>
  <c r="W1283" i="12"/>
  <c r="W1284" i="12"/>
  <c r="W1285" i="12"/>
  <c r="W1286" i="12"/>
  <c r="W1287" i="12"/>
  <c r="W1288" i="12"/>
  <c r="W1289" i="12"/>
  <c r="W1290" i="12"/>
  <c r="W1291" i="12"/>
  <c r="W1292" i="12"/>
  <c r="W1293" i="12"/>
  <c r="W1294" i="12"/>
  <c r="W1295" i="12"/>
  <c r="W1296" i="12"/>
  <c r="W1297" i="12"/>
  <c r="W1298" i="12"/>
  <c r="W1299" i="12"/>
  <c r="W1300" i="12"/>
  <c r="W1301" i="12"/>
  <c r="W1302" i="12"/>
  <c r="W1303" i="12"/>
  <c r="W1304" i="12"/>
  <c r="W1305" i="12"/>
  <c r="W1306" i="12"/>
  <c r="W1307" i="12"/>
  <c r="W1308" i="12"/>
  <c r="W1309" i="12"/>
  <c r="W1310" i="12"/>
  <c r="W1311" i="12"/>
  <c r="W1312" i="12"/>
  <c r="W1313" i="12"/>
  <c r="W1314" i="12"/>
  <c r="W1315" i="12"/>
  <c r="W1316" i="12"/>
  <c r="W1317" i="12"/>
  <c r="W1318" i="12"/>
  <c r="W1319" i="12"/>
  <c r="W1320" i="12"/>
  <c r="W1321" i="12"/>
  <c r="W1322" i="12"/>
  <c r="W1323" i="12"/>
  <c r="W1324" i="12"/>
  <c r="W1325" i="12"/>
  <c r="W1326" i="12"/>
  <c r="W1327" i="12"/>
  <c r="W1328" i="12"/>
  <c r="W1329" i="12"/>
  <c r="W1330" i="12"/>
  <c r="W1331" i="12"/>
  <c r="W1332" i="12"/>
  <c r="W1333" i="12"/>
  <c r="W1334" i="12"/>
  <c r="W1335" i="12"/>
  <c r="W1336" i="12"/>
  <c r="W1337" i="12"/>
  <c r="W1338" i="12"/>
  <c r="W1339" i="12"/>
  <c r="W1340" i="12"/>
  <c r="W1341" i="12"/>
  <c r="W1342" i="12"/>
  <c r="W1343" i="12"/>
  <c r="W1344" i="12"/>
  <c r="W1345" i="12"/>
  <c r="W1346" i="12"/>
  <c r="W1347" i="12"/>
  <c r="W1348" i="12"/>
  <c r="W1349" i="12"/>
  <c r="W1350" i="12"/>
  <c r="W1351" i="12"/>
  <c r="W1352" i="12"/>
  <c r="W1353" i="12"/>
  <c r="W1354" i="12"/>
  <c r="W1355" i="12"/>
  <c r="W1356" i="12"/>
  <c r="W1357" i="12"/>
  <c r="W1358" i="12"/>
  <c r="W1359" i="12"/>
  <c r="W1360" i="12"/>
  <c r="W1361" i="12"/>
  <c r="W1362" i="12"/>
  <c r="W1363" i="12"/>
  <c r="W1364" i="12"/>
  <c r="W1365" i="12"/>
  <c r="W1366" i="12"/>
  <c r="W1367" i="12"/>
  <c r="W1368" i="12"/>
  <c r="W1369" i="12"/>
  <c r="W1370" i="12"/>
  <c r="W1371" i="12"/>
  <c r="W1372" i="12"/>
  <c r="W1373" i="12"/>
  <c r="W1374" i="12"/>
  <c r="W1375" i="12"/>
  <c r="W1376" i="12"/>
  <c r="W1377" i="12"/>
  <c r="W1378" i="12"/>
  <c r="W1379" i="12"/>
  <c r="W1380" i="12"/>
  <c r="W1381" i="12"/>
  <c r="W1382" i="12"/>
  <c r="W1383" i="12"/>
  <c r="W1384" i="12"/>
  <c r="W1385" i="12"/>
  <c r="W1386" i="12"/>
  <c r="W1387" i="12"/>
  <c r="W1388" i="12"/>
  <c r="W1389" i="12"/>
  <c r="W1390" i="12"/>
  <c r="W1391" i="12"/>
  <c r="W1392" i="12"/>
  <c r="W1393" i="12"/>
  <c r="W1394" i="12"/>
  <c r="W1395" i="12"/>
  <c r="W1396" i="12"/>
  <c r="W1397" i="12"/>
  <c r="W1398" i="12"/>
  <c r="W1399" i="12"/>
  <c r="W1400" i="12"/>
  <c r="W1401" i="12"/>
  <c r="W1402" i="12"/>
  <c r="W1403" i="12"/>
  <c r="W1404" i="12"/>
  <c r="W1405" i="12"/>
  <c r="W1406" i="12"/>
  <c r="W1407" i="12"/>
  <c r="W1408" i="12"/>
  <c r="W1409" i="12"/>
  <c r="W1410" i="12"/>
  <c r="W1411" i="12"/>
  <c r="W1412" i="12"/>
  <c r="W1413" i="12"/>
  <c r="W1414" i="12"/>
  <c r="W1415" i="12"/>
  <c r="W1416" i="12"/>
  <c r="W1417" i="12"/>
  <c r="W1418" i="12"/>
  <c r="W1419" i="12"/>
  <c r="W1420" i="12"/>
  <c r="W1421" i="12"/>
  <c r="W1422" i="12"/>
  <c r="W1423" i="12"/>
  <c r="W1424" i="12"/>
  <c r="W1425" i="12"/>
  <c r="W1426" i="12"/>
  <c r="W1427" i="12"/>
  <c r="W1428" i="12"/>
  <c r="W1429" i="12"/>
  <c r="W1430" i="12"/>
  <c r="W1431" i="12"/>
  <c r="W1432" i="12"/>
  <c r="W1433" i="12"/>
  <c r="W1434" i="12"/>
  <c r="W1435" i="12"/>
  <c r="W1436" i="12"/>
  <c r="W1437" i="12"/>
  <c r="W1438" i="12"/>
  <c r="W1439" i="12"/>
  <c r="W1440" i="12"/>
  <c r="W1441" i="12"/>
  <c r="W1442" i="12"/>
  <c r="W1443" i="12"/>
  <c r="W1444" i="12"/>
  <c r="W1445" i="12"/>
  <c r="W1446" i="12"/>
  <c r="W1447" i="12"/>
  <c r="W1448" i="12"/>
  <c r="W1449" i="12"/>
  <c r="W1450" i="12"/>
  <c r="W1451" i="12"/>
  <c r="W1452" i="12"/>
  <c r="W1453" i="12"/>
  <c r="W1454" i="12"/>
  <c r="W1455" i="12"/>
  <c r="W1456" i="12"/>
  <c r="W1457" i="12"/>
  <c r="W1458" i="12"/>
  <c r="W1459" i="12"/>
  <c r="W1460" i="12"/>
  <c r="W1461" i="12"/>
  <c r="W1462" i="12"/>
  <c r="W1463" i="12"/>
  <c r="W1464" i="12"/>
  <c r="W1465" i="12"/>
  <c r="W1466" i="12"/>
  <c r="W1467" i="12"/>
  <c r="W1468" i="12"/>
  <c r="W1469" i="12"/>
  <c r="W1470" i="12"/>
  <c r="W1471" i="12"/>
  <c r="W1472" i="12"/>
  <c r="W1473" i="12"/>
  <c r="W1474" i="12"/>
  <c r="W1475" i="12"/>
  <c r="W1476" i="12"/>
  <c r="W1477" i="12"/>
  <c r="W1478" i="12"/>
  <c r="W1479" i="12"/>
  <c r="W1480" i="12"/>
  <c r="W1481" i="12"/>
  <c r="W1482" i="12"/>
  <c r="W1483" i="12"/>
  <c r="W1484" i="12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W243" i="12"/>
  <c r="W244" i="12"/>
  <c r="W245" i="12"/>
  <c r="W246" i="12"/>
  <c r="W247" i="12"/>
  <c r="W248" i="12"/>
  <c r="W249" i="12"/>
  <c r="W250" i="12"/>
  <c r="W251" i="12"/>
  <c r="W252" i="12"/>
  <c r="W253" i="12"/>
  <c r="W254" i="12"/>
  <c r="W255" i="12"/>
  <c r="W256" i="12"/>
  <c r="W257" i="12"/>
  <c r="W258" i="12"/>
  <c r="W259" i="12"/>
  <c r="W260" i="12"/>
  <c r="W261" i="12"/>
  <c r="W262" i="12"/>
  <c r="W263" i="12"/>
  <c r="W264" i="12"/>
  <c r="W265" i="12"/>
  <c r="W266" i="12"/>
  <c r="W267" i="12"/>
  <c r="W268" i="12"/>
  <c r="W269" i="12"/>
  <c r="W270" i="12"/>
  <c r="W271" i="12"/>
  <c r="W272" i="12"/>
  <c r="W273" i="12"/>
  <c r="W274" i="12"/>
  <c r="W275" i="12"/>
  <c r="W276" i="12"/>
  <c r="W277" i="12"/>
  <c r="W278" i="12"/>
  <c r="W279" i="12"/>
  <c r="W280" i="12"/>
  <c r="W281" i="12"/>
  <c r="W282" i="12"/>
  <c r="W283" i="12"/>
  <c r="W284" i="12"/>
  <c r="W285" i="12"/>
  <c r="W286" i="12"/>
  <c r="W287" i="12"/>
  <c r="W288" i="12"/>
  <c r="W289" i="12"/>
  <c r="W290" i="12"/>
  <c r="W291" i="12"/>
  <c r="W292" i="12"/>
  <c r="W293" i="12"/>
  <c r="W294" i="12"/>
  <c r="W295" i="12"/>
  <c r="W296" i="12"/>
  <c r="W297" i="12"/>
  <c r="W298" i="12"/>
  <c r="W299" i="12"/>
  <c r="W300" i="12"/>
  <c r="W301" i="12"/>
  <c r="W302" i="12"/>
  <c r="W303" i="12"/>
  <c r="W304" i="12"/>
  <c r="W305" i="12"/>
  <c r="W306" i="12"/>
  <c r="W307" i="12"/>
  <c r="W308" i="12"/>
  <c r="W309" i="12"/>
  <c r="W310" i="12"/>
  <c r="W311" i="12"/>
  <c r="W312" i="12"/>
  <c r="W313" i="12"/>
  <c r="W314" i="12"/>
  <c r="W315" i="12"/>
  <c r="W316" i="12"/>
  <c r="W317" i="12"/>
  <c r="W318" i="12"/>
  <c r="W319" i="12"/>
  <c r="W320" i="12"/>
  <c r="W321" i="12"/>
  <c r="W322" i="12"/>
  <c r="W323" i="12"/>
  <c r="W324" i="12"/>
  <c r="W325" i="12"/>
  <c r="W326" i="12"/>
  <c r="W327" i="12"/>
  <c r="W328" i="12"/>
  <c r="W329" i="12"/>
  <c r="W330" i="12"/>
  <c r="W331" i="12"/>
  <c r="W332" i="12"/>
  <c r="W333" i="12"/>
  <c r="W334" i="12"/>
  <c r="W335" i="12"/>
  <c r="W336" i="12"/>
  <c r="W337" i="12"/>
  <c r="W338" i="12"/>
  <c r="W339" i="12"/>
  <c r="W340" i="12"/>
  <c r="W341" i="12"/>
  <c r="W342" i="12"/>
  <c r="W343" i="12"/>
  <c r="W344" i="12"/>
  <c r="W345" i="12"/>
  <c r="W346" i="12"/>
  <c r="W347" i="12"/>
  <c r="W348" i="12"/>
  <c r="W349" i="12"/>
  <c r="W350" i="12"/>
  <c r="W351" i="12"/>
  <c r="W352" i="12"/>
  <c r="W353" i="12"/>
  <c r="W354" i="12"/>
  <c r="W355" i="12"/>
  <c r="W356" i="12"/>
  <c r="W357" i="12"/>
  <c r="W358" i="12"/>
  <c r="W359" i="12"/>
  <c r="W360" i="12"/>
  <c r="W361" i="12"/>
  <c r="W362" i="12"/>
  <c r="W363" i="12"/>
  <c r="W364" i="12"/>
  <c r="W365" i="12"/>
  <c r="W366" i="12"/>
  <c r="W367" i="12"/>
  <c r="W368" i="12"/>
  <c r="W369" i="12"/>
  <c r="W370" i="12"/>
  <c r="W371" i="12"/>
  <c r="W372" i="12"/>
  <c r="W373" i="12"/>
  <c r="W374" i="12"/>
  <c r="W375" i="12"/>
  <c r="W376" i="12"/>
  <c r="W377" i="12"/>
  <c r="W378" i="12"/>
  <c r="W379" i="12"/>
  <c r="W380" i="12"/>
  <c r="W381" i="12"/>
  <c r="W382" i="12"/>
  <c r="W383" i="12"/>
  <c r="W384" i="12"/>
  <c r="W385" i="12"/>
  <c r="W386" i="12"/>
  <c r="W387" i="12"/>
  <c r="W388" i="12"/>
  <c r="W389" i="12"/>
  <c r="W390" i="12"/>
  <c r="W391" i="12"/>
  <c r="W392" i="12"/>
  <c r="W393" i="12"/>
  <c r="W394" i="12"/>
  <c r="W395" i="12"/>
  <c r="W396" i="12"/>
  <c r="W397" i="12"/>
  <c r="W398" i="12"/>
  <c r="W399" i="12"/>
  <c r="W400" i="12"/>
  <c r="W401" i="12"/>
  <c r="W402" i="12"/>
  <c r="W403" i="12"/>
  <c r="W404" i="12"/>
  <c r="W405" i="12"/>
  <c r="W406" i="12"/>
  <c r="W407" i="12"/>
  <c r="W408" i="12"/>
  <c r="W409" i="12"/>
  <c r="W410" i="12"/>
  <c r="W411" i="12"/>
  <c r="W412" i="12"/>
  <c r="W413" i="12"/>
  <c r="W414" i="12"/>
  <c r="W415" i="12"/>
  <c r="W416" i="12"/>
  <c r="W417" i="12"/>
  <c r="W418" i="12"/>
  <c r="W419" i="12"/>
  <c r="W420" i="12"/>
  <c r="W421" i="12"/>
  <c r="W422" i="12"/>
  <c r="W423" i="12"/>
  <c r="W424" i="12"/>
  <c r="W425" i="12"/>
  <c r="W426" i="12"/>
  <c r="W427" i="12"/>
  <c r="W428" i="12"/>
  <c r="W429" i="12"/>
  <c r="W430" i="12"/>
  <c r="W431" i="12"/>
  <c r="W432" i="12"/>
  <c r="W433" i="12"/>
  <c r="W434" i="12"/>
  <c r="W435" i="12"/>
  <c r="W436" i="12"/>
  <c r="W437" i="12"/>
  <c r="W438" i="12"/>
  <c r="W439" i="12"/>
  <c r="W440" i="12"/>
  <c r="W441" i="12"/>
  <c r="W442" i="12"/>
  <c r="W443" i="12"/>
  <c r="W444" i="12"/>
  <c r="W445" i="12"/>
  <c r="W446" i="12"/>
  <c r="W447" i="12"/>
  <c r="W448" i="12"/>
  <c r="W449" i="12"/>
  <c r="W450" i="12"/>
  <c r="W451" i="12"/>
  <c r="W452" i="12"/>
  <c r="W453" i="12"/>
  <c r="W454" i="12"/>
  <c r="W455" i="12"/>
  <c r="W456" i="12"/>
  <c r="W457" i="12"/>
  <c r="W458" i="12"/>
  <c r="W459" i="12"/>
  <c r="W460" i="12"/>
  <c r="W461" i="12"/>
  <c r="W462" i="12"/>
  <c r="W463" i="12"/>
  <c r="W464" i="12"/>
  <c r="W465" i="12"/>
  <c r="W466" i="12"/>
  <c r="W467" i="12"/>
  <c r="W468" i="12"/>
  <c r="W469" i="12"/>
  <c r="W470" i="12"/>
  <c r="W471" i="12"/>
  <c r="W472" i="12"/>
  <c r="W473" i="12"/>
  <c r="W474" i="12"/>
  <c r="W475" i="12"/>
  <c r="W476" i="12"/>
  <c r="W477" i="12"/>
  <c r="W478" i="12"/>
  <c r="W479" i="12"/>
  <c r="W480" i="12"/>
  <c r="W481" i="12"/>
  <c r="W482" i="12"/>
  <c r="W483" i="12"/>
  <c r="W484" i="12"/>
  <c r="W485" i="12"/>
  <c r="W486" i="12"/>
  <c r="W487" i="12"/>
  <c r="W488" i="12"/>
  <c r="W489" i="12"/>
  <c r="W490" i="12"/>
  <c r="W491" i="12"/>
  <c r="W492" i="12"/>
  <c r="W493" i="12"/>
  <c r="W494" i="12"/>
  <c r="W495" i="12"/>
  <c r="W496" i="12"/>
  <c r="W497" i="12"/>
  <c r="W498" i="12"/>
  <c r="W499" i="12"/>
  <c r="W500" i="12"/>
  <c r="W501" i="12"/>
  <c r="W502" i="12"/>
  <c r="W503" i="12"/>
  <c r="W504" i="12"/>
  <c r="W505" i="12"/>
  <c r="W506" i="12"/>
  <c r="W507" i="12"/>
  <c r="W508" i="12"/>
  <c r="W509" i="12"/>
  <c r="W510" i="12"/>
  <c r="W511" i="12"/>
  <c r="W512" i="12"/>
  <c r="W513" i="12"/>
  <c r="W514" i="12"/>
  <c r="W515" i="12"/>
  <c r="W516" i="12"/>
  <c r="W517" i="12"/>
  <c r="W518" i="12"/>
  <c r="W519" i="12"/>
  <c r="W520" i="12"/>
  <c r="W521" i="12"/>
  <c r="W522" i="12"/>
  <c r="W523" i="12"/>
  <c r="W524" i="12"/>
  <c r="W525" i="12"/>
  <c r="W526" i="12"/>
  <c r="W527" i="12"/>
  <c r="W528" i="12"/>
  <c r="W529" i="12"/>
  <c r="W530" i="12"/>
  <c r="S4" i="12"/>
  <c r="Y4" i="12" s="1" a="1"/>
  <c r="Y4" i="12" s="1"/>
  <c r="S5" i="12"/>
  <c r="S6" i="12"/>
  <c r="S7" i="12"/>
  <c r="S8" i="12"/>
  <c r="Y8" i="12" s="1" a="1"/>
  <c r="Y8" i="12" s="1"/>
  <c r="S9" i="12"/>
  <c r="S10" i="12"/>
  <c r="S11" i="12"/>
  <c r="S12" i="12"/>
  <c r="Y12" i="12" s="1" a="1"/>
  <c r="Y12" i="12" s="1"/>
  <c r="S13" i="12"/>
  <c r="S14" i="12"/>
  <c r="S15" i="12"/>
  <c r="S16" i="12"/>
  <c r="Y16" i="12" s="1" a="1"/>
  <c r="Y16" i="12" s="1"/>
  <c r="S17" i="12"/>
  <c r="S18" i="12"/>
  <c r="S19" i="12"/>
  <c r="S20" i="12"/>
  <c r="Y20" i="12" s="1" a="1"/>
  <c r="Y20" i="12" s="1"/>
  <c r="S21" i="12"/>
  <c r="S22" i="12"/>
  <c r="S23" i="12"/>
  <c r="S24" i="12"/>
  <c r="Y24" i="12" s="1" a="1"/>
  <c r="Y24" i="12" s="1"/>
  <c r="S25" i="12"/>
  <c r="S26" i="12"/>
  <c r="S27" i="12"/>
  <c r="S28" i="12"/>
  <c r="Y28" i="12" s="1" a="1"/>
  <c r="Y28" i="12" s="1"/>
  <c r="S29" i="12"/>
  <c r="S30" i="12"/>
  <c r="S31" i="12"/>
  <c r="S32" i="12"/>
  <c r="Y32" i="12" s="1" a="1"/>
  <c r="Y32" i="12" s="1"/>
  <c r="S33" i="12"/>
  <c r="S34" i="12"/>
  <c r="S35" i="12"/>
  <c r="S36" i="12"/>
  <c r="Y36" i="12" s="1" a="1"/>
  <c r="Y36" i="12" s="1"/>
  <c r="S37" i="12"/>
  <c r="S38" i="12"/>
  <c r="S39" i="12"/>
  <c r="S40" i="12"/>
  <c r="Y40" i="12" s="1" a="1"/>
  <c r="Y40" i="12" s="1"/>
  <c r="S41" i="12"/>
  <c r="S42" i="12"/>
  <c r="S43" i="12"/>
  <c r="S44" i="12"/>
  <c r="Y44" i="12" s="1" a="1"/>
  <c r="Y44" i="12" s="1"/>
  <c r="S45" i="12"/>
  <c r="S46" i="12"/>
  <c r="S47" i="12"/>
  <c r="S48" i="12"/>
  <c r="Y48" i="12" s="1" a="1"/>
  <c r="Y48" i="12" s="1"/>
  <c r="S49" i="12"/>
  <c r="S50" i="12"/>
  <c r="S51" i="12"/>
  <c r="S52" i="12"/>
  <c r="Y52" i="12" s="1" a="1"/>
  <c r="Y52" i="12" s="1"/>
  <c r="S53" i="12"/>
  <c r="S54" i="12"/>
  <c r="S55" i="12"/>
  <c r="S56" i="12"/>
  <c r="Y56" i="12" s="1" a="1"/>
  <c r="Y56" i="12" s="1"/>
  <c r="S57" i="12"/>
  <c r="S58" i="12"/>
  <c r="S59" i="12"/>
  <c r="S60" i="12"/>
  <c r="Y60" i="12" s="1" a="1"/>
  <c r="Y60" i="12" s="1"/>
  <c r="S61" i="12"/>
  <c r="S62" i="12"/>
  <c r="S63" i="12"/>
  <c r="S64" i="12"/>
  <c r="Y64" i="12" s="1" a="1"/>
  <c r="Y64" i="12" s="1"/>
  <c r="S65" i="12"/>
  <c r="S66" i="12"/>
  <c r="S67" i="12"/>
  <c r="S68" i="12"/>
  <c r="Y68" i="12" s="1" a="1"/>
  <c r="Y68" i="12" s="1"/>
  <c r="S69" i="12"/>
  <c r="S70" i="12"/>
  <c r="S71" i="12"/>
  <c r="S72" i="12"/>
  <c r="Y72" i="12" s="1" a="1"/>
  <c r="Y72" i="12" s="1"/>
  <c r="S73" i="12"/>
  <c r="S74" i="12"/>
  <c r="S75" i="12"/>
  <c r="S76" i="12"/>
  <c r="Y76" i="12" s="1" a="1"/>
  <c r="Y76" i="12" s="1"/>
  <c r="S77" i="12"/>
  <c r="S78" i="12"/>
  <c r="S79" i="12"/>
  <c r="S80" i="12"/>
  <c r="Y80" i="12" s="1" a="1"/>
  <c r="Y80" i="12" s="1"/>
  <c r="S81" i="12"/>
  <c r="S82" i="12"/>
  <c r="S83" i="12"/>
  <c r="S84" i="12"/>
  <c r="Y84" i="12" s="1" a="1"/>
  <c r="Y84" i="12" s="1"/>
  <c r="S85" i="12"/>
  <c r="S86" i="12"/>
  <c r="S87" i="12"/>
  <c r="S88" i="12"/>
  <c r="Y88" i="12" s="1" a="1"/>
  <c r="Y88" i="12" s="1"/>
  <c r="S89" i="12"/>
  <c r="S90" i="12"/>
  <c r="S91" i="12"/>
  <c r="S92" i="12"/>
  <c r="Y92" i="12" s="1" a="1"/>
  <c r="Y92" i="12" s="1"/>
  <c r="S93" i="12"/>
  <c r="S94" i="12"/>
  <c r="S95" i="12"/>
  <c r="S96" i="12"/>
  <c r="Y96" i="12" s="1" a="1"/>
  <c r="Y96" i="12" s="1"/>
  <c r="S97" i="12"/>
  <c r="S98" i="12"/>
  <c r="S99" i="12"/>
  <c r="S100" i="12"/>
  <c r="Y100" i="12" s="1" a="1"/>
  <c r="Y100" i="12" s="1"/>
  <c r="S101" i="12"/>
  <c r="S102" i="12"/>
  <c r="S103" i="12"/>
  <c r="S104" i="12"/>
  <c r="Y104" i="12" s="1" a="1"/>
  <c r="Y104" i="12" s="1"/>
  <c r="S105" i="12"/>
  <c r="S106" i="12"/>
  <c r="S107" i="12"/>
  <c r="S108" i="12"/>
  <c r="Y108" i="12" s="1" a="1"/>
  <c r="Y108" i="12" s="1"/>
  <c r="S109" i="12"/>
  <c r="S110" i="12"/>
  <c r="S111" i="12"/>
  <c r="S112" i="12"/>
  <c r="Y112" i="12" s="1" a="1"/>
  <c r="Y112" i="12" s="1"/>
  <c r="S113" i="12"/>
  <c r="S114" i="12"/>
  <c r="S115" i="12"/>
  <c r="S116" i="12"/>
  <c r="Y116" i="12" s="1" a="1"/>
  <c r="Y116" i="12" s="1"/>
  <c r="S117" i="12"/>
  <c r="S118" i="12"/>
  <c r="S119" i="12"/>
  <c r="S120" i="12"/>
  <c r="Y120" i="12" s="1" a="1"/>
  <c r="Y120" i="12" s="1"/>
  <c r="S121" i="12"/>
  <c r="S122" i="12"/>
  <c r="S123" i="12"/>
  <c r="S124" i="12"/>
  <c r="Y124" i="12" s="1" a="1"/>
  <c r="Y124" i="12" s="1"/>
  <c r="S125" i="12"/>
  <c r="S126" i="12"/>
  <c r="S127" i="12"/>
  <c r="S128" i="12"/>
  <c r="Y128" i="12" s="1" a="1"/>
  <c r="Y128" i="12" s="1"/>
  <c r="S129" i="12"/>
  <c r="S130" i="12"/>
  <c r="S131" i="12"/>
  <c r="S132" i="12"/>
  <c r="Y132" i="12" s="1" a="1"/>
  <c r="Y132" i="12" s="1"/>
  <c r="S133" i="12"/>
  <c r="S134" i="12"/>
  <c r="S135" i="12"/>
  <c r="S136" i="12"/>
  <c r="Y136" i="12" s="1" a="1"/>
  <c r="Y136" i="12" s="1"/>
  <c r="S137" i="12"/>
  <c r="S138" i="12"/>
  <c r="S139" i="12"/>
  <c r="S140" i="12"/>
  <c r="Y140" i="12" s="1" a="1"/>
  <c r="Y140" i="12" s="1"/>
  <c r="S141" i="12"/>
  <c r="S142" i="12"/>
  <c r="S143" i="12"/>
  <c r="S144" i="12"/>
  <c r="Y144" i="12" s="1" a="1"/>
  <c r="Y144" i="12" s="1"/>
  <c r="S145" i="12"/>
  <c r="S146" i="12"/>
  <c r="S147" i="12"/>
  <c r="S148" i="12"/>
  <c r="Y148" i="12" s="1" a="1"/>
  <c r="Y148" i="12" s="1"/>
  <c r="S149" i="12"/>
  <c r="S150" i="12"/>
  <c r="S151" i="12"/>
  <c r="S152" i="12"/>
  <c r="Y152" i="12" s="1" a="1"/>
  <c r="Y152" i="12" s="1"/>
  <c r="S153" i="12"/>
  <c r="S154" i="12"/>
  <c r="S155" i="12"/>
  <c r="S156" i="12"/>
  <c r="Y156" i="12" s="1" a="1"/>
  <c r="Y156" i="12" s="1"/>
  <c r="S157" i="12"/>
  <c r="S158" i="12"/>
  <c r="S159" i="12"/>
  <c r="S160" i="12"/>
  <c r="Y160" i="12" s="1" a="1"/>
  <c r="Y160" i="12" s="1"/>
  <c r="S161" i="12"/>
  <c r="S162" i="12"/>
  <c r="S163" i="12"/>
  <c r="S164" i="12"/>
  <c r="Y164" i="12" s="1" a="1"/>
  <c r="Y164" i="12" s="1"/>
  <c r="S165" i="12"/>
  <c r="S166" i="12"/>
  <c r="S167" i="12"/>
  <c r="S168" i="12"/>
  <c r="Y168" i="12" s="1" a="1"/>
  <c r="Y168" i="12" s="1"/>
  <c r="S169" i="12"/>
  <c r="S170" i="12"/>
  <c r="S171" i="12"/>
  <c r="S172" i="12"/>
  <c r="Y172" i="12" s="1" a="1"/>
  <c r="Y172" i="12" s="1"/>
  <c r="S173" i="12"/>
  <c r="S174" i="12"/>
  <c r="S175" i="12"/>
  <c r="S176" i="12"/>
  <c r="Y176" i="12" s="1" a="1"/>
  <c r="Y176" i="12" s="1"/>
  <c r="S177" i="12"/>
  <c r="S178" i="12"/>
  <c r="S179" i="12"/>
  <c r="S180" i="12"/>
  <c r="Y180" i="12" s="1" a="1"/>
  <c r="Y180" i="12" s="1"/>
  <c r="S181" i="12"/>
  <c r="S182" i="12"/>
  <c r="S183" i="12"/>
  <c r="S184" i="12"/>
  <c r="Y184" i="12" s="1" a="1"/>
  <c r="Y184" i="12" s="1"/>
  <c r="S185" i="12"/>
  <c r="S186" i="12"/>
  <c r="S187" i="12"/>
  <c r="S188" i="12"/>
  <c r="Y188" i="12" s="1" a="1"/>
  <c r="Y188" i="12" s="1"/>
  <c r="S189" i="12"/>
  <c r="S190" i="12"/>
  <c r="S191" i="12"/>
  <c r="S192" i="12"/>
  <c r="Y192" i="12" s="1" a="1"/>
  <c r="Y192" i="12" s="1"/>
  <c r="S193" i="12"/>
  <c r="S194" i="12"/>
  <c r="S195" i="12"/>
  <c r="S196" i="12"/>
  <c r="Y196" i="12" s="1" a="1"/>
  <c r="Y196" i="12" s="1"/>
  <c r="S197" i="12"/>
  <c r="S198" i="12"/>
  <c r="S199" i="12"/>
  <c r="S200" i="12"/>
  <c r="Y200" i="12" s="1" a="1"/>
  <c r="Y200" i="12" s="1"/>
  <c r="S201" i="12"/>
  <c r="S202" i="12"/>
  <c r="S203" i="12"/>
  <c r="S204" i="12"/>
  <c r="Y204" i="12" s="1" a="1"/>
  <c r="Y204" i="12" s="1"/>
  <c r="S205" i="12"/>
  <c r="S206" i="12"/>
  <c r="S207" i="12"/>
  <c r="S208" i="12"/>
  <c r="Y208" i="12" s="1" a="1"/>
  <c r="Y208" i="12" s="1"/>
  <c r="S209" i="12"/>
  <c r="S210" i="12"/>
  <c r="S211" i="12"/>
  <c r="S212" i="12"/>
  <c r="Y212" i="12" s="1" a="1"/>
  <c r="Y212" i="12" s="1"/>
  <c r="S213" i="12"/>
  <c r="S214" i="12"/>
  <c r="S215" i="12"/>
  <c r="S216" i="12"/>
  <c r="Y216" i="12" s="1" a="1"/>
  <c r="Y216" i="12" s="1"/>
  <c r="S217" i="12"/>
  <c r="S218" i="12"/>
  <c r="S219" i="12"/>
  <c r="S220" i="12"/>
  <c r="Y220" i="12" s="1" a="1"/>
  <c r="Y220" i="12" s="1"/>
  <c r="S221" i="12"/>
  <c r="S222" i="12"/>
  <c r="S223" i="12"/>
  <c r="S224" i="12"/>
  <c r="Y224" i="12" s="1" a="1"/>
  <c r="Y224" i="12" s="1"/>
  <c r="S225" i="12"/>
  <c r="S226" i="12"/>
  <c r="Y226" i="12" s="1" a="1"/>
  <c r="Y226" i="12" s="1"/>
  <c r="S227" i="12"/>
  <c r="S228" i="12"/>
  <c r="Y228" i="12" s="1" a="1"/>
  <c r="Y228" i="12" s="1"/>
  <c r="S229" i="12"/>
  <c r="S230" i="12"/>
  <c r="Y230" i="12" s="1" a="1"/>
  <c r="Y230" i="12" s="1"/>
  <c r="S231" i="12"/>
  <c r="S232" i="12"/>
  <c r="Y232" i="12" s="1" a="1"/>
  <c r="Y232" i="12" s="1"/>
  <c r="S233" i="12"/>
  <c r="S234" i="12"/>
  <c r="Y234" i="12" s="1" a="1"/>
  <c r="Y234" i="12" s="1"/>
  <c r="S235" i="12"/>
  <c r="S236" i="12"/>
  <c r="Y236" i="12" s="1" a="1"/>
  <c r="Y236" i="12" s="1"/>
  <c r="S237" i="12"/>
  <c r="S238" i="12"/>
  <c r="Y238" i="12" s="1" a="1"/>
  <c r="Y238" i="12" s="1"/>
  <c r="S239" i="12"/>
  <c r="S240" i="12"/>
  <c r="Y240" i="12" s="1" a="1"/>
  <c r="Y240" i="12" s="1"/>
  <c r="S241" i="12"/>
  <c r="S242" i="12"/>
  <c r="Y242" i="12" s="1" a="1"/>
  <c r="Y242" i="12" s="1"/>
  <c r="S243" i="12"/>
  <c r="S244" i="12"/>
  <c r="Y244" i="12" s="1" a="1"/>
  <c r="Y244" i="12" s="1"/>
  <c r="S245" i="12"/>
  <c r="S246" i="12"/>
  <c r="Y246" i="12" s="1" a="1"/>
  <c r="Y246" i="12" s="1"/>
  <c r="S247" i="12"/>
  <c r="S248" i="12"/>
  <c r="Y248" i="12" s="1" a="1"/>
  <c r="Y248" i="12" s="1"/>
  <c r="S249" i="12"/>
  <c r="S250" i="12"/>
  <c r="Y250" i="12" s="1" a="1"/>
  <c r="Y250" i="12" s="1"/>
  <c r="S251" i="12"/>
  <c r="S252" i="12"/>
  <c r="Y252" i="12" s="1" a="1"/>
  <c r="Y252" i="12" s="1"/>
  <c r="S253" i="12"/>
  <c r="S254" i="12"/>
  <c r="Y254" i="12" s="1" a="1"/>
  <c r="Y254" i="12" s="1"/>
  <c r="S255" i="12"/>
  <c r="S256" i="12"/>
  <c r="Y256" i="12" s="1" a="1"/>
  <c r="Y256" i="12" s="1"/>
  <c r="S257" i="12"/>
  <c r="S258" i="12"/>
  <c r="Y258" i="12" s="1" a="1"/>
  <c r="Y258" i="12" s="1"/>
  <c r="S259" i="12"/>
  <c r="S260" i="12"/>
  <c r="Y260" i="12" s="1" a="1"/>
  <c r="Y260" i="12" s="1"/>
  <c r="S261" i="12"/>
  <c r="S262" i="12"/>
  <c r="Y262" i="12" s="1" a="1"/>
  <c r="Y262" i="12" s="1"/>
  <c r="S263" i="12"/>
  <c r="S264" i="12"/>
  <c r="Y264" i="12" s="1" a="1"/>
  <c r="Y264" i="12" s="1"/>
  <c r="S265" i="12"/>
  <c r="S266" i="12"/>
  <c r="Y266" i="12" s="1" a="1"/>
  <c r="Y266" i="12" s="1"/>
  <c r="S267" i="12"/>
  <c r="S268" i="12"/>
  <c r="Y268" i="12" s="1" a="1"/>
  <c r="Y268" i="12" s="1"/>
  <c r="S269" i="12"/>
  <c r="S270" i="12"/>
  <c r="Y270" i="12" s="1" a="1"/>
  <c r="Y270" i="12" s="1"/>
  <c r="S271" i="12"/>
  <c r="S272" i="12"/>
  <c r="Y272" i="12" s="1" a="1"/>
  <c r="Y272" i="12" s="1"/>
  <c r="S273" i="12"/>
  <c r="S274" i="12"/>
  <c r="Y274" i="12" s="1" a="1"/>
  <c r="Y274" i="12" s="1"/>
  <c r="S275" i="12"/>
  <c r="S276" i="12"/>
  <c r="Y276" i="12" s="1" a="1"/>
  <c r="Y276" i="12" s="1"/>
  <c r="S277" i="12"/>
  <c r="S278" i="12"/>
  <c r="Y278" i="12" s="1" a="1"/>
  <c r="Y278" i="12" s="1"/>
  <c r="S279" i="12"/>
  <c r="S280" i="12"/>
  <c r="Y280" i="12" s="1" a="1"/>
  <c r="Y280" i="12" s="1"/>
  <c r="S281" i="12"/>
  <c r="S282" i="12"/>
  <c r="Y282" i="12" s="1" a="1"/>
  <c r="Y282" i="12" s="1"/>
  <c r="S283" i="12"/>
  <c r="S284" i="12"/>
  <c r="Y284" i="12" s="1" a="1"/>
  <c r="Y284" i="12" s="1"/>
  <c r="S285" i="12"/>
  <c r="S286" i="12"/>
  <c r="Y286" i="12" s="1" a="1"/>
  <c r="Y286" i="12" s="1"/>
  <c r="S287" i="12"/>
  <c r="S288" i="12"/>
  <c r="Y288" i="12" s="1" a="1"/>
  <c r="Y288" i="12" s="1"/>
  <c r="S289" i="12"/>
  <c r="S290" i="12"/>
  <c r="Y290" i="12" s="1" a="1"/>
  <c r="Y290" i="12" s="1"/>
  <c r="S291" i="12"/>
  <c r="S292" i="12"/>
  <c r="Y292" i="12" s="1" a="1"/>
  <c r="Y292" i="12" s="1"/>
  <c r="S293" i="12"/>
  <c r="S294" i="12"/>
  <c r="Y294" i="12" s="1" a="1"/>
  <c r="Y294" i="12" s="1"/>
  <c r="S295" i="12"/>
  <c r="S296" i="12"/>
  <c r="Y296" i="12" s="1" a="1"/>
  <c r="Y296" i="12" s="1"/>
  <c r="S297" i="12"/>
  <c r="S298" i="12"/>
  <c r="Y298" i="12" s="1" a="1"/>
  <c r="Y298" i="12" s="1"/>
  <c r="S299" i="12"/>
  <c r="S300" i="12"/>
  <c r="Y300" i="12" s="1" a="1"/>
  <c r="Y300" i="12" s="1"/>
  <c r="S301" i="12"/>
  <c r="S302" i="12"/>
  <c r="Y302" i="12" s="1" a="1"/>
  <c r="Y302" i="12" s="1"/>
  <c r="S303" i="12"/>
  <c r="S304" i="12"/>
  <c r="Y304" i="12" s="1" a="1"/>
  <c r="Y304" i="12" s="1"/>
  <c r="S305" i="12"/>
  <c r="S306" i="12"/>
  <c r="Y306" i="12" s="1" a="1"/>
  <c r="Y306" i="12" s="1"/>
  <c r="S307" i="12"/>
  <c r="S308" i="12"/>
  <c r="Y308" i="12" s="1" a="1"/>
  <c r="Y308" i="12" s="1"/>
  <c r="S309" i="12"/>
  <c r="S310" i="12"/>
  <c r="Y310" i="12" s="1" a="1"/>
  <c r="Y310" i="12" s="1"/>
  <c r="S311" i="12"/>
  <c r="S312" i="12"/>
  <c r="Y312" i="12" s="1" a="1"/>
  <c r="Y312" i="12" s="1"/>
  <c r="S313" i="12"/>
  <c r="S314" i="12"/>
  <c r="Y314" i="12" s="1" a="1"/>
  <c r="Y314" i="12" s="1"/>
  <c r="S315" i="12"/>
  <c r="S316" i="12"/>
  <c r="Y316" i="12" s="1" a="1"/>
  <c r="Y316" i="12" s="1"/>
  <c r="S317" i="12"/>
  <c r="S318" i="12"/>
  <c r="Y318" i="12" s="1" a="1"/>
  <c r="Y318" i="12" s="1"/>
  <c r="S319" i="12"/>
  <c r="S320" i="12"/>
  <c r="Y320" i="12" s="1" a="1"/>
  <c r="Y320" i="12" s="1"/>
  <c r="S321" i="12"/>
  <c r="S322" i="12"/>
  <c r="Y322" i="12" s="1" a="1"/>
  <c r="Y322" i="12" s="1"/>
  <c r="S323" i="12"/>
  <c r="S324" i="12"/>
  <c r="Y324" i="12" s="1" a="1"/>
  <c r="Y324" i="12" s="1"/>
  <c r="S325" i="12"/>
  <c r="S326" i="12"/>
  <c r="Y326" i="12" s="1" a="1"/>
  <c r="Y326" i="12" s="1"/>
  <c r="S327" i="12"/>
  <c r="S328" i="12"/>
  <c r="Y328" i="12" s="1" a="1"/>
  <c r="Y328" i="12" s="1"/>
  <c r="S329" i="12"/>
  <c r="S330" i="12"/>
  <c r="Y330" i="12" s="1" a="1"/>
  <c r="Y330" i="12" s="1"/>
  <c r="S331" i="12"/>
  <c r="S332" i="12"/>
  <c r="Y332" i="12" s="1" a="1"/>
  <c r="Y332" i="12" s="1"/>
  <c r="S333" i="12"/>
  <c r="S334" i="12"/>
  <c r="Y334" i="12" s="1" a="1"/>
  <c r="Y334" i="12" s="1"/>
  <c r="S335" i="12"/>
  <c r="S336" i="12"/>
  <c r="Y336" i="12" s="1" a="1"/>
  <c r="Y336" i="12" s="1"/>
  <c r="S337" i="12"/>
  <c r="S338" i="12"/>
  <c r="Y338" i="12" s="1" a="1"/>
  <c r="Y338" i="12" s="1"/>
  <c r="S339" i="12"/>
  <c r="S340" i="12"/>
  <c r="Y340" i="12" s="1" a="1"/>
  <c r="Y340" i="12" s="1"/>
  <c r="S341" i="12"/>
  <c r="S342" i="12"/>
  <c r="Y342" i="12" s="1" a="1"/>
  <c r="Y342" i="12" s="1"/>
  <c r="S343" i="12"/>
  <c r="S344" i="12"/>
  <c r="Y344" i="12" s="1" a="1"/>
  <c r="Y344" i="12" s="1"/>
  <c r="S345" i="12"/>
  <c r="S346" i="12"/>
  <c r="Y346" i="12" s="1" a="1"/>
  <c r="Y346" i="12" s="1"/>
  <c r="S347" i="12"/>
  <c r="S348" i="12"/>
  <c r="Y348" i="12" s="1" a="1"/>
  <c r="Y348" i="12" s="1"/>
  <c r="S349" i="12"/>
  <c r="S350" i="12"/>
  <c r="Y350" i="12" s="1" a="1"/>
  <c r="Y350" i="12" s="1"/>
  <c r="S351" i="12"/>
  <c r="S352" i="12"/>
  <c r="Y352" i="12" s="1" a="1"/>
  <c r="Y352" i="12" s="1"/>
  <c r="S353" i="12"/>
  <c r="S354" i="12"/>
  <c r="Y354" i="12" s="1" a="1"/>
  <c r="Y354" i="12" s="1"/>
  <c r="S355" i="12"/>
  <c r="S356" i="12"/>
  <c r="Y356" i="12" s="1" a="1"/>
  <c r="Y356" i="12" s="1"/>
  <c r="S357" i="12"/>
  <c r="S358" i="12"/>
  <c r="Y358" i="12" s="1" a="1"/>
  <c r="Y358" i="12" s="1"/>
  <c r="S359" i="12"/>
  <c r="S360" i="12"/>
  <c r="Y360" i="12" s="1" a="1"/>
  <c r="Y360" i="12" s="1"/>
  <c r="S361" i="12"/>
  <c r="S362" i="12"/>
  <c r="Y362" i="12" s="1" a="1"/>
  <c r="Y362" i="12" s="1"/>
  <c r="S363" i="12"/>
  <c r="S364" i="12"/>
  <c r="Y364" i="12" s="1" a="1"/>
  <c r="Y364" i="12" s="1"/>
  <c r="S365" i="12"/>
  <c r="S366" i="12"/>
  <c r="Y366" i="12" s="1" a="1"/>
  <c r="Y366" i="12" s="1"/>
  <c r="S367" i="12"/>
  <c r="S368" i="12"/>
  <c r="Y368" i="12" s="1" a="1"/>
  <c r="Y368" i="12" s="1"/>
  <c r="S369" i="12"/>
  <c r="S370" i="12"/>
  <c r="Y370" i="12" s="1" a="1"/>
  <c r="Y370" i="12" s="1"/>
  <c r="S371" i="12"/>
  <c r="S372" i="12"/>
  <c r="Y372" i="12" s="1" a="1"/>
  <c r="Y372" i="12" s="1"/>
  <c r="S373" i="12"/>
  <c r="S374" i="12"/>
  <c r="Y374" i="12" s="1" a="1"/>
  <c r="Y374" i="12" s="1"/>
  <c r="S375" i="12"/>
  <c r="S376" i="12"/>
  <c r="Y376" i="12" s="1" a="1"/>
  <c r="Y376" i="12" s="1"/>
  <c r="S377" i="12"/>
  <c r="S378" i="12"/>
  <c r="Y378" i="12" s="1" a="1"/>
  <c r="Y378" i="12" s="1"/>
  <c r="S379" i="12"/>
  <c r="S380" i="12"/>
  <c r="Y380" i="12" s="1" a="1"/>
  <c r="Y380" i="12" s="1"/>
  <c r="S381" i="12"/>
  <c r="S382" i="12"/>
  <c r="Y382" i="12" s="1" a="1"/>
  <c r="Y382" i="12" s="1"/>
  <c r="S383" i="12"/>
  <c r="S384" i="12"/>
  <c r="Y384" i="12" s="1" a="1"/>
  <c r="Y384" i="12" s="1"/>
  <c r="S385" i="12"/>
  <c r="S386" i="12"/>
  <c r="Y386" i="12" s="1" a="1"/>
  <c r="Y386" i="12" s="1"/>
  <c r="S387" i="12"/>
  <c r="S388" i="12"/>
  <c r="Y388" i="12" s="1" a="1"/>
  <c r="Y388" i="12" s="1"/>
  <c r="S389" i="12"/>
  <c r="S390" i="12"/>
  <c r="Y390" i="12" s="1" a="1"/>
  <c r="Y390" i="12" s="1"/>
  <c r="S391" i="12"/>
  <c r="S392" i="12"/>
  <c r="Y392" i="12" s="1" a="1"/>
  <c r="Y392" i="12" s="1"/>
  <c r="S393" i="12"/>
  <c r="S394" i="12"/>
  <c r="Y394" i="12" s="1" a="1"/>
  <c r="Y394" i="12" s="1"/>
  <c r="S395" i="12"/>
  <c r="S396" i="12"/>
  <c r="Y396" i="12" s="1" a="1"/>
  <c r="Y396" i="12" s="1"/>
  <c r="S397" i="12"/>
  <c r="S398" i="12"/>
  <c r="Y398" i="12" s="1" a="1"/>
  <c r="Y398" i="12" s="1"/>
  <c r="S399" i="12"/>
  <c r="S400" i="12"/>
  <c r="Y400" i="12" s="1" a="1"/>
  <c r="Y400" i="12" s="1"/>
  <c r="S401" i="12"/>
  <c r="S402" i="12"/>
  <c r="Y402" i="12" s="1" a="1"/>
  <c r="Y402" i="12" s="1"/>
  <c r="S403" i="12"/>
  <c r="S404" i="12"/>
  <c r="Y404" i="12" s="1" a="1"/>
  <c r="Y404" i="12" s="1"/>
  <c r="S405" i="12"/>
  <c r="S406" i="12"/>
  <c r="Y406" i="12" s="1" a="1"/>
  <c r="Y406" i="12" s="1"/>
  <c r="S407" i="12"/>
  <c r="S408" i="12"/>
  <c r="Y408" i="12" s="1" a="1"/>
  <c r="Y408" i="12" s="1"/>
  <c r="S409" i="12"/>
  <c r="S410" i="12"/>
  <c r="Y410" i="12" s="1" a="1"/>
  <c r="Y410" i="12" s="1"/>
  <c r="S411" i="12"/>
  <c r="S412" i="12"/>
  <c r="Y412" i="12" s="1" a="1"/>
  <c r="Y412" i="12" s="1"/>
  <c r="S413" i="12"/>
  <c r="S414" i="12"/>
  <c r="Y414" i="12" s="1" a="1"/>
  <c r="Y414" i="12" s="1"/>
  <c r="S415" i="12"/>
  <c r="S416" i="12"/>
  <c r="Y416" i="12" s="1" a="1"/>
  <c r="Y416" i="12" s="1"/>
  <c r="S417" i="12"/>
  <c r="S418" i="12"/>
  <c r="Y418" i="12" s="1" a="1"/>
  <c r="Y418" i="12" s="1"/>
  <c r="S419" i="12"/>
  <c r="S420" i="12"/>
  <c r="Y420" i="12" s="1" a="1"/>
  <c r="Y420" i="12" s="1"/>
  <c r="S421" i="12"/>
  <c r="S422" i="12"/>
  <c r="Y422" i="12" s="1" a="1"/>
  <c r="Y422" i="12" s="1"/>
  <c r="S423" i="12"/>
  <c r="S424" i="12"/>
  <c r="Y424" i="12" s="1" a="1"/>
  <c r="Y424" i="12" s="1"/>
  <c r="S425" i="12"/>
  <c r="S426" i="12"/>
  <c r="Y426" i="12" s="1" a="1"/>
  <c r="Y426" i="12" s="1"/>
  <c r="S427" i="12"/>
  <c r="S428" i="12"/>
  <c r="Y428" i="12" s="1" a="1"/>
  <c r="Y428" i="12" s="1"/>
  <c r="S429" i="12"/>
  <c r="S430" i="12"/>
  <c r="Y430" i="12" s="1" a="1"/>
  <c r="Y430" i="12" s="1"/>
  <c r="S431" i="12"/>
  <c r="S432" i="12"/>
  <c r="Y432" i="12" s="1" a="1"/>
  <c r="Y432" i="12" s="1"/>
  <c r="S433" i="12"/>
  <c r="S434" i="12"/>
  <c r="Y434" i="12" s="1" a="1"/>
  <c r="Y434" i="12" s="1"/>
  <c r="S435" i="12"/>
  <c r="S436" i="12"/>
  <c r="Y436" i="12" s="1" a="1"/>
  <c r="Y436" i="12" s="1"/>
  <c r="S437" i="12"/>
  <c r="S438" i="12"/>
  <c r="Y438" i="12" s="1" a="1"/>
  <c r="Y438" i="12" s="1"/>
  <c r="S439" i="12"/>
  <c r="S440" i="12"/>
  <c r="Y440" i="12" s="1" a="1"/>
  <c r="Y440" i="12" s="1"/>
  <c r="S441" i="12"/>
  <c r="S442" i="12"/>
  <c r="Y442" i="12" s="1" a="1"/>
  <c r="Y442" i="12" s="1"/>
  <c r="S443" i="12"/>
  <c r="S444" i="12"/>
  <c r="Y444" i="12" s="1" a="1"/>
  <c r="Y444" i="12" s="1"/>
  <c r="S445" i="12"/>
  <c r="S446" i="12"/>
  <c r="Y446" i="12" s="1" a="1"/>
  <c r="Y446" i="12" s="1"/>
  <c r="S447" i="12"/>
  <c r="S448" i="12"/>
  <c r="Y448" i="12" s="1" a="1"/>
  <c r="Y448" i="12" s="1"/>
  <c r="S449" i="12"/>
  <c r="S450" i="12"/>
  <c r="Y450" i="12" s="1" a="1"/>
  <c r="Y450" i="12" s="1"/>
  <c r="S451" i="12"/>
  <c r="S452" i="12"/>
  <c r="Y452" i="12" s="1" a="1"/>
  <c r="Y452" i="12" s="1"/>
  <c r="S453" i="12"/>
  <c r="S454" i="12"/>
  <c r="Y454" i="12" s="1" a="1"/>
  <c r="Y454" i="12" s="1"/>
  <c r="S455" i="12"/>
  <c r="S456" i="12"/>
  <c r="Y456" i="12" s="1" a="1"/>
  <c r="Y456" i="12" s="1"/>
  <c r="S457" i="12"/>
  <c r="S458" i="12"/>
  <c r="Y458" i="12" s="1" a="1"/>
  <c r="Y458" i="12" s="1"/>
  <c r="S459" i="12"/>
  <c r="S460" i="12"/>
  <c r="Y460" i="12" s="1" a="1"/>
  <c r="Y460" i="12" s="1"/>
  <c r="S461" i="12"/>
  <c r="S462" i="12"/>
  <c r="Y462" i="12" s="1" a="1"/>
  <c r="Y462" i="12" s="1"/>
  <c r="S463" i="12"/>
  <c r="S464" i="12"/>
  <c r="Y464" i="12" s="1" a="1"/>
  <c r="Y464" i="12" s="1"/>
  <c r="S465" i="12"/>
  <c r="S466" i="12"/>
  <c r="Y466" i="12" s="1" a="1"/>
  <c r="Y466" i="12" s="1"/>
  <c r="S467" i="12"/>
  <c r="S468" i="12"/>
  <c r="Y468" i="12" s="1" a="1"/>
  <c r="Y468" i="12" s="1"/>
  <c r="S469" i="12"/>
  <c r="S470" i="12"/>
  <c r="Y470" i="12" s="1" a="1"/>
  <c r="Y470" i="12" s="1"/>
  <c r="S471" i="12"/>
  <c r="S472" i="12"/>
  <c r="Y472" i="12" s="1" a="1"/>
  <c r="Y472" i="12" s="1"/>
  <c r="S473" i="12"/>
  <c r="S474" i="12"/>
  <c r="Y474" i="12" s="1" a="1"/>
  <c r="Y474" i="12" s="1"/>
  <c r="S475" i="12"/>
  <c r="S476" i="12"/>
  <c r="Y476" i="12" s="1" a="1"/>
  <c r="Y476" i="12" s="1"/>
  <c r="S477" i="12"/>
  <c r="S478" i="12"/>
  <c r="Y478" i="12" s="1" a="1"/>
  <c r="Y478" i="12" s="1"/>
  <c r="S479" i="12"/>
  <c r="S480" i="12"/>
  <c r="Y480" i="12" s="1" a="1"/>
  <c r="Y480" i="12" s="1"/>
  <c r="S481" i="12"/>
  <c r="S482" i="12"/>
  <c r="Y482" i="12" s="1" a="1"/>
  <c r="Y482" i="12" s="1"/>
  <c r="S483" i="12"/>
  <c r="S484" i="12"/>
  <c r="Y484" i="12" s="1" a="1"/>
  <c r="Y484" i="12" s="1"/>
  <c r="S485" i="12"/>
  <c r="S486" i="12"/>
  <c r="Y486" i="12" s="1" a="1"/>
  <c r="Y486" i="12" s="1"/>
  <c r="S487" i="12"/>
  <c r="S488" i="12"/>
  <c r="Y488" i="12" s="1" a="1"/>
  <c r="Y488" i="12" s="1"/>
  <c r="S489" i="12"/>
  <c r="S490" i="12"/>
  <c r="Y490" i="12" s="1" a="1"/>
  <c r="Y490" i="12" s="1"/>
  <c r="S491" i="12"/>
  <c r="S492" i="12"/>
  <c r="Y492" i="12" s="1" a="1"/>
  <c r="Y492" i="12" s="1"/>
  <c r="S493" i="12"/>
  <c r="S494" i="12"/>
  <c r="Y494" i="12" s="1" a="1"/>
  <c r="Y494" i="12" s="1"/>
  <c r="S495" i="12"/>
  <c r="S496" i="12"/>
  <c r="Y496" i="12" s="1" a="1"/>
  <c r="Y496" i="12" s="1"/>
  <c r="S497" i="12"/>
  <c r="S498" i="12"/>
  <c r="Y498" i="12" s="1" a="1"/>
  <c r="Y498" i="12" s="1"/>
  <c r="S499" i="12"/>
  <c r="S500" i="12"/>
  <c r="Y500" i="12" s="1" a="1"/>
  <c r="Y500" i="12" s="1"/>
  <c r="S501" i="12"/>
  <c r="S502" i="12"/>
  <c r="Y502" i="12" s="1" a="1"/>
  <c r="Y502" i="12" s="1"/>
  <c r="S503" i="12"/>
  <c r="S504" i="12"/>
  <c r="Y504" i="12" s="1" a="1"/>
  <c r="Y504" i="12" s="1"/>
  <c r="S505" i="12"/>
  <c r="S506" i="12"/>
  <c r="Y506" i="12" s="1" a="1"/>
  <c r="Y506" i="12" s="1"/>
  <c r="S507" i="12"/>
  <c r="S508" i="12"/>
  <c r="Y508" i="12" s="1" a="1"/>
  <c r="Y508" i="12" s="1"/>
  <c r="S509" i="12"/>
  <c r="S510" i="12"/>
  <c r="Y510" i="12" s="1" a="1"/>
  <c r="Y510" i="12" s="1"/>
  <c r="S511" i="12"/>
  <c r="S512" i="12"/>
  <c r="Y512" i="12" s="1" a="1"/>
  <c r="Y512" i="12" s="1"/>
  <c r="S513" i="12"/>
  <c r="S514" i="12"/>
  <c r="Y514" i="12" s="1" a="1"/>
  <c r="Y514" i="12" s="1"/>
  <c r="S515" i="12"/>
  <c r="S516" i="12"/>
  <c r="Y516" i="12" s="1" a="1"/>
  <c r="Y516" i="12" s="1"/>
  <c r="S517" i="12"/>
  <c r="S518" i="12"/>
  <c r="Y518" i="12" s="1" a="1"/>
  <c r="Y518" i="12" s="1"/>
  <c r="S519" i="12"/>
  <c r="S520" i="12"/>
  <c r="Y520" i="12" s="1" a="1"/>
  <c r="Y520" i="12" s="1"/>
  <c r="S521" i="12"/>
  <c r="S522" i="12"/>
  <c r="Y522" i="12" s="1" a="1"/>
  <c r="Y522" i="12" s="1"/>
  <c r="S523" i="12"/>
  <c r="S524" i="12"/>
  <c r="Y524" i="12" s="1" a="1"/>
  <c r="Y524" i="12" s="1"/>
  <c r="S525" i="12"/>
  <c r="S526" i="12"/>
  <c r="Y526" i="12" s="1" a="1"/>
  <c r="Y526" i="12" s="1"/>
  <c r="S527" i="12"/>
  <c r="S528" i="12"/>
  <c r="Y528" i="12" s="1" a="1"/>
  <c r="Y528" i="12" s="1"/>
  <c r="S529" i="12"/>
  <c r="S530" i="12"/>
  <c r="Y530" i="12" s="1" a="1"/>
  <c r="Y530" i="12" s="1"/>
  <c r="S531" i="12"/>
  <c r="S532" i="12"/>
  <c r="Y532" i="12" s="1" a="1"/>
  <c r="Y532" i="12" s="1"/>
  <c r="S533" i="12"/>
  <c r="S534" i="12"/>
  <c r="Y534" i="12" s="1" a="1"/>
  <c r="Y534" i="12" s="1"/>
  <c r="S535" i="12"/>
  <c r="S536" i="12"/>
  <c r="Y536" i="12" s="1" a="1"/>
  <c r="Y536" i="12" s="1"/>
  <c r="S537" i="12"/>
  <c r="S538" i="12"/>
  <c r="Y538" i="12" s="1" a="1"/>
  <c r="Y538" i="12" s="1"/>
  <c r="S539" i="12"/>
  <c r="S540" i="12"/>
  <c r="Y540" i="12" s="1" a="1"/>
  <c r="Y540" i="12" s="1"/>
  <c r="S541" i="12"/>
  <c r="S542" i="12"/>
  <c r="Y542" i="12" s="1" a="1"/>
  <c r="Y542" i="12" s="1"/>
  <c r="S543" i="12"/>
  <c r="S544" i="12"/>
  <c r="Y544" i="12" s="1" a="1"/>
  <c r="Y544" i="12" s="1"/>
  <c r="S545" i="12"/>
  <c r="S546" i="12"/>
  <c r="Y546" i="12" s="1" a="1"/>
  <c r="Y546" i="12" s="1"/>
  <c r="S547" i="12"/>
  <c r="S548" i="12"/>
  <c r="Y548" i="12" s="1" a="1"/>
  <c r="Y548" i="12" s="1"/>
  <c r="S549" i="12"/>
  <c r="S550" i="12"/>
  <c r="Y550" i="12" s="1" a="1"/>
  <c r="Y550" i="12" s="1"/>
  <c r="S551" i="12"/>
  <c r="S552" i="12"/>
  <c r="Y552" i="12" s="1" a="1"/>
  <c r="Y552" i="12" s="1"/>
  <c r="S553" i="12"/>
  <c r="S554" i="12"/>
  <c r="Y554" i="12" s="1" a="1"/>
  <c r="Y554" i="12" s="1"/>
  <c r="S555" i="12"/>
  <c r="S556" i="12"/>
  <c r="Y556" i="12" s="1" a="1"/>
  <c r="Y556" i="12" s="1"/>
  <c r="S557" i="12"/>
  <c r="S558" i="12"/>
  <c r="Y558" i="12" s="1" a="1"/>
  <c r="Y558" i="12" s="1"/>
  <c r="S559" i="12"/>
  <c r="S560" i="12"/>
  <c r="Y560" i="12" s="1" a="1"/>
  <c r="Y560" i="12" s="1"/>
  <c r="S561" i="12"/>
  <c r="S562" i="12"/>
  <c r="Y562" i="12" s="1" a="1"/>
  <c r="Y562" i="12" s="1"/>
  <c r="S563" i="12"/>
  <c r="S564" i="12"/>
  <c r="Y564" i="12" s="1" a="1"/>
  <c r="Y564" i="12" s="1"/>
  <c r="S565" i="12"/>
  <c r="S566" i="12"/>
  <c r="Y566" i="12" s="1" a="1"/>
  <c r="Y566" i="12" s="1"/>
  <c r="S567" i="12"/>
  <c r="S568" i="12"/>
  <c r="Y568" i="12" s="1" a="1"/>
  <c r="Y568" i="12" s="1"/>
  <c r="S569" i="12"/>
  <c r="S570" i="12"/>
  <c r="Y570" i="12" s="1" a="1"/>
  <c r="Y570" i="12" s="1"/>
  <c r="S571" i="12"/>
  <c r="S572" i="12"/>
  <c r="Y572" i="12" s="1" a="1"/>
  <c r="Y572" i="12" s="1"/>
  <c r="S573" i="12"/>
  <c r="S574" i="12"/>
  <c r="Y574" i="12" s="1" a="1"/>
  <c r="Y574" i="12" s="1"/>
  <c r="S575" i="12"/>
  <c r="S576" i="12"/>
  <c r="Y576" i="12" s="1" a="1"/>
  <c r="Y576" i="12" s="1"/>
  <c r="S577" i="12"/>
  <c r="S578" i="12"/>
  <c r="Y578" i="12" s="1" a="1"/>
  <c r="Y578" i="12" s="1"/>
  <c r="S579" i="12"/>
  <c r="S580" i="12"/>
  <c r="Y580" i="12" s="1" a="1"/>
  <c r="Y580" i="12" s="1"/>
  <c r="S581" i="12"/>
  <c r="S582" i="12"/>
  <c r="Y582" i="12" s="1" a="1"/>
  <c r="Y582" i="12" s="1"/>
  <c r="S583" i="12"/>
  <c r="S584" i="12"/>
  <c r="Y584" i="12" s="1" a="1"/>
  <c r="Y584" i="12" s="1"/>
  <c r="S585" i="12"/>
  <c r="S586" i="12"/>
  <c r="Y586" i="12" s="1" a="1"/>
  <c r="Y586" i="12" s="1"/>
  <c r="S587" i="12"/>
  <c r="S588" i="12"/>
  <c r="Y588" i="12" s="1" a="1"/>
  <c r="Y588" i="12" s="1"/>
  <c r="S589" i="12"/>
  <c r="S590" i="12"/>
  <c r="Y590" i="12" s="1" a="1"/>
  <c r="Y590" i="12" s="1"/>
  <c r="S591" i="12"/>
  <c r="S592" i="12"/>
  <c r="Y592" i="12" s="1" a="1"/>
  <c r="Y592" i="12" s="1"/>
  <c r="S593" i="12"/>
  <c r="S594" i="12"/>
  <c r="Y594" i="12" s="1" a="1"/>
  <c r="Y594" i="12" s="1"/>
  <c r="S595" i="12"/>
  <c r="S596" i="12"/>
  <c r="Y596" i="12" s="1" a="1"/>
  <c r="Y596" i="12" s="1"/>
  <c r="S597" i="12"/>
  <c r="S598" i="12"/>
  <c r="Y598" i="12" s="1" a="1"/>
  <c r="Y598" i="12" s="1"/>
  <c r="S599" i="12"/>
  <c r="S600" i="12"/>
  <c r="Y600" i="12" s="1" a="1"/>
  <c r="Y600" i="12" s="1"/>
  <c r="S601" i="12"/>
  <c r="S602" i="12"/>
  <c r="Y602" i="12" s="1" a="1"/>
  <c r="Y602" i="12" s="1"/>
  <c r="S603" i="12"/>
  <c r="S604" i="12"/>
  <c r="Y604" i="12" s="1" a="1"/>
  <c r="Y604" i="12" s="1"/>
  <c r="S605" i="12"/>
  <c r="S606" i="12"/>
  <c r="Y606" i="12" s="1" a="1"/>
  <c r="Y606" i="12" s="1"/>
  <c r="S607" i="12"/>
  <c r="S608" i="12"/>
  <c r="Y608" i="12" s="1" a="1"/>
  <c r="Y608" i="12" s="1"/>
  <c r="S609" i="12"/>
  <c r="S610" i="12"/>
  <c r="Y610" i="12" s="1" a="1"/>
  <c r="Y610" i="12" s="1"/>
  <c r="S611" i="12"/>
  <c r="S612" i="12"/>
  <c r="Y612" i="12" s="1" a="1"/>
  <c r="Y612" i="12" s="1"/>
  <c r="S613" i="12"/>
  <c r="S614" i="12"/>
  <c r="Y614" i="12" s="1" a="1"/>
  <c r="Y614" i="12" s="1"/>
  <c r="S615" i="12"/>
  <c r="S616" i="12"/>
  <c r="Y616" i="12" s="1" a="1"/>
  <c r="Y616" i="12" s="1"/>
  <c r="S617" i="12"/>
  <c r="S618" i="12"/>
  <c r="Y618" i="12" s="1" a="1"/>
  <c r="Y618" i="12" s="1"/>
  <c r="S619" i="12"/>
  <c r="S620" i="12"/>
  <c r="Y620" i="12" s="1" a="1"/>
  <c r="Y620" i="12" s="1"/>
  <c r="S621" i="12"/>
  <c r="S622" i="12"/>
  <c r="Y622" i="12" s="1" a="1"/>
  <c r="Y622" i="12" s="1"/>
  <c r="S623" i="12"/>
  <c r="S624" i="12"/>
  <c r="Y624" i="12" s="1" a="1"/>
  <c r="Y624" i="12" s="1"/>
  <c r="S625" i="12"/>
  <c r="S626" i="12"/>
  <c r="Y626" i="12" s="1" a="1"/>
  <c r="Y626" i="12" s="1"/>
  <c r="S627" i="12"/>
  <c r="S628" i="12"/>
  <c r="Y628" i="12" s="1" a="1"/>
  <c r="Y628" i="12" s="1"/>
  <c r="S629" i="12"/>
  <c r="S630" i="12"/>
  <c r="Y630" i="12" s="1" a="1"/>
  <c r="Y630" i="12" s="1"/>
  <c r="S631" i="12"/>
  <c r="S632" i="12"/>
  <c r="Y632" i="12" s="1" a="1"/>
  <c r="Y632" i="12" s="1"/>
  <c r="S633" i="12"/>
  <c r="S634" i="12"/>
  <c r="Y634" i="12" s="1" a="1"/>
  <c r="Y634" i="12" s="1"/>
  <c r="S635" i="12"/>
  <c r="S636" i="12"/>
  <c r="Y636" i="12" s="1" a="1"/>
  <c r="Y636" i="12" s="1"/>
  <c r="S637" i="12"/>
  <c r="S638" i="12"/>
  <c r="Y638" i="12" s="1" a="1"/>
  <c r="Y638" i="12" s="1"/>
  <c r="S639" i="12"/>
  <c r="S640" i="12"/>
  <c r="Y640" i="12" s="1" a="1"/>
  <c r="Y640" i="12" s="1"/>
  <c r="S641" i="12"/>
  <c r="S642" i="12"/>
  <c r="Y642" i="12" s="1" a="1"/>
  <c r="Y642" i="12" s="1"/>
  <c r="S643" i="12"/>
  <c r="S644" i="12"/>
  <c r="Y644" i="12" s="1" a="1"/>
  <c r="Y644" i="12" s="1"/>
  <c r="S645" i="12"/>
  <c r="S646" i="12"/>
  <c r="Y646" i="12" s="1" a="1"/>
  <c r="Y646" i="12" s="1"/>
  <c r="S647" i="12"/>
  <c r="S648" i="12"/>
  <c r="Y648" i="12" s="1" a="1"/>
  <c r="Y648" i="12" s="1"/>
  <c r="S649" i="12"/>
  <c r="S650" i="12"/>
  <c r="Y650" i="12" s="1" a="1"/>
  <c r="Y650" i="12" s="1"/>
  <c r="S651" i="12"/>
  <c r="S652" i="12"/>
  <c r="Y652" i="12" s="1" a="1"/>
  <c r="Y652" i="12" s="1"/>
  <c r="S653" i="12"/>
  <c r="S654" i="12"/>
  <c r="Y654" i="12" s="1" a="1"/>
  <c r="Y654" i="12" s="1"/>
  <c r="S655" i="12"/>
  <c r="S656" i="12"/>
  <c r="Y656" i="12" s="1" a="1"/>
  <c r="Y656" i="12" s="1"/>
  <c r="S657" i="12"/>
  <c r="S658" i="12"/>
  <c r="Y658" i="12" s="1" a="1"/>
  <c r="Y658" i="12" s="1"/>
  <c r="S659" i="12"/>
  <c r="S660" i="12"/>
  <c r="Y660" i="12" s="1" a="1"/>
  <c r="Y660" i="12" s="1"/>
  <c r="S661" i="12"/>
  <c r="S662" i="12"/>
  <c r="Y662" i="12" s="1" a="1"/>
  <c r="Y662" i="12" s="1"/>
  <c r="S663" i="12"/>
  <c r="S664" i="12"/>
  <c r="Y664" i="12" s="1" a="1"/>
  <c r="Y664" i="12" s="1"/>
  <c r="S665" i="12"/>
  <c r="S666" i="12"/>
  <c r="Y666" i="12" s="1" a="1"/>
  <c r="Y666" i="12" s="1"/>
  <c r="S667" i="12"/>
  <c r="S668" i="12"/>
  <c r="Y668" i="12" s="1" a="1"/>
  <c r="Y668" i="12" s="1"/>
  <c r="S669" i="12"/>
  <c r="S670" i="12"/>
  <c r="Y670" i="12" s="1" a="1"/>
  <c r="Y670" i="12" s="1"/>
  <c r="S671" i="12"/>
  <c r="S672" i="12"/>
  <c r="Y672" i="12" s="1" a="1"/>
  <c r="Y672" i="12" s="1"/>
  <c r="S673" i="12"/>
  <c r="S674" i="12"/>
  <c r="Y674" i="12" s="1" a="1"/>
  <c r="Y674" i="12" s="1"/>
  <c r="S675" i="12"/>
  <c r="S676" i="12"/>
  <c r="Y676" i="12" s="1" a="1"/>
  <c r="Y676" i="12" s="1"/>
  <c r="S677" i="12"/>
  <c r="S678" i="12"/>
  <c r="Y678" i="12" s="1" a="1"/>
  <c r="Y678" i="12" s="1"/>
  <c r="S679" i="12"/>
  <c r="S680" i="12"/>
  <c r="Y680" i="12" s="1" a="1"/>
  <c r="Y680" i="12" s="1"/>
  <c r="S681" i="12"/>
  <c r="S682" i="12"/>
  <c r="Y682" i="12" s="1" a="1"/>
  <c r="Y682" i="12" s="1"/>
  <c r="S683" i="12"/>
  <c r="S684" i="12"/>
  <c r="Y684" i="12" s="1" a="1"/>
  <c r="Y684" i="12" s="1"/>
  <c r="S685" i="12"/>
  <c r="S686" i="12"/>
  <c r="Y686" i="12" s="1" a="1"/>
  <c r="Y686" i="12" s="1"/>
  <c r="S687" i="12"/>
  <c r="S688" i="12"/>
  <c r="Y688" i="12" s="1" a="1"/>
  <c r="Y688" i="12" s="1"/>
  <c r="S689" i="12"/>
  <c r="S690" i="12"/>
  <c r="Y690" i="12" s="1" a="1"/>
  <c r="Y690" i="12" s="1"/>
  <c r="S691" i="12"/>
  <c r="S692" i="12"/>
  <c r="Y692" i="12" s="1" a="1"/>
  <c r="Y692" i="12" s="1"/>
  <c r="S693" i="12"/>
  <c r="S694" i="12"/>
  <c r="Y694" i="12" s="1" a="1"/>
  <c r="Y694" i="12" s="1"/>
  <c r="S695" i="12"/>
  <c r="S696" i="12"/>
  <c r="Y696" i="12" s="1" a="1"/>
  <c r="Y696" i="12" s="1"/>
  <c r="S697" i="12"/>
  <c r="S698" i="12"/>
  <c r="Y698" i="12" s="1" a="1"/>
  <c r="Y698" i="12" s="1"/>
  <c r="S699" i="12"/>
  <c r="S700" i="12"/>
  <c r="Y700" i="12" s="1" a="1"/>
  <c r="Y700" i="12" s="1"/>
  <c r="S701" i="12"/>
  <c r="S702" i="12"/>
  <c r="Y702" i="12" s="1" a="1"/>
  <c r="Y702" i="12" s="1"/>
  <c r="S703" i="12"/>
  <c r="S704" i="12"/>
  <c r="Y704" i="12" s="1" a="1"/>
  <c r="Y704" i="12" s="1"/>
  <c r="S705" i="12"/>
  <c r="S706" i="12"/>
  <c r="Y706" i="12" s="1" a="1"/>
  <c r="Y706" i="12" s="1"/>
  <c r="S707" i="12"/>
  <c r="S708" i="12"/>
  <c r="Y708" i="12" s="1" a="1"/>
  <c r="Y708" i="12" s="1"/>
  <c r="S709" i="12"/>
  <c r="S710" i="12"/>
  <c r="Y710" i="12" s="1" a="1"/>
  <c r="Y710" i="12" s="1"/>
  <c r="S711" i="12"/>
  <c r="S712" i="12"/>
  <c r="Y712" i="12" s="1" a="1"/>
  <c r="Y712" i="12" s="1"/>
  <c r="S713" i="12"/>
  <c r="S714" i="12"/>
  <c r="Y714" i="12" s="1" a="1"/>
  <c r="Y714" i="12" s="1"/>
  <c r="S715" i="12"/>
  <c r="S716" i="12"/>
  <c r="Y716" i="12" s="1" a="1"/>
  <c r="Y716" i="12" s="1"/>
  <c r="S717" i="12"/>
  <c r="S718" i="12"/>
  <c r="Y718" i="12" s="1" a="1"/>
  <c r="Y718" i="12" s="1"/>
  <c r="S719" i="12"/>
  <c r="S720" i="12"/>
  <c r="Y720" i="12" s="1" a="1"/>
  <c r="Y720" i="12" s="1"/>
  <c r="S721" i="12"/>
  <c r="S722" i="12"/>
  <c r="Y722" i="12" s="1" a="1"/>
  <c r="Y722" i="12" s="1"/>
  <c r="S723" i="12"/>
  <c r="S724" i="12"/>
  <c r="Y724" i="12" s="1" a="1"/>
  <c r="Y724" i="12" s="1"/>
  <c r="S725" i="12"/>
  <c r="S726" i="12"/>
  <c r="Y726" i="12" s="1" a="1"/>
  <c r="Y726" i="12" s="1"/>
  <c r="S727" i="12"/>
  <c r="S728" i="12"/>
  <c r="Y728" i="12" s="1" a="1"/>
  <c r="Y728" i="12" s="1"/>
  <c r="S729" i="12"/>
  <c r="S730" i="12"/>
  <c r="Y730" i="12" s="1" a="1"/>
  <c r="Y730" i="12" s="1"/>
  <c r="S731" i="12"/>
  <c r="S732" i="12"/>
  <c r="Y732" i="12" s="1" a="1"/>
  <c r="Y732" i="12" s="1"/>
  <c r="S733" i="12"/>
  <c r="S734" i="12"/>
  <c r="Y734" i="12" s="1" a="1"/>
  <c r="Y734" i="12" s="1"/>
  <c r="S735" i="12"/>
  <c r="S736" i="12"/>
  <c r="Y736" i="12" s="1" a="1"/>
  <c r="Y736" i="12" s="1"/>
  <c r="S737" i="12"/>
  <c r="S738" i="12"/>
  <c r="Y738" i="12" s="1" a="1"/>
  <c r="Y738" i="12" s="1"/>
  <c r="S739" i="12"/>
  <c r="S740" i="12"/>
  <c r="Y740" i="12" s="1" a="1"/>
  <c r="Y740" i="12" s="1"/>
  <c r="S741" i="12"/>
  <c r="S742" i="12"/>
  <c r="Y742" i="12" s="1" a="1"/>
  <c r="Y742" i="12" s="1"/>
  <c r="S743" i="12"/>
  <c r="S744" i="12"/>
  <c r="Y744" i="12" s="1" a="1"/>
  <c r="Y744" i="12" s="1"/>
  <c r="S745" i="12"/>
  <c r="S746" i="12"/>
  <c r="Y746" i="12" s="1" a="1"/>
  <c r="Y746" i="12" s="1"/>
  <c r="S747" i="12"/>
  <c r="S748" i="12"/>
  <c r="Y748" i="12" s="1" a="1"/>
  <c r="Y748" i="12" s="1"/>
  <c r="S749" i="12"/>
  <c r="S750" i="12"/>
  <c r="Y750" i="12" s="1" a="1"/>
  <c r="Y750" i="12" s="1"/>
  <c r="S751" i="12"/>
  <c r="S752" i="12"/>
  <c r="Y752" i="12" s="1" a="1"/>
  <c r="Y752" i="12" s="1"/>
  <c r="S753" i="12"/>
  <c r="S754" i="12"/>
  <c r="Y754" i="12" s="1" a="1"/>
  <c r="Y754" i="12" s="1"/>
  <c r="S755" i="12"/>
  <c r="S756" i="12"/>
  <c r="Y756" i="12" s="1" a="1"/>
  <c r="Y756" i="12" s="1"/>
  <c r="S757" i="12"/>
  <c r="S758" i="12"/>
  <c r="Y758" i="12" s="1" a="1"/>
  <c r="Y758" i="12" s="1"/>
  <c r="S759" i="12"/>
  <c r="S760" i="12"/>
  <c r="Y760" i="12" s="1" a="1"/>
  <c r="Y760" i="12" s="1"/>
  <c r="S761" i="12"/>
  <c r="S762" i="12"/>
  <c r="Y762" i="12" s="1" a="1"/>
  <c r="Y762" i="12" s="1"/>
  <c r="S763" i="12"/>
  <c r="S764" i="12"/>
  <c r="Y764" i="12" s="1" a="1"/>
  <c r="Y764" i="12" s="1"/>
  <c r="S765" i="12"/>
  <c r="S766" i="12"/>
  <c r="Y766" i="12" s="1" a="1"/>
  <c r="Y766" i="12" s="1"/>
  <c r="S767" i="12"/>
  <c r="S768" i="12"/>
  <c r="Y768" i="12" s="1" a="1"/>
  <c r="Y768" i="12" s="1"/>
  <c r="S769" i="12"/>
  <c r="S770" i="12"/>
  <c r="Y770" i="12" s="1" a="1"/>
  <c r="Y770" i="12" s="1"/>
  <c r="S771" i="12"/>
  <c r="S772" i="12"/>
  <c r="Y772" i="12" s="1" a="1"/>
  <c r="Y772" i="12" s="1"/>
  <c r="S773" i="12"/>
  <c r="S774" i="12"/>
  <c r="Y774" i="12" s="1" a="1"/>
  <c r="Y774" i="12" s="1"/>
  <c r="S775" i="12"/>
  <c r="S776" i="12"/>
  <c r="Y776" i="12" s="1" a="1"/>
  <c r="Y776" i="12" s="1"/>
  <c r="S777" i="12"/>
  <c r="S778" i="12"/>
  <c r="Y778" i="12" s="1" a="1"/>
  <c r="Y778" i="12" s="1"/>
  <c r="S779" i="12"/>
  <c r="S780" i="12"/>
  <c r="Y780" i="12" s="1" a="1"/>
  <c r="Y780" i="12" s="1"/>
  <c r="S781" i="12"/>
  <c r="S782" i="12"/>
  <c r="Y782" i="12" s="1" a="1"/>
  <c r="Y782" i="12" s="1"/>
  <c r="S783" i="12"/>
  <c r="S784" i="12"/>
  <c r="Y784" i="12" s="1" a="1"/>
  <c r="Y784" i="12" s="1"/>
  <c r="S785" i="12"/>
  <c r="S786" i="12"/>
  <c r="Y786" i="12" s="1" a="1"/>
  <c r="Y786" i="12" s="1"/>
  <c r="S787" i="12"/>
  <c r="S788" i="12"/>
  <c r="Y788" i="12" s="1" a="1"/>
  <c r="Y788" i="12" s="1"/>
  <c r="S789" i="12"/>
  <c r="S790" i="12"/>
  <c r="Y790" i="12" s="1" a="1"/>
  <c r="Y790" i="12" s="1"/>
  <c r="S791" i="12"/>
  <c r="S792" i="12"/>
  <c r="Y792" i="12" s="1" a="1"/>
  <c r="Y792" i="12" s="1"/>
  <c r="S793" i="12"/>
  <c r="S794" i="12"/>
  <c r="Y794" i="12" s="1" a="1"/>
  <c r="Y794" i="12" s="1"/>
  <c r="S795" i="12"/>
  <c r="S796" i="12"/>
  <c r="Y796" i="12" s="1" a="1"/>
  <c r="Y796" i="12" s="1"/>
  <c r="S797" i="12"/>
  <c r="Y797" i="12" s="1" a="1"/>
  <c r="Y797" i="12" s="1"/>
  <c r="S798" i="12"/>
  <c r="Y798" i="12" s="1" a="1"/>
  <c r="Y798" i="12" s="1"/>
  <c r="S799" i="12"/>
  <c r="Y799" i="12" s="1" a="1"/>
  <c r="Y799" i="12" s="1"/>
  <c r="S800" i="12"/>
  <c r="Y800" i="12" s="1" a="1"/>
  <c r="Y800" i="12" s="1"/>
  <c r="S801" i="12"/>
  <c r="Y801" i="12" s="1" a="1"/>
  <c r="Y801" i="12" s="1"/>
  <c r="S802" i="12"/>
  <c r="Y802" i="12" s="1" a="1"/>
  <c r="Y802" i="12" s="1"/>
  <c r="S803" i="12"/>
  <c r="Y803" i="12" s="1" a="1"/>
  <c r="Y803" i="12" s="1"/>
  <c r="S804" i="12"/>
  <c r="Y804" i="12" s="1" a="1"/>
  <c r="Y804" i="12" s="1"/>
  <c r="S805" i="12"/>
  <c r="Y805" i="12" s="1" a="1"/>
  <c r="Y805" i="12" s="1"/>
  <c r="S806" i="12"/>
  <c r="Y806" i="12" s="1" a="1"/>
  <c r="Y806" i="12" s="1"/>
  <c r="S807" i="12"/>
  <c r="Y807" i="12" s="1" a="1"/>
  <c r="Y807" i="12" s="1"/>
  <c r="S808" i="12"/>
  <c r="Y808" i="12" s="1" a="1"/>
  <c r="Y808" i="12" s="1"/>
  <c r="S809" i="12"/>
  <c r="Y809" i="12" s="1" a="1"/>
  <c r="Y809" i="12" s="1"/>
  <c r="S810" i="12"/>
  <c r="Y810" i="12" s="1" a="1"/>
  <c r="Y810" i="12" s="1"/>
  <c r="S811" i="12"/>
  <c r="Y811" i="12" s="1" a="1"/>
  <c r="Y811" i="12" s="1"/>
  <c r="S812" i="12"/>
  <c r="Y812" i="12" s="1" a="1"/>
  <c r="Y812" i="12" s="1"/>
  <c r="S813" i="12"/>
  <c r="Y813" i="12" s="1" a="1"/>
  <c r="Y813" i="12" s="1"/>
  <c r="S814" i="12"/>
  <c r="Y814" i="12" s="1" a="1"/>
  <c r="Y814" i="12" s="1"/>
  <c r="S815" i="12"/>
  <c r="Y815" i="12" s="1" a="1"/>
  <c r="Y815" i="12" s="1"/>
  <c r="S816" i="12"/>
  <c r="Y816" i="12" s="1" a="1"/>
  <c r="Y816" i="12" s="1"/>
  <c r="S817" i="12"/>
  <c r="Y817" i="12" s="1" a="1"/>
  <c r="Y817" i="12" s="1"/>
  <c r="S818" i="12"/>
  <c r="Y818" i="12" s="1" a="1"/>
  <c r="Y818" i="12" s="1"/>
  <c r="S819" i="12"/>
  <c r="Y819" i="12" s="1" a="1"/>
  <c r="Y819" i="12" s="1"/>
  <c r="S820" i="12"/>
  <c r="Y820" i="12" s="1" a="1"/>
  <c r="Y820" i="12" s="1"/>
  <c r="S821" i="12"/>
  <c r="Y821" i="12" s="1" a="1"/>
  <c r="Y821" i="12" s="1"/>
  <c r="S822" i="12"/>
  <c r="Y822" i="12" s="1" a="1"/>
  <c r="Y822" i="12" s="1"/>
  <c r="S823" i="12"/>
  <c r="Y823" i="12" s="1" a="1"/>
  <c r="Y823" i="12" s="1"/>
  <c r="S824" i="12"/>
  <c r="Y824" i="12" s="1" a="1"/>
  <c r="Y824" i="12" s="1"/>
  <c r="S825" i="12"/>
  <c r="Y825" i="12" s="1" a="1"/>
  <c r="Y825" i="12" s="1"/>
  <c r="S826" i="12"/>
  <c r="Y826" i="12" s="1" a="1"/>
  <c r="Y826" i="12" s="1"/>
  <c r="S827" i="12"/>
  <c r="Y827" i="12" s="1" a="1"/>
  <c r="Y827" i="12" s="1"/>
  <c r="S828" i="12"/>
  <c r="Y828" i="12" s="1" a="1"/>
  <c r="Y828" i="12" s="1"/>
  <c r="S829" i="12"/>
  <c r="Y829" i="12" s="1" a="1"/>
  <c r="Y829" i="12" s="1"/>
  <c r="S830" i="12"/>
  <c r="Y830" i="12" s="1" a="1"/>
  <c r="Y830" i="12" s="1"/>
  <c r="S831" i="12"/>
  <c r="Y831" i="12" s="1" a="1"/>
  <c r="Y831" i="12" s="1"/>
  <c r="S832" i="12"/>
  <c r="Y832" i="12" s="1" a="1"/>
  <c r="Y832" i="12" s="1"/>
  <c r="S833" i="12"/>
  <c r="Y833" i="12" s="1" a="1"/>
  <c r="Y833" i="12" s="1"/>
  <c r="S834" i="12"/>
  <c r="Y834" i="12" s="1" a="1"/>
  <c r="Y834" i="12" s="1"/>
  <c r="S835" i="12"/>
  <c r="Y835" i="12" s="1" a="1"/>
  <c r="Y835" i="12" s="1"/>
  <c r="S836" i="12"/>
  <c r="Y836" i="12" s="1" a="1"/>
  <c r="Y836" i="12" s="1"/>
  <c r="S837" i="12"/>
  <c r="Y837" i="12" s="1" a="1"/>
  <c r="Y837" i="12" s="1"/>
  <c r="S838" i="12"/>
  <c r="Y838" i="12" s="1" a="1"/>
  <c r="Y838" i="12" s="1"/>
  <c r="S839" i="12"/>
  <c r="Y839" i="12" s="1" a="1"/>
  <c r="Y839" i="12" s="1"/>
  <c r="S840" i="12"/>
  <c r="Y840" i="12" s="1" a="1"/>
  <c r="Y840" i="12" s="1"/>
  <c r="S841" i="12"/>
  <c r="Y841" i="12" s="1" a="1"/>
  <c r="Y841" i="12" s="1"/>
  <c r="S842" i="12"/>
  <c r="Y842" i="12" s="1" a="1"/>
  <c r="Y842" i="12" s="1"/>
  <c r="S843" i="12"/>
  <c r="Y843" i="12" s="1" a="1"/>
  <c r="Y843" i="12" s="1"/>
  <c r="S844" i="12"/>
  <c r="Y844" i="12" s="1" a="1"/>
  <c r="Y844" i="12" s="1"/>
  <c r="S845" i="12"/>
  <c r="Y845" i="12" s="1" a="1"/>
  <c r="Y845" i="12" s="1"/>
  <c r="S846" i="12"/>
  <c r="Y846" i="12" s="1" a="1"/>
  <c r="Y846" i="12" s="1"/>
  <c r="S847" i="12"/>
  <c r="Y847" i="12" s="1" a="1"/>
  <c r="Y847" i="12" s="1"/>
  <c r="S848" i="12"/>
  <c r="Y848" i="12" s="1" a="1"/>
  <c r="Y848" i="12" s="1"/>
  <c r="S849" i="12"/>
  <c r="Y849" i="12" s="1" a="1"/>
  <c r="Y849" i="12" s="1"/>
  <c r="S850" i="12"/>
  <c r="Y850" i="12" s="1" a="1"/>
  <c r="Y850" i="12" s="1"/>
  <c r="S851" i="12"/>
  <c r="Y851" i="12" s="1" a="1"/>
  <c r="Y851" i="12" s="1"/>
  <c r="S852" i="12"/>
  <c r="Y852" i="12" s="1" a="1"/>
  <c r="Y852" i="12" s="1"/>
  <c r="S853" i="12"/>
  <c r="Y853" i="12" s="1" a="1"/>
  <c r="Y853" i="12" s="1"/>
  <c r="S854" i="12"/>
  <c r="Y854" i="12" s="1" a="1"/>
  <c r="Y854" i="12" s="1"/>
  <c r="S855" i="12"/>
  <c r="Y855" i="12" s="1" a="1"/>
  <c r="Y855" i="12" s="1"/>
  <c r="S856" i="12"/>
  <c r="Y856" i="12" s="1" a="1"/>
  <c r="Y856" i="12" s="1"/>
  <c r="S857" i="12"/>
  <c r="Y857" i="12" s="1" a="1"/>
  <c r="Y857" i="12" s="1"/>
  <c r="S858" i="12"/>
  <c r="Y858" i="12" s="1" a="1"/>
  <c r="Y858" i="12" s="1"/>
  <c r="S859" i="12"/>
  <c r="Y859" i="12" s="1" a="1"/>
  <c r="Y859" i="12" s="1"/>
  <c r="S860" i="12"/>
  <c r="Y860" i="12" s="1" a="1"/>
  <c r="Y860" i="12" s="1"/>
  <c r="S861" i="12"/>
  <c r="Y861" i="12" s="1" a="1"/>
  <c r="Y861" i="12" s="1"/>
  <c r="S862" i="12"/>
  <c r="Y862" i="12" s="1" a="1"/>
  <c r="Y862" i="12" s="1"/>
  <c r="S863" i="12"/>
  <c r="Y863" i="12" s="1" a="1"/>
  <c r="Y863" i="12" s="1"/>
  <c r="S864" i="12"/>
  <c r="Y864" i="12" s="1" a="1"/>
  <c r="Y864" i="12" s="1"/>
  <c r="S865" i="12"/>
  <c r="Y865" i="12" s="1" a="1"/>
  <c r="Y865" i="12" s="1"/>
  <c r="S866" i="12"/>
  <c r="Y866" i="12" s="1" a="1"/>
  <c r="Y866" i="12" s="1"/>
  <c r="S867" i="12"/>
  <c r="Y867" i="12" s="1" a="1"/>
  <c r="Y867" i="12" s="1"/>
  <c r="S868" i="12"/>
  <c r="Y868" i="12" s="1" a="1"/>
  <c r="Y868" i="12" s="1"/>
  <c r="S869" i="12"/>
  <c r="Y869" i="12" s="1" a="1"/>
  <c r="Y869" i="12" s="1"/>
  <c r="S870" i="12"/>
  <c r="Y870" i="12" s="1" a="1"/>
  <c r="Y870" i="12" s="1"/>
  <c r="S871" i="12"/>
  <c r="Y871" i="12" s="1" a="1"/>
  <c r="Y871" i="12" s="1"/>
  <c r="S872" i="12"/>
  <c r="Y872" i="12" s="1" a="1"/>
  <c r="Y872" i="12" s="1"/>
  <c r="S873" i="12"/>
  <c r="Y873" i="12" s="1" a="1"/>
  <c r="Y873" i="12" s="1"/>
  <c r="S874" i="12"/>
  <c r="Y874" i="12" s="1" a="1"/>
  <c r="Y874" i="12" s="1"/>
  <c r="S875" i="12"/>
  <c r="Y875" i="12" s="1" a="1"/>
  <c r="Y875" i="12" s="1"/>
  <c r="S876" i="12"/>
  <c r="Y876" i="12" s="1" a="1"/>
  <c r="Y876" i="12" s="1"/>
  <c r="S877" i="12"/>
  <c r="Y877" i="12" s="1" a="1"/>
  <c r="Y877" i="12" s="1"/>
  <c r="S878" i="12"/>
  <c r="Y878" i="12" s="1" a="1"/>
  <c r="Y878" i="12" s="1"/>
  <c r="S879" i="12"/>
  <c r="Y879" i="12" s="1" a="1"/>
  <c r="Y879" i="12" s="1"/>
  <c r="S880" i="12"/>
  <c r="Y880" i="12" s="1" a="1"/>
  <c r="Y880" i="12" s="1"/>
  <c r="S881" i="12"/>
  <c r="Y881" i="12" s="1" a="1"/>
  <c r="Y881" i="12" s="1"/>
  <c r="S882" i="12"/>
  <c r="Y882" i="12" s="1" a="1"/>
  <c r="Y882" i="12" s="1"/>
  <c r="S883" i="12"/>
  <c r="Y883" i="12" s="1" a="1"/>
  <c r="Y883" i="12" s="1"/>
  <c r="S884" i="12"/>
  <c r="Y884" i="12" s="1" a="1"/>
  <c r="Y884" i="12" s="1"/>
  <c r="S885" i="12"/>
  <c r="Y885" i="12" s="1" a="1"/>
  <c r="Y885" i="12" s="1"/>
  <c r="S886" i="12"/>
  <c r="Y886" i="12" s="1" a="1"/>
  <c r="Y886" i="12" s="1"/>
  <c r="S887" i="12"/>
  <c r="Y887" i="12" s="1" a="1"/>
  <c r="Y887" i="12" s="1"/>
  <c r="S888" i="12"/>
  <c r="Y888" i="12" s="1" a="1"/>
  <c r="Y888" i="12" s="1"/>
  <c r="S889" i="12"/>
  <c r="Y889" i="12" s="1" a="1"/>
  <c r="Y889" i="12" s="1"/>
  <c r="S890" i="12"/>
  <c r="Y890" i="12" s="1" a="1"/>
  <c r="Y890" i="12" s="1"/>
  <c r="S891" i="12"/>
  <c r="Y891" i="12" s="1" a="1"/>
  <c r="Y891" i="12" s="1"/>
  <c r="S892" i="12"/>
  <c r="Y892" i="12" s="1" a="1"/>
  <c r="Y892" i="12" s="1"/>
  <c r="S893" i="12"/>
  <c r="Y893" i="12" s="1" a="1"/>
  <c r="Y893" i="12" s="1"/>
  <c r="S894" i="12"/>
  <c r="Y894" i="12" s="1" a="1"/>
  <c r="Y894" i="12" s="1"/>
  <c r="S895" i="12"/>
  <c r="Y895" i="12" s="1" a="1"/>
  <c r="Y895" i="12" s="1"/>
  <c r="S896" i="12"/>
  <c r="Y896" i="12" s="1" a="1"/>
  <c r="Y896" i="12" s="1"/>
  <c r="S897" i="12"/>
  <c r="Y897" i="12" s="1" a="1"/>
  <c r="Y897" i="12" s="1"/>
  <c r="S898" i="12"/>
  <c r="Y898" i="12" s="1" a="1"/>
  <c r="Y898" i="12" s="1"/>
  <c r="S899" i="12"/>
  <c r="Y899" i="12" s="1" a="1"/>
  <c r="Y899" i="12" s="1"/>
  <c r="S900" i="12"/>
  <c r="Y900" i="12" s="1" a="1"/>
  <c r="Y900" i="12" s="1"/>
  <c r="S901" i="12"/>
  <c r="Y901" i="12" s="1" a="1"/>
  <c r="Y901" i="12" s="1"/>
  <c r="S902" i="12"/>
  <c r="Y902" i="12" s="1" a="1"/>
  <c r="Y902" i="12" s="1"/>
  <c r="S903" i="12"/>
  <c r="Y903" i="12" s="1" a="1"/>
  <c r="Y903" i="12" s="1"/>
  <c r="S904" i="12"/>
  <c r="Y904" i="12" s="1" a="1"/>
  <c r="Y904" i="12" s="1"/>
  <c r="S905" i="12"/>
  <c r="Y905" i="12" s="1" a="1"/>
  <c r="Y905" i="12" s="1"/>
  <c r="S906" i="12"/>
  <c r="Y906" i="12" s="1" a="1"/>
  <c r="Y906" i="12" s="1"/>
  <c r="S907" i="12"/>
  <c r="Y907" i="12" s="1" a="1"/>
  <c r="Y907" i="12" s="1"/>
  <c r="S908" i="12"/>
  <c r="Y908" i="12" s="1" a="1"/>
  <c r="Y908" i="12" s="1"/>
  <c r="S909" i="12"/>
  <c r="Y909" i="12" s="1" a="1"/>
  <c r="Y909" i="12" s="1"/>
  <c r="S910" i="12"/>
  <c r="Y910" i="12" s="1" a="1"/>
  <c r="Y910" i="12" s="1"/>
  <c r="S911" i="12"/>
  <c r="Y911" i="12" s="1" a="1"/>
  <c r="Y911" i="12" s="1"/>
  <c r="S912" i="12"/>
  <c r="Y912" i="12" s="1" a="1"/>
  <c r="Y912" i="12" s="1"/>
  <c r="S913" i="12"/>
  <c r="Y913" i="12" s="1" a="1"/>
  <c r="Y913" i="12" s="1"/>
  <c r="S914" i="12"/>
  <c r="Y914" i="12" s="1" a="1"/>
  <c r="Y914" i="12" s="1"/>
  <c r="S915" i="12"/>
  <c r="Y915" i="12" s="1" a="1"/>
  <c r="Y915" i="12" s="1"/>
  <c r="S916" i="12"/>
  <c r="Y916" i="12" s="1" a="1"/>
  <c r="Y916" i="12" s="1"/>
  <c r="S917" i="12"/>
  <c r="Y917" i="12" s="1" a="1"/>
  <c r="Y917" i="12" s="1"/>
  <c r="S918" i="12"/>
  <c r="Y918" i="12" s="1" a="1"/>
  <c r="Y918" i="12" s="1"/>
  <c r="S919" i="12"/>
  <c r="Y919" i="12" s="1" a="1"/>
  <c r="Y919" i="12" s="1"/>
  <c r="S920" i="12"/>
  <c r="Y920" i="12" s="1" a="1"/>
  <c r="Y920" i="12" s="1"/>
  <c r="S921" i="12"/>
  <c r="Y921" i="12" s="1" a="1"/>
  <c r="Y921" i="12" s="1"/>
  <c r="S922" i="12"/>
  <c r="Y922" i="12" s="1" a="1"/>
  <c r="Y922" i="12" s="1"/>
  <c r="S923" i="12"/>
  <c r="Y923" i="12" s="1" a="1"/>
  <c r="Y923" i="12" s="1"/>
  <c r="S924" i="12"/>
  <c r="Y924" i="12" s="1" a="1"/>
  <c r="Y924" i="12" s="1"/>
  <c r="S925" i="12"/>
  <c r="Y925" i="12" s="1" a="1"/>
  <c r="Y925" i="12" s="1"/>
  <c r="S926" i="12"/>
  <c r="Y926" i="12" s="1" a="1"/>
  <c r="Y926" i="12" s="1"/>
  <c r="S927" i="12"/>
  <c r="Y927" i="12" s="1" a="1"/>
  <c r="Y927" i="12" s="1"/>
  <c r="S928" i="12"/>
  <c r="Y928" i="12" s="1" a="1"/>
  <c r="Y928" i="12" s="1"/>
  <c r="S929" i="12"/>
  <c r="Y929" i="12" s="1" a="1"/>
  <c r="Y929" i="12" s="1"/>
  <c r="S930" i="12"/>
  <c r="Y930" i="12" s="1" a="1"/>
  <c r="Y930" i="12" s="1"/>
  <c r="S931" i="12"/>
  <c r="Y931" i="12" s="1" a="1"/>
  <c r="Y931" i="12" s="1"/>
  <c r="S932" i="12"/>
  <c r="Y932" i="12" s="1" a="1"/>
  <c r="Y932" i="12" s="1"/>
  <c r="S933" i="12"/>
  <c r="Y933" i="12" s="1" a="1"/>
  <c r="Y933" i="12" s="1"/>
  <c r="S934" i="12"/>
  <c r="Y934" i="12" s="1" a="1"/>
  <c r="Y934" i="12" s="1"/>
  <c r="S935" i="12"/>
  <c r="Y935" i="12" s="1" a="1"/>
  <c r="Y935" i="12" s="1"/>
  <c r="S936" i="12"/>
  <c r="Y936" i="12" s="1" a="1"/>
  <c r="Y936" i="12" s="1"/>
  <c r="S937" i="12"/>
  <c r="Y937" i="12" s="1" a="1"/>
  <c r="Y937" i="12" s="1"/>
  <c r="S938" i="12"/>
  <c r="Y938" i="12" s="1" a="1"/>
  <c r="Y938" i="12" s="1"/>
  <c r="S939" i="12"/>
  <c r="Y939" i="12" s="1" a="1"/>
  <c r="Y939" i="12" s="1"/>
  <c r="S940" i="12"/>
  <c r="Y940" i="12" s="1" a="1"/>
  <c r="Y940" i="12" s="1"/>
  <c r="S941" i="12"/>
  <c r="Y941" i="12" s="1" a="1"/>
  <c r="Y941" i="12" s="1"/>
  <c r="S942" i="12"/>
  <c r="Y942" i="12" s="1" a="1"/>
  <c r="Y942" i="12" s="1"/>
  <c r="S943" i="12"/>
  <c r="Y943" i="12" s="1" a="1"/>
  <c r="Y943" i="12" s="1"/>
  <c r="S944" i="12"/>
  <c r="Y944" i="12" s="1" a="1"/>
  <c r="Y944" i="12" s="1"/>
  <c r="S945" i="12"/>
  <c r="Y945" i="12" s="1" a="1"/>
  <c r="Y945" i="12" s="1"/>
  <c r="S946" i="12"/>
  <c r="Y946" i="12" s="1" a="1"/>
  <c r="Y946" i="12" s="1"/>
  <c r="S947" i="12"/>
  <c r="Y947" i="12" s="1" a="1"/>
  <c r="Y947" i="12" s="1"/>
  <c r="S948" i="12"/>
  <c r="Y948" i="12" s="1" a="1"/>
  <c r="Y948" i="12" s="1"/>
  <c r="S949" i="12"/>
  <c r="Y949" i="12" s="1" a="1"/>
  <c r="Y949" i="12" s="1"/>
  <c r="S950" i="12"/>
  <c r="Y950" i="12" s="1" a="1"/>
  <c r="Y950" i="12" s="1"/>
  <c r="S951" i="12"/>
  <c r="Y951" i="12" s="1" a="1"/>
  <c r="Y951" i="12" s="1"/>
  <c r="S952" i="12"/>
  <c r="Y952" i="12" s="1" a="1"/>
  <c r="Y952" i="12" s="1"/>
  <c r="S953" i="12"/>
  <c r="Y953" i="12" s="1" a="1"/>
  <c r="Y953" i="12" s="1"/>
  <c r="S954" i="12"/>
  <c r="Y954" i="12" s="1" a="1"/>
  <c r="Y954" i="12" s="1"/>
  <c r="S955" i="12"/>
  <c r="Y955" i="12" s="1" a="1"/>
  <c r="Y955" i="12" s="1"/>
  <c r="S956" i="12"/>
  <c r="Y956" i="12" s="1" a="1"/>
  <c r="Y956" i="12" s="1"/>
  <c r="S957" i="12"/>
  <c r="Y957" i="12" s="1" a="1"/>
  <c r="Y957" i="12" s="1"/>
  <c r="S958" i="12"/>
  <c r="Y958" i="12" s="1" a="1"/>
  <c r="Y958" i="12" s="1"/>
  <c r="S959" i="12"/>
  <c r="Y959" i="12" s="1" a="1"/>
  <c r="Y959" i="12" s="1"/>
  <c r="S960" i="12"/>
  <c r="Y960" i="12" s="1" a="1"/>
  <c r="Y960" i="12" s="1"/>
  <c r="S961" i="12"/>
  <c r="Y961" i="12" s="1" a="1"/>
  <c r="Y961" i="12" s="1"/>
  <c r="S962" i="12"/>
  <c r="Y962" i="12" s="1" a="1"/>
  <c r="Y962" i="12" s="1"/>
  <c r="S963" i="12"/>
  <c r="Y963" i="12" s="1" a="1"/>
  <c r="Y963" i="12" s="1"/>
  <c r="S964" i="12"/>
  <c r="Y964" i="12" s="1" a="1"/>
  <c r="Y964" i="12" s="1"/>
  <c r="S965" i="12"/>
  <c r="Y965" i="12" s="1" a="1"/>
  <c r="Y965" i="12" s="1"/>
  <c r="S966" i="12"/>
  <c r="Y966" i="12" s="1" a="1"/>
  <c r="Y966" i="12" s="1"/>
  <c r="S967" i="12"/>
  <c r="Y967" i="12" s="1" a="1"/>
  <c r="Y967" i="12" s="1"/>
  <c r="S968" i="12"/>
  <c r="Y968" i="12" s="1" a="1"/>
  <c r="Y968" i="12" s="1"/>
  <c r="S969" i="12"/>
  <c r="Y969" i="12" s="1" a="1"/>
  <c r="Y969" i="12" s="1"/>
  <c r="S970" i="12"/>
  <c r="Y970" i="12" s="1" a="1"/>
  <c r="Y970" i="12" s="1"/>
  <c r="S971" i="12"/>
  <c r="Y971" i="12" s="1" a="1"/>
  <c r="Y971" i="12" s="1"/>
  <c r="S972" i="12"/>
  <c r="Y972" i="12" s="1" a="1"/>
  <c r="Y972" i="12" s="1"/>
  <c r="S973" i="12"/>
  <c r="Y973" i="12" s="1" a="1"/>
  <c r="Y973" i="12" s="1"/>
  <c r="S974" i="12"/>
  <c r="Y974" i="12" s="1" a="1"/>
  <c r="Y974" i="12" s="1"/>
  <c r="S975" i="12"/>
  <c r="Y975" i="12" s="1" a="1"/>
  <c r="Y975" i="12" s="1"/>
  <c r="S976" i="12"/>
  <c r="Y976" i="12" s="1" a="1"/>
  <c r="Y976" i="12" s="1"/>
  <c r="S977" i="12"/>
  <c r="Y977" i="12" s="1" a="1"/>
  <c r="Y977" i="12" s="1"/>
  <c r="S978" i="12"/>
  <c r="Y978" i="12" s="1" a="1"/>
  <c r="Y978" i="12" s="1"/>
  <c r="S979" i="12"/>
  <c r="Y979" i="12" s="1" a="1"/>
  <c r="Y979" i="12" s="1"/>
  <c r="S980" i="12"/>
  <c r="Y980" i="12" s="1" a="1"/>
  <c r="Y980" i="12" s="1"/>
  <c r="S981" i="12"/>
  <c r="Y981" i="12" s="1" a="1"/>
  <c r="Y981" i="12" s="1"/>
  <c r="S982" i="12"/>
  <c r="Y982" i="12" s="1" a="1"/>
  <c r="Y982" i="12" s="1"/>
  <c r="S983" i="12"/>
  <c r="Y983" i="12" s="1" a="1"/>
  <c r="Y983" i="12" s="1"/>
  <c r="S984" i="12"/>
  <c r="Y984" i="12" s="1" a="1"/>
  <c r="Y984" i="12" s="1"/>
  <c r="S985" i="12"/>
  <c r="Y985" i="12" s="1" a="1"/>
  <c r="Y985" i="12" s="1"/>
  <c r="S986" i="12"/>
  <c r="Y986" i="12" s="1" a="1"/>
  <c r="Y986" i="12" s="1"/>
  <c r="S987" i="12"/>
  <c r="Y987" i="12" s="1" a="1"/>
  <c r="Y987" i="12" s="1"/>
  <c r="S988" i="12"/>
  <c r="Y988" i="12" s="1" a="1"/>
  <c r="Y988" i="12" s="1"/>
  <c r="S989" i="12"/>
  <c r="Y989" i="12" s="1" a="1"/>
  <c r="Y989" i="12" s="1"/>
  <c r="S990" i="12"/>
  <c r="Y990" i="12" s="1" a="1"/>
  <c r="Y990" i="12" s="1"/>
  <c r="S991" i="12"/>
  <c r="Y991" i="12" s="1" a="1"/>
  <c r="Y991" i="12" s="1"/>
  <c r="S992" i="12"/>
  <c r="Y992" i="12" s="1" a="1"/>
  <c r="Y992" i="12" s="1"/>
  <c r="S993" i="12"/>
  <c r="Y993" i="12" s="1" a="1"/>
  <c r="Y993" i="12" s="1"/>
  <c r="S994" i="12"/>
  <c r="Y994" i="12" s="1" a="1"/>
  <c r="Y994" i="12" s="1"/>
  <c r="S995" i="12"/>
  <c r="Y995" i="12" s="1" a="1"/>
  <c r="Y995" i="12" s="1"/>
  <c r="S996" i="12"/>
  <c r="Y996" i="12" s="1" a="1"/>
  <c r="Y996" i="12" s="1"/>
  <c r="S997" i="12"/>
  <c r="Y997" i="12" s="1" a="1"/>
  <c r="Y997" i="12" s="1"/>
  <c r="S998" i="12"/>
  <c r="Y998" i="12" s="1" a="1"/>
  <c r="Y998" i="12" s="1"/>
  <c r="S999" i="12"/>
  <c r="Y999" i="12" s="1" a="1"/>
  <c r="Y999" i="12" s="1"/>
  <c r="S1000" i="12"/>
  <c r="Y1000" i="12" s="1" a="1"/>
  <c r="Y1000" i="12" s="1"/>
  <c r="S1001" i="12"/>
  <c r="Y1001" i="12" s="1" a="1"/>
  <c r="Y1001" i="12" s="1"/>
  <c r="S1002" i="12"/>
  <c r="Y1002" i="12" s="1" a="1"/>
  <c r="Y1002" i="12" s="1"/>
  <c r="S1003" i="12"/>
  <c r="Y1003" i="12" s="1" a="1"/>
  <c r="Y1003" i="12" s="1"/>
  <c r="S1004" i="12"/>
  <c r="Y1004" i="12" s="1" a="1"/>
  <c r="Y1004" i="12" s="1"/>
  <c r="S1005" i="12"/>
  <c r="Y1005" i="12" s="1" a="1"/>
  <c r="Y1005" i="12" s="1"/>
  <c r="S1006" i="12"/>
  <c r="Y1006" i="12" s="1" a="1"/>
  <c r="Y1006" i="12" s="1"/>
  <c r="S1007" i="12"/>
  <c r="Y1007" i="12" s="1" a="1"/>
  <c r="Y1007" i="12" s="1"/>
  <c r="S1008" i="12"/>
  <c r="Y1008" i="12" s="1" a="1"/>
  <c r="Y1008" i="12" s="1"/>
  <c r="S1009" i="12"/>
  <c r="Y1009" i="12" s="1" a="1"/>
  <c r="Y1009" i="12" s="1"/>
  <c r="S1010" i="12"/>
  <c r="Y1010" i="12" s="1" a="1"/>
  <c r="Y1010" i="12" s="1"/>
  <c r="S1011" i="12"/>
  <c r="Y1011" i="12" s="1" a="1"/>
  <c r="Y1011" i="12" s="1"/>
  <c r="S1012" i="12"/>
  <c r="Y1012" i="12" s="1" a="1"/>
  <c r="Y1012" i="12" s="1"/>
  <c r="S1013" i="12"/>
  <c r="Y1013" i="12" s="1" a="1"/>
  <c r="Y1013" i="12" s="1"/>
  <c r="S1014" i="12"/>
  <c r="Y1014" i="12" s="1" a="1"/>
  <c r="Y1014" i="12" s="1"/>
  <c r="S1015" i="12"/>
  <c r="Y1015" i="12" s="1" a="1"/>
  <c r="Y1015" i="12" s="1"/>
  <c r="S1016" i="12"/>
  <c r="Y1016" i="12" s="1" a="1"/>
  <c r="Y1016" i="12" s="1"/>
  <c r="S1017" i="12"/>
  <c r="Y1017" i="12" s="1" a="1"/>
  <c r="Y1017" i="12" s="1"/>
  <c r="S1018" i="12"/>
  <c r="Y1018" i="12" s="1" a="1"/>
  <c r="Y1018" i="12" s="1"/>
  <c r="S1019" i="12"/>
  <c r="Y1019" i="12" s="1" a="1"/>
  <c r="Y1019" i="12" s="1"/>
  <c r="S1020" i="12"/>
  <c r="Y1020" i="12" s="1" a="1"/>
  <c r="Y1020" i="12" s="1"/>
  <c r="S1021" i="12"/>
  <c r="Y1021" i="12" s="1" a="1"/>
  <c r="Y1021" i="12" s="1"/>
  <c r="S1022" i="12"/>
  <c r="Y1022" i="12" s="1" a="1"/>
  <c r="Y1022" i="12" s="1"/>
  <c r="S1023" i="12"/>
  <c r="Y1023" i="12" s="1" a="1"/>
  <c r="Y1023" i="12" s="1"/>
  <c r="S1024" i="12"/>
  <c r="Y1024" i="12" s="1" a="1"/>
  <c r="Y1024" i="12" s="1"/>
  <c r="S1025" i="12"/>
  <c r="Y1025" i="12" s="1" a="1"/>
  <c r="Y1025" i="12" s="1"/>
  <c r="S1026" i="12"/>
  <c r="Y1026" i="12" s="1" a="1"/>
  <c r="Y1026" i="12" s="1"/>
  <c r="S1027" i="12"/>
  <c r="Y1027" i="12" s="1" a="1"/>
  <c r="Y1027" i="12" s="1"/>
  <c r="S1028" i="12"/>
  <c r="Y1028" i="12" s="1" a="1"/>
  <c r="Y1028" i="12" s="1"/>
  <c r="S1029" i="12"/>
  <c r="Y1029" i="12" s="1" a="1"/>
  <c r="Y1029" i="12" s="1"/>
  <c r="S1030" i="12"/>
  <c r="Y1030" i="12" s="1" a="1"/>
  <c r="Y1030" i="12" s="1"/>
  <c r="S1031" i="12"/>
  <c r="Y1031" i="12" s="1" a="1"/>
  <c r="Y1031" i="12" s="1"/>
  <c r="S1032" i="12"/>
  <c r="Y1032" i="12" s="1" a="1"/>
  <c r="Y1032" i="12" s="1"/>
  <c r="S1033" i="12"/>
  <c r="Y1033" i="12" s="1" a="1"/>
  <c r="Y1033" i="12" s="1"/>
  <c r="S1034" i="12"/>
  <c r="Y1034" i="12" s="1" a="1"/>
  <c r="Y1034" i="12" s="1"/>
  <c r="S1035" i="12"/>
  <c r="Y1035" i="12" s="1" a="1"/>
  <c r="Y1035" i="12" s="1"/>
  <c r="S1036" i="12"/>
  <c r="Y1036" i="12" s="1" a="1"/>
  <c r="Y1036" i="12" s="1"/>
  <c r="S1037" i="12"/>
  <c r="Y1037" i="12" s="1" a="1"/>
  <c r="Y1037" i="12" s="1"/>
  <c r="S1038" i="12"/>
  <c r="Y1038" i="12" s="1" a="1"/>
  <c r="Y1038" i="12" s="1"/>
  <c r="S1039" i="12"/>
  <c r="Y1039" i="12" s="1" a="1"/>
  <c r="Y1039" i="12" s="1"/>
  <c r="S1040" i="12"/>
  <c r="Y1040" i="12" s="1" a="1"/>
  <c r="Y1040" i="12" s="1"/>
  <c r="S1041" i="12"/>
  <c r="Y1041" i="12" s="1" a="1"/>
  <c r="Y1041" i="12" s="1"/>
  <c r="S1042" i="12"/>
  <c r="Y1042" i="12" s="1" a="1"/>
  <c r="Y1042" i="12" s="1"/>
  <c r="S1043" i="12"/>
  <c r="Y1043" i="12" s="1" a="1"/>
  <c r="Y1043" i="12" s="1"/>
  <c r="S1044" i="12"/>
  <c r="Y1044" i="12" s="1" a="1"/>
  <c r="Y1044" i="12" s="1"/>
  <c r="S1045" i="12"/>
  <c r="Y1045" i="12" s="1" a="1"/>
  <c r="Y1045" i="12" s="1"/>
  <c r="S1046" i="12"/>
  <c r="Y1046" i="12" s="1" a="1"/>
  <c r="Y1046" i="12" s="1"/>
  <c r="S1047" i="12"/>
  <c r="Y1047" i="12" s="1" a="1"/>
  <c r="Y1047" i="12" s="1"/>
  <c r="S1048" i="12"/>
  <c r="Y1048" i="12" s="1" a="1"/>
  <c r="Y1048" i="12" s="1"/>
  <c r="S1049" i="12"/>
  <c r="Y1049" i="12" s="1" a="1"/>
  <c r="Y1049" i="12" s="1"/>
  <c r="S1050" i="12"/>
  <c r="Y1050" i="12" s="1" a="1"/>
  <c r="Y1050" i="12" s="1"/>
  <c r="S1051" i="12"/>
  <c r="Y1051" i="12" s="1" a="1"/>
  <c r="Y1051" i="12" s="1"/>
  <c r="S1052" i="12"/>
  <c r="Y1052" i="12" s="1" a="1"/>
  <c r="Y1052" i="12" s="1"/>
  <c r="S1053" i="12"/>
  <c r="Y1053" i="12" s="1" a="1"/>
  <c r="Y1053" i="12" s="1"/>
  <c r="S1054" i="12"/>
  <c r="Y1054" i="12" s="1" a="1"/>
  <c r="Y1054" i="12" s="1"/>
  <c r="S1055" i="12"/>
  <c r="Y1055" i="12" s="1" a="1"/>
  <c r="Y1055" i="12" s="1"/>
  <c r="S1056" i="12"/>
  <c r="Y1056" i="12" s="1" a="1"/>
  <c r="Y1056" i="12" s="1"/>
  <c r="S1057" i="12"/>
  <c r="Y1057" i="12" s="1" a="1"/>
  <c r="Y1057" i="12" s="1"/>
  <c r="S1058" i="12"/>
  <c r="Y1058" i="12" s="1" a="1"/>
  <c r="Y1058" i="12" s="1"/>
  <c r="S1059" i="12"/>
  <c r="Y1059" i="12" s="1" a="1"/>
  <c r="Y1059" i="12" s="1"/>
  <c r="S1060" i="12"/>
  <c r="Y1060" i="12" s="1" a="1"/>
  <c r="Y1060" i="12" s="1"/>
  <c r="S1061" i="12"/>
  <c r="Y1061" i="12" s="1" a="1"/>
  <c r="Y1061" i="12" s="1"/>
  <c r="S1062" i="12"/>
  <c r="Y1062" i="12" s="1" a="1"/>
  <c r="Y1062" i="12" s="1"/>
  <c r="S1063" i="12"/>
  <c r="Y1063" i="12" s="1" a="1"/>
  <c r="Y1063" i="12" s="1"/>
  <c r="S1064" i="12"/>
  <c r="Y1064" i="12" s="1" a="1"/>
  <c r="Y1064" i="12" s="1"/>
  <c r="S1065" i="12"/>
  <c r="Y1065" i="12" s="1" a="1"/>
  <c r="Y1065" i="12" s="1"/>
  <c r="S1066" i="12"/>
  <c r="Y1066" i="12" s="1" a="1"/>
  <c r="Y1066" i="12" s="1"/>
  <c r="S1067" i="12"/>
  <c r="Y1067" i="12" s="1" a="1"/>
  <c r="Y1067" i="12" s="1"/>
  <c r="S1068" i="12"/>
  <c r="Y1068" i="12" s="1" a="1"/>
  <c r="Y1068" i="12" s="1"/>
  <c r="S1069" i="12"/>
  <c r="Y1069" i="12" s="1" a="1"/>
  <c r="Y1069" i="12" s="1"/>
  <c r="S1070" i="12"/>
  <c r="Y1070" i="12" s="1" a="1"/>
  <c r="Y1070" i="12" s="1"/>
  <c r="S1071" i="12"/>
  <c r="Y1071" i="12" s="1" a="1"/>
  <c r="Y1071" i="12" s="1"/>
  <c r="S1072" i="12"/>
  <c r="Y1072" i="12" s="1" a="1"/>
  <c r="Y1072" i="12" s="1"/>
  <c r="S1073" i="12"/>
  <c r="Y1073" i="12" s="1" a="1"/>
  <c r="Y1073" i="12" s="1"/>
  <c r="S1074" i="12"/>
  <c r="Y1074" i="12" s="1" a="1"/>
  <c r="Y1074" i="12" s="1"/>
  <c r="S1075" i="12"/>
  <c r="Y1075" i="12" s="1" a="1"/>
  <c r="Y1075" i="12" s="1"/>
  <c r="S1076" i="12"/>
  <c r="Y1076" i="12" s="1" a="1"/>
  <c r="Y1076" i="12" s="1"/>
  <c r="S1077" i="12"/>
  <c r="Y1077" i="12" s="1" a="1"/>
  <c r="Y1077" i="12" s="1"/>
  <c r="S1078" i="12"/>
  <c r="Y1078" i="12" s="1" a="1"/>
  <c r="Y1078" i="12" s="1"/>
  <c r="S1079" i="12"/>
  <c r="Y1079" i="12" s="1" a="1"/>
  <c r="Y1079" i="12" s="1"/>
  <c r="S1080" i="12"/>
  <c r="Y1080" i="12" s="1" a="1"/>
  <c r="Y1080" i="12" s="1"/>
  <c r="S1081" i="12"/>
  <c r="Y1081" i="12" s="1" a="1"/>
  <c r="Y1081" i="12" s="1"/>
  <c r="S1082" i="12"/>
  <c r="Y1082" i="12" s="1" a="1"/>
  <c r="Y1082" i="12" s="1"/>
  <c r="S1083" i="12"/>
  <c r="Y1083" i="12" s="1" a="1"/>
  <c r="Y1083" i="12" s="1"/>
  <c r="S1084" i="12"/>
  <c r="Y1084" i="12" s="1" a="1"/>
  <c r="Y1084" i="12" s="1"/>
  <c r="S1085" i="12"/>
  <c r="Y1085" i="12" s="1" a="1"/>
  <c r="Y1085" i="12" s="1"/>
  <c r="S1086" i="12"/>
  <c r="Y1086" i="12" s="1" a="1"/>
  <c r="Y1086" i="12" s="1"/>
  <c r="S1087" i="12"/>
  <c r="Y1087" i="12" s="1" a="1"/>
  <c r="Y1087" i="12" s="1"/>
  <c r="S1088" i="12"/>
  <c r="Y1088" i="12" s="1" a="1"/>
  <c r="Y1088" i="12" s="1"/>
  <c r="S1089" i="12"/>
  <c r="Y1089" i="12" s="1" a="1"/>
  <c r="Y1089" i="12" s="1"/>
  <c r="S1090" i="12"/>
  <c r="Y1090" i="12" s="1" a="1"/>
  <c r="Y1090" i="12" s="1"/>
  <c r="S1091" i="12"/>
  <c r="Y1091" i="12" s="1" a="1"/>
  <c r="Y1091" i="12" s="1"/>
  <c r="S1092" i="12"/>
  <c r="Y1092" i="12" s="1" a="1"/>
  <c r="Y1092" i="12" s="1"/>
  <c r="S1093" i="12"/>
  <c r="Y1093" i="12" s="1" a="1"/>
  <c r="Y1093" i="12" s="1"/>
  <c r="S1094" i="12"/>
  <c r="Y1094" i="12" s="1" a="1"/>
  <c r="Y1094" i="12" s="1"/>
  <c r="S1095" i="12"/>
  <c r="Y1095" i="12" s="1" a="1"/>
  <c r="Y1095" i="12" s="1"/>
  <c r="S1096" i="12"/>
  <c r="Y1096" i="12" s="1" a="1"/>
  <c r="Y1096" i="12" s="1"/>
  <c r="S1097" i="12"/>
  <c r="Y1097" i="12" s="1" a="1"/>
  <c r="Y1097" i="12" s="1"/>
  <c r="S1098" i="12"/>
  <c r="Y1098" i="12" s="1" a="1"/>
  <c r="Y1098" i="12" s="1"/>
  <c r="S1099" i="12"/>
  <c r="Y1099" i="12" s="1" a="1"/>
  <c r="Y1099" i="12" s="1"/>
  <c r="S1100" i="12"/>
  <c r="Y1100" i="12" s="1" a="1"/>
  <c r="Y1100" i="12" s="1"/>
  <c r="S1101" i="12"/>
  <c r="Y1101" i="12" s="1" a="1"/>
  <c r="Y1101" i="12" s="1"/>
  <c r="S1102" i="12"/>
  <c r="Y1102" i="12" s="1" a="1"/>
  <c r="Y1102" i="12" s="1"/>
  <c r="S1103" i="12"/>
  <c r="Y1103" i="12" s="1" a="1"/>
  <c r="Y1103" i="12" s="1"/>
  <c r="S1104" i="12"/>
  <c r="Y1104" i="12" s="1" a="1"/>
  <c r="Y1104" i="12" s="1"/>
  <c r="S1105" i="12"/>
  <c r="Y1105" i="12" s="1" a="1"/>
  <c r="Y1105" i="12" s="1"/>
  <c r="S1106" i="12"/>
  <c r="Y1106" i="12" s="1" a="1"/>
  <c r="Y1106" i="12" s="1"/>
  <c r="S1107" i="12"/>
  <c r="Y1107" i="12" s="1" a="1"/>
  <c r="Y1107" i="12" s="1"/>
  <c r="S1108" i="12"/>
  <c r="Y1108" i="12" s="1" a="1"/>
  <c r="Y1108" i="12" s="1"/>
  <c r="S1109" i="12"/>
  <c r="Y1109" i="12" s="1" a="1"/>
  <c r="Y1109" i="12" s="1"/>
  <c r="S1110" i="12"/>
  <c r="Y1110" i="12" s="1" a="1"/>
  <c r="Y1110" i="12" s="1"/>
  <c r="S1111" i="12"/>
  <c r="Y1111" i="12" s="1" a="1"/>
  <c r="Y1111" i="12" s="1"/>
  <c r="S1112" i="12"/>
  <c r="Y1112" i="12" s="1" a="1"/>
  <c r="Y1112" i="12" s="1"/>
  <c r="S1113" i="12"/>
  <c r="Y1113" i="12" s="1" a="1"/>
  <c r="Y1113" i="12" s="1"/>
  <c r="S1114" i="12"/>
  <c r="Y1114" i="12" s="1" a="1"/>
  <c r="Y1114" i="12" s="1"/>
  <c r="S1115" i="12"/>
  <c r="Y1115" i="12" s="1" a="1"/>
  <c r="Y1115" i="12" s="1"/>
  <c r="S1116" i="12"/>
  <c r="Y1116" i="12" s="1" a="1"/>
  <c r="Y1116" i="12" s="1"/>
  <c r="S1117" i="12"/>
  <c r="Y1117" i="12" s="1" a="1"/>
  <c r="Y1117" i="12" s="1"/>
  <c r="S1118" i="12"/>
  <c r="Y1118" i="12" s="1" a="1"/>
  <c r="Y1118" i="12" s="1"/>
  <c r="S1119" i="12"/>
  <c r="Y1119" i="12" s="1" a="1"/>
  <c r="Y1119" i="12" s="1"/>
  <c r="S1120" i="12"/>
  <c r="Y1120" i="12" s="1" a="1"/>
  <c r="Y1120" i="12" s="1"/>
  <c r="S1121" i="12"/>
  <c r="Y1121" i="12" s="1" a="1"/>
  <c r="Y1121" i="12" s="1"/>
  <c r="S1122" i="12"/>
  <c r="Y1122" i="12" s="1" a="1"/>
  <c r="Y1122" i="12" s="1"/>
  <c r="S1123" i="12"/>
  <c r="Y1123" i="12" s="1" a="1"/>
  <c r="Y1123" i="12" s="1"/>
  <c r="S1124" i="12"/>
  <c r="Y1124" i="12" s="1" a="1"/>
  <c r="Y1124" i="12" s="1"/>
  <c r="S1125" i="12"/>
  <c r="Y1125" i="12" s="1" a="1"/>
  <c r="Y1125" i="12" s="1"/>
  <c r="S1126" i="12"/>
  <c r="Y1126" i="12" s="1" a="1"/>
  <c r="Y1126" i="12" s="1"/>
  <c r="S1127" i="12"/>
  <c r="Y1127" i="12" s="1" a="1"/>
  <c r="Y1127" i="12" s="1"/>
  <c r="S1128" i="12"/>
  <c r="Y1128" i="12" s="1" a="1"/>
  <c r="Y1128" i="12" s="1"/>
  <c r="S1129" i="12"/>
  <c r="Y1129" i="12" s="1" a="1"/>
  <c r="Y1129" i="12" s="1"/>
  <c r="S1130" i="12"/>
  <c r="Y1130" i="12" s="1" a="1"/>
  <c r="Y1130" i="12" s="1"/>
  <c r="S1131" i="12"/>
  <c r="Y1131" i="12" s="1" a="1"/>
  <c r="Y1131" i="12" s="1"/>
  <c r="S1132" i="12"/>
  <c r="Y1132" i="12" s="1" a="1"/>
  <c r="Y1132" i="12" s="1"/>
  <c r="S1133" i="12"/>
  <c r="Y1133" i="12" s="1" a="1"/>
  <c r="Y1133" i="12" s="1"/>
  <c r="S1134" i="12"/>
  <c r="Y1134" i="12" s="1" a="1"/>
  <c r="Y1134" i="12" s="1"/>
  <c r="S1135" i="12"/>
  <c r="Y1135" i="12" s="1" a="1"/>
  <c r="Y1135" i="12" s="1"/>
  <c r="S1136" i="12"/>
  <c r="Y1136" i="12" s="1" a="1"/>
  <c r="Y1136" i="12" s="1"/>
  <c r="S1137" i="12"/>
  <c r="Y1137" i="12" s="1" a="1"/>
  <c r="Y1137" i="12" s="1"/>
  <c r="S1138" i="12"/>
  <c r="Y1138" i="12" s="1" a="1"/>
  <c r="Y1138" i="12" s="1"/>
  <c r="S1139" i="12"/>
  <c r="Y1139" i="12" s="1" a="1"/>
  <c r="Y1139" i="12" s="1"/>
  <c r="S1140" i="12"/>
  <c r="Y1140" i="12" s="1" a="1"/>
  <c r="Y1140" i="12" s="1"/>
  <c r="S1141" i="12"/>
  <c r="Y1141" i="12" s="1" a="1"/>
  <c r="Y1141" i="12" s="1"/>
  <c r="S1142" i="12"/>
  <c r="Y1142" i="12" s="1" a="1"/>
  <c r="Y1142" i="12" s="1"/>
  <c r="S1143" i="12"/>
  <c r="Y1143" i="12" s="1" a="1"/>
  <c r="Y1143" i="12" s="1"/>
  <c r="S1144" i="12"/>
  <c r="Y1144" i="12" s="1" a="1"/>
  <c r="Y1144" i="12" s="1"/>
  <c r="S1145" i="12"/>
  <c r="Y1145" i="12" s="1" a="1"/>
  <c r="Y1145" i="12" s="1"/>
  <c r="S1146" i="12"/>
  <c r="Y1146" i="12" s="1" a="1"/>
  <c r="Y1146" i="12" s="1"/>
  <c r="S1147" i="12"/>
  <c r="Y1147" i="12" s="1" a="1"/>
  <c r="Y1147" i="12" s="1"/>
  <c r="S1148" i="12"/>
  <c r="Y1148" i="12" s="1" a="1"/>
  <c r="Y1148" i="12" s="1"/>
  <c r="S1149" i="12"/>
  <c r="Y1149" i="12" s="1" a="1"/>
  <c r="Y1149" i="12" s="1"/>
  <c r="S1150" i="12"/>
  <c r="Y1150" i="12" s="1" a="1"/>
  <c r="Y1150" i="12" s="1"/>
  <c r="S1151" i="12"/>
  <c r="Y1151" i="12" s="1" a="1"/>
  <c r="Y1151" i="12" s="1"/>
  <c r="S1152" i="12"/>
  <c r="Y1152" i="12" s="1" a="1"/>
  <c r="Y1152" i="12" s="1"/>
  <c r="S1153" i="12"/>
  <c r="Y1153" i="12" s="1" a="1"/>
  <c r="Y1153" i="12" s="1"/>
  <c r="S1154" i="12"/>
  <c r="Y1154" i="12" s="1" a="1"/>
  <c r="Y1154" i="12" s="1"/>
  <c r="S1155" i="12"/>
  <c r="Y1155" i="12" s="1" a="1"/>
  <c r="Y1155" i="12" s="1"/>
  <c r="S1156" i="12"/>
  <c r="Y1156" i="12" s="1" a="1"/>
  <c r="Y1156" i="12" s="1"/>
  <c r="S1157" i="12"/>
  <c r="Y1157" i="12" s="1" a="1"/>
  <c r="Y1157" i="12" s="1"/>
  <c r="S1158" i="12"/>
  <c r="Y1158" i="12" s="1" a="1"/>
  <c r="Y1158" i="12" s="1"/>
  <c r="S1159" i="12"/>
  <c r="Y1159" i="12" s="1" a="1"/>
  <c r="Y1159" i="12" s="1"/>
  <c r="S1160" i="12"/>
  <c r="Y1160" i="12" s="1" a="1"/>
  <c r="Y1160" i="12" s="1"/>
  <c r="S1161" i="12"/>
  <c r="Y1161" i="12" s="1" a="1"/>
  <c r="Y1161" i="12" s="1"/>
  <c r="S1162" i="12"/>
  <c r="Y1162" i="12" s="1" a="1"/>
  <c r="Y1162" i="12" s="1"/>
  <c r="S1163" i="12"/>
  <c r="Y1163" i="12" s="1" a="1"/>
  <c r="Y1163" i="12" s="1"/>
  <c r="S1164" i="12"/>
  <c r="Y1164" i="12" s="1" a="1"/>
  <c r="Y1164" i="12" s="1"/>
  <c r="S1165" i="12"/>
  <c r="Y1165" i="12" s="1" a="1"/>
  <c r="Y1165" i="12" s="1"/>
  <c r="S1166" i="12"/>
  <c r="Y1166" i="12" s="1" a="1"/>
  <c r="Y1166" i="12" s="1"/>
  <c r="S1167" i="12"/>
  <c r="Y1167" i="12" s="1" a="1"/>
  <c r="Y1167" i="12" s="1"/>
  <c r="S1168" i="12"/>
  <c r="Y1168" i="12" s="1" a="1"/>
  <c r="Y1168" i="12" s="1"/>
  <c r="S1169" i="12"/>
  <c r="Y1169" i="12" s="1" a="1"/>
  <c r="Y1169" i="12" s="1"/>
  <c r="S1170" i="12"/>
  <c r="Y1170" i="12" s="1" a="1"/>
  <c r="Y1170" i="12" s="1"/>
  <c r="S1171" i="12"/>
  <c r="Y1171" i="12" s="1" a="1"/>
  <c r="Y1171" i="12" s="1"/>
  <c r="S1172" i="12"/>
  <c r="Y1172" i="12" s="1" a="1"/>
  <c r="Y1172" i="12" s="1"/>
  <c r="S1173" i="12"/>
  <c r="Y1173" i="12" s="1" a="1"/>
  <c r="Y1173" i="12" s="1"/>
  <c r="S1174" i="12"/>
  <c r="Y1174" i="12" s="1" a="1"/>
  <c r="Y1174" i="12" s="1"/>
  <c r="S1175" i="12"/>
  <c r="Y1175" i="12" s="1" a="1"/>
  <c r="Y1175" i="12" s="1"/>
  <c r="S1176" i="12"/>
  <c r="Y1176" i="12" s="1" a="1"/>
  <c r="Y1176" i="12" s="1"/>
  <c r="S1177" i="12"/>
  <c r="Y1177" i="12" s="1" a="1"/>
  <c r="Y1177" i="12" s="1"/>
  <c r="S1178" i="12"/>
  <c r="Y1178" i="12" s="1" a="1"/>
  <c r="Y1178" i="12" s="1"/>
  <c r="S1179" i="12"/>
  <c r="Y1179" i="12" s="1" a="1"/>
  <c r="Y1179" i="12" s="1"/>
  <c r="S1180" i="12"/>
  <c r="Y1180" i="12" s="1" a="1"/>
  <c r="Y1180" i="12" s="1"/>
  <c r="S1181" i="12"/>
  <c r="Y1181" i="12" s="1" a="1"/>
  <c r="Y1181" i="12" s="1"/>
  <c r="S1182" i="12"/>
  <c r="Y1182" i="12" s="1" a="1"/>
  <c r="Y1182" i="12" s="1"/>
  <c r="S1183" i="12"/>
  <c r="Y1183" i="12" s="1" a="1"/>
  <c r="Y1183" i="12" s="1"/>
  <c r="S1184" i="12"/>
  <c r="Y1184" i="12" s="1" a="1"/>
  <c r="Y1184" i="12" s="1"/>
  <c r="S1185" i="12"/>
  <c r="Y1185" i="12" s="1" a="1"/>
  <c r="Y1185" i="12" s="1"/>
  <c r="S1186" i="12"/>
  <c r="Y1186" i="12" s="1" a="1"/>
  <c r="Y1186" i="12" s="1"/>
  <c r="S1187" i="12"/>
  <c r="Y1187" i="12" s="1" a="1"/>
  <c r="Y1187" i="12" s="1"/>
  <c r="S1188" i="12"/>
  <c r="Y1188" i="12" s="1" a="1"/>
  <c r="Y1188" i="12" s="1"/>
  <c r="S1189" i="12"/>
  <c r="Y1189" i="12" s="1" a="1"/>
  <c r="Y1189" i="12" s="1"/>
  <c r="S1190" i="12"/>
  <c r="Y1190" i="12" s="1" a="1"/>
  <c r="Y1190" i="12" s="1"/>
  <c r="S1191" i="12"/>
  <c r="Y1191" i="12" s="1" a="1"/>
  <c r="Y1191" i="12" s="1"/>
  <c r="S1192" i="12"/>
  <c r="Y1192" i="12" s="1" a="1"/>
  <c r="Y1192" i="12" s="1"/>
  <c r="S1193" i="12"/>
  <c r="Y1193" i="12" s="1" a="1"/>
  <c r="Y1193" i="12" s="1"/>
  <c r="S1194" i="12"/>
  <c r="Y1194" i="12" s="1" a="1"/>
  <c r="Y1194" i="12" s="1"/>
  <c r="S1195" i="12"/>
  <c r="Y1195" i="12" s="1" a="1"/>
  <c r="Y1195" i="12" s="1"/>
  <c r="S1196" i="12"/>
  <c r="Y1196" i="12" s="1" a="1"/>
  <c r="Y1196" i="12" s="1"/>
  <c r="S1197" i="12"/>
  <c r="Y1197" i="12" s="1" a="1"/>
  <c r="Y1197" i="12" s="1"/>
  <c r="S1198" i="12"/>
  <c r="Y1198" i="12" s="1" a="1"/>
  <c r="Y1198" i="12" s="1"/>
  <c r="S1199" i="12"/>
  <c r="Y1199" i="12" s="1" a="1"/>
  <c r="Y1199" i="12" s="1"/>
  <c r="S1200" i="12"/>
  <c r="Y1200" i="12" s="1" a="1"/>
  <c r="Y1200" i="12" s="1"/>
  <c r="S1201" i="12"/>
  <c r="Y1201" i="12" s="1" a="1"/>
  <c r="Y1201" i="12" s="1"/>
  <c r="S1202" i="12"/>
  <c r="Y1202" i="12" s="1" a="1"/>
  <c r="Y1202" i="12" s="1"/>
  <c r="S1203" i="12"/>
  <c r="Y1203" i="12" s="1" a="1"/>
  <c r="Y1203" i="12" s="1"/>
  <c r="S1204" i="12"/>
  <c r="Y1204" i="12" s="1" a="1"/>
  <c r="Y1204" i="12" s="1"/>
  <c r="S1205" i="12"/>
  <c r="Y1205" i="12" s="1" a="1"/>
  <c r="Y1205" i="12" s="1"/>
  <c r="S1206" i="12"/>
  <c r="Y1206" i="12" s="1" a="1"/>
  <c r="Y1206" i="12" s="1"/>
  <c r="S1207" i="12"/>
  <c r="Y1207" i="12" s="1" a="1"/>
  <c r="Y1207" i="12" s="1"/>
  <c r="S1208" i="12"/>
  <c r="Y1208" i="12" s="1" a="1"/>
  <c r="Y1208" i="12" s="1"/>
  <c r="S1209" i="12"/>
  <c r="Y1209" i="12" s="1" a="1"/>
  <c r="Y1209" i="12" s="1"/>
  <c r="S1210" i="12"/>
  <c r="Y1210" i="12" s="1" a="1"/>
  <c r="Y1210" i="12" s="1"/>
  <c r="S1211" i="12"/>
  <c r="Y1211" i="12" s="1" a="1"/>
  <c r="Y1211" i="12" s="1"/>
  <c r="S1212" i="12"/>
  <c r="Y1212" i="12" s="1" a="1"/>
  <c r="Y1212" i="12" s="1"/>
  <c r="S1213" i="12"/>
  <c r="Y1213" i="12" s="1" a="1"/>
  <c r="Y1213" i="12" s="1"/>
  <c r="S1214" i="12"/>
  <c r="Y1214" i="12" s="1" a="1"/>
  <c r="Y1214" i="12" s="1"/>
  <c r="S1215" i="12"/>
  <c r="Y1215" i="12" s="1" a="1"/>
  <c r="Y1215" i="12" s="1"/>
  <c r="S1216" i="12"/>
  <c r="Y1216" i="12" s="1" a="1"/>
  <c r="Y1216" i="12" s="1"/>
  <c r="S1217" i="12"/>
  <c r="Y1217" i="12" s="1" a="1"/>
  <c r="Y1217" i="12" s="1"/>
  <c r="S1218" i="12"/>
  <c r="Y1218" i="12" s="1" a="1"/>
  <c r="Y1218" i="12" s="1"/>
  <c r="S1219" i="12"/>
  <c r="Y1219" i="12" s="1" a="1"/>
  <c r="Y1219" i="12" s="1"/>
  <c r="S1220" i="12"/>
  <c r="Y1220" i="12" s="1" a="1"/>
  <c r="Y1220" i="12" s="1"/>
  <c r="S1221" i="12"/>
  <c r="Y1221" i="12" s="1" a="1"/>
  <c r="Y1221" i="12" s="1"/>
  <c r="S1222" i="12"/>
  <c r="Y1222" i="12" s="1" a="1"/>
  <c r="Y1222" i="12" s="1"/>
  <c r="S1223" i="12"/>
  <c r="Y1223" i="12" s="1" a="1"/>
  <c r="Y1223" i="12" s="1"/>
  <c r="S1224" i="12"/>
  <c r="Y1224" i="12" s="1" a="1"/>
  <c r="Y1224" i="12" s="1"/>
  <c r="S1225" i="12"/>
  <c r="Y1225" i="12" s="1" a="1"/>
  <c r="Y1225" i="12" s="1"/>
  <c r="S1226" i="12"/>
  <c r="Y1226" i="12" s="1" a="1"/>
  <c r="Y1226" i="12" s="1"/>
  <c r="S1227" i="12"/>
  <c r="Y1227" i="12" s="1" a="1"/>
  <c r="Y1227" i="12" s="1"/>
  <c r="S1228" i="12"/>
  <c r="Y1228" i="12" s="1" a="1"/>
  <c r="Y1228" i="12" s="1"/>
  <c r="S1229" i="12"/>
  <c r="Y1229" i="12" s="1" a="1"/>
  <c r="Y1229" i="12" s="1"/>
  <c r="S1230" i="12"/>
  <c r="Y1230" i="12" s="1" a="1"/>
  <c r="Y1230" i="12" s="1"/>
  <c r="S1231" i="12"/>
  <c r="Y1231" i="12" s="1" a="1"/>
  <c r="Y1231" i="12" s="1"/>
  <c r="S1232" i="12"/>
  <c r="Y1232" i="12" s="1" a="1"/>
  <c r="Y1232" i="12" s="1"/>
  <c r="S1233" i="12"/>
  <c r="Y1233" i="12" s="1" a="1"/>
  <c r="Y1233" i="12" s="1"/>
  <c r="S1234" i="12"/>
  <c r="Y1234" i="12" s="1" a="1"/>
  <c r="Y1234" i="12" s="1"/>
  <c r="S1235" i="12"/>
  <c r="Y1235" i="12" s="1" a="1"/>
  <c r="Y1235" i="12" s="1"/>
  <c r="S1236" i="12"/>
  <c r="Y1236" i="12" s="1" a="1"/>
  <c r="Y1236" i="12" s="1"/>
  <c r="S1237" i="12"/>
  <c r="Y1237" i="12" s="1" a="1"/>
  <c r="Y1237" i="12" s="1"/>
  <c r="S1238" i="12"/>
  <c r="Y1238" i="12" s="1" a="1"/>
  <c r="Y1238" i="12" s="1"/>
  <c r="S1239" i="12"/>
  <c r="Y1239" i="12" s="1" a="1"/>
  <c r="Y1239" i="12" s="1"/>
  <c r="S1240" i="12"/>
  <c r="Y1240" i="12" s="1" a="1"/>
  <c r="Y1240" i="12" s="1"/>
  <c r="S1241" i="12"/>
  <c r="Y1241" i="12" s="1" a="1"/>
  <c r="Y1241" i="12" s="1"/>
  <c r="S1242" i="12"/>
  <c r="Y1242" i="12" s="1" a="1"/>
  <c r="Y1242" i="12" s="1"/>
  <c r="S1243" i="12"/>
  <c r="Y1243" i="12" s="1" a="1"/>
  <c r="Y1243" i="12" s="1"/>
  <c r="S1244" i="12"/>
  <c r="Y1244" i="12" s="1" a="1"/>
  <c r="Y1244" i="12" s="1"/>
  <c r="S1245" i="12"/>
  <c r="Y1245" i="12" s="1" a="1"/>
  <c r="Y1245" i="12" s="1"/>
  <c r="S1246" i="12"/>
  <c r="Y1246" i="12" s="1" a="1"/>
  <c r="Y1246" i="12" s="1"/>
  <c r="S1247" i="12"/>
  <c r="Y1247" i="12" s="1" a="1"/>
  <c r="Y1247" i="12" s="1"/>
  <c r="S1248" i="12"/>
  <c r="Y1248" i="12" s="1" a="1"/>
  <c r="Y1248" i="12" s="1"/>
  <c r="S1249" i="12"/>
  <c r="Y1249" i="12" s="1" a="1"/>
  <c r="Y1249" i="12" s="1"/>
  <c r="S1250" i="12"/>
  <c r="Y1250" i="12" s="1" a="1"/>
  <c r="Y1250" i="12" s="1"/>
  <c r="S1251" i="12"/>
  <c r="Y1251" i="12" s="1" a="1"/>
  <c r="Y1251" i="12" s="1"/>
  <c r="S1252" i="12"/>
  <c r="Y1252" i="12" s="1" a="1"/>
  <c r="Y1252" i="12" s="1"/>
  <c r="S1253" i="12"/>
  <c r="Y1253" i="12" s="1" a="1"/>
  <c r="Y1253" i="12" s="1"/>
  <c r="S1254" i="12"/>
  <c r="Y1254" i="12" s="1" a="1"/>
  <c r="Y1254" i="12" s="1"/>
  <c r="S1255" i="12"/>
  <c r="Y1255" i="12" s="1" a="1"/>
  <c r="Y1255" i="12" s="1"/>
  <c r="S1256" i="12"/>
  <c r="Y1256" i="12" s="1" a="1"/>
  <c r="Y1256" i="12" s="1"/>
  <c r="S1257" i="12"/>
  <c r="Y1257" i="12" s="1" a="1"/>
  <c r="Y1257" i="12" s="1"/>
  <c r="S1258" i="12"/>
  <c r="Y1258" i="12" s="1" a="1"/>
  <c r="Y1258" i="12" s="1"/>
  <c r="S1259" i="12"/>
  <c r="Y1259" i="12" s="1" a="1"/>
  <c r="Y1259" i="12" s="1"/>
  <c r="S1260" i="12"/>
  <c r="Y1260" i="12" s="1" a="1"/>
  <c r="Y1260" i="12" s="1"/>
  <c r="S1261" i="12"/>
  <c r="Y1261" i="12" s="1" a="1"/>
  <c r="Y1261" i="12" s="1"/>
  <c r="S1262" i="12"/>
  <c r="Y1262" i="12" s="1" a="1"/>
  <c r="Y1262" i="12" s="1"/>
  <c r="S1263" i="12"/>
  <c r="Y1263" i="12" s="1" a="1"/>
  <c r="Y1263" i="12" s="1"/>
  <c r="S1264" i="12"/>
  <c r="Y1264" i="12" s="1" a="1"/>
  <c r="Y1264" i="12" s="1"/>
  <c r="S1265" i="12"/>
  <c r="Y1265" i="12" s="1" a="1"/>
  <c r="Y1265" i="12" s="1"/>
  <c r="S1266" i="12"/>
  <c r="Y1266" i="12" s="1" a="1"/>
  <c r="Y1266" i="12" s="1"/>
  <c r="S1267" i="12"/>
  <c r="Y1267" i="12" s="1" a="1"/>
  <c r="Y1267" i="12" s="1"/>
  <c r="S1268" i="12"/>
  <c r="Y1268" i="12" s="1" a="1"/>
  <c r="Y1268" i="12" s="1"/>
  <c r="S1269" i="12"/>
  <c r="Y1269" i="12" s="1" a="1"/>
  <c r="Y1269" i="12" s="1"/>
  <c r="S1270" i="12"/>
  <c r="Y1270" i="12" s="1" a="1"/>
  <c r="Y1270" i="12" s="1"/>
  <c r="S1271" i="12"/>
  <c r="Y1271" i="12" s="1" a="1"/>
  <c r="Y1271" i="12" s="1"/>
  <c r="S1272" i="12"/>
  <c r="Y1272" i="12" s="1" a="1"/>
  <c r="Y1272" i="12" s="1"/>
  <c r="S1273" i="12"/>
  <c r="Y1273" i="12" s="1" a="1"/>
  <c r="Y1273" i="12" s="1"/>
  <c r="S1274" i="12"/>
  <c r="Y1274" i="12" s="1" a="1"/>
  <c r="Y1274" i="12" s="1"/>
  <c r="S1275" i="12"/>
  <c r="Y1275" i="12" s="1" a="1"/>
  <c r="Y1275" i="12" s="1"/>
  <c r="S1276" i="12"/>
  <c r="Y1276" i="12" s="1" a="1"/>
  <c r="Y1276" i="12" s="1"/>
  <c r="S1277" i="12"/>
  <c r="Y1277" i="12" s="1" a="1"/>
  <c r="Y1277" i="12" s="1"/>
  <c r="S1278" i="12"/>
  <c r="Y1278" i="12" s="1" a="1"/>
  <c r="Y1278" i="12" s="1"/>
  <c r="S1279" i="12"/>
  <c r="Y1279" i="12" s="1" a="1"/>
  <c r="Y1279" i="12" s="1"/>
  <c r="S1280" i="12"/>
  <c r="Y1280" i="12" s="1" a="1"/>
  <c r="Y1280" i="12" s="1"/>
  <c r="S1281" i="12"/>
  <c r="Y1281" i="12" s="1" a="1"/>
  <c r="Y1281" i="12" s="1"/>
  <c r="S1282" i="12"/>
  <c r="Y1282" i="12" s="1" a="1"/>
  <c r="Y1282" i="12" s="1"/>
  <c r="S1283" i="12"/>
  <c r="Y1283" i="12" s="1" a="1"/>
  <c r="Y1283" i="12" s="1"/>
  <c r="S1284" i="12"/>
  <c r="Y1284" i="12" s="1" a="1"/>
  <c r="Y1284" i="12" s="1"/>
  <c r="S1285" i="12"/>
  <c r="Y1285" i="12" s="1" a="1"/>
  <c r="Y1285" i="12" s="1"/>
  <c r="S1286" i="12"/>
  <c r="Y1286" i="12" s="1" a="1"/>
  <c r="Y1286" i="12" s="1"/>
  <c r="S1287" i="12"/>
  <c r="Y1287" i="12" s="1" a="1"/>
  <c r="Y1287" i="12" s="1"/>
  <c r="S1288" i="12"/>
  <c r="Y1288" i="12" s="1" a="1"/>
  <c r="Y1288" i="12" s="1"/>
  <c r="S1289" i="12"/>
  <c r="Y1289" i="12" s="1" a="1"/>
  <c r="Y1289" i="12" s="1"/>
  <c r="S1290" i="12"/>
  <c r="Y1290" i="12" s="1" a="1"/>
  <c r="Y1290" i="12" s="1"/>
  <c r="S1291" i="12"/>
  <c r="Y1291" i="12" s="1" a="1"/>
  <c r="Y1291" i="12" s="1"/>
  <c r="S1292" i="12"/>
  <c r="Y1292" i="12" s="1" a="1"/>
  <c r="Y1292" i="12" s="1"/>
  <c r="S1293" i="12"/>
  <c r="Y1293" i="12" s="1" a="1"/>
  <c r="Y1293" i="12" s="1"/>
  <c r="S1294" i="12"/>
  <c r="Y1294" i="12" s="1" a="1"/>
  <c r="Y1294" i="12" s="1"/>
  <c r="S1295" i="12"/>
  <c r="Y1295" i="12" s="1" a="1"/>
  <c r="Y1295" i="12" s="1"/>
  <c r="S1296" i="12"/>
  <c r="Y1296" i="12" s="1" a="1"/>
  <c r="Y1296" i="12" s="1"/>
  <c r="S1297" i="12"/>
  <c r="Y1297" i="12" s="1" a="1"/>
  <c r="Y1297" i="12" s="1"/>
  <c r="S1298" i="12"/>
  <c r="Y1298" i="12" s="1" a="1"/>
  <c r="Y1298" i="12" s="1"/>
  <c r="S1299" i="12"/>
  <c r="Y1299" i="12" s="1" a="1"/>
  <c r="Y1299" i="12" s="1"/>
  <c r="S1300" i="12"/>
  <c r="Y1300" i="12" s="1" a="1"/>
  <c r="Y1300" i="12" s="1"/>
  <c r="S1301" i="12"/>
  <c r="Y1301" i="12" s="1" a="1"/>
  <c r="Y1301" i="12" s="1"/>
  <c r="S1302" i="12"/>
  <c r="Y1302" i="12" s="1" a="1"/>
  <c r="Y1302" i="12" s="1"/>
  <c r="S1303" i="12"/>
  <c r="Y1303" i="12" s="1" a="1"/>
  <c r="Y1303" i="12" s="1"/>
  <c r="S1304" i="12"/>
  <c r="Y1304" i="12" s="1" a="1"/>
  <c r="Y1304" i="12" s="1"/>
  <c r="S1305" i="12"/>
  <c r="Y1305" i="12" s="1" a="1"/>
  <c r="Y1305" i="12" s="1"/>
  <c r="S1306" i="12"/>
  <c r="Y1306" i="12" s="1" a="1"/>
  <c r="Y1306" i="12" s="1"/>
  <c r="S1307" i="12"/>
  <c r="Y1307" i="12" s="1" a="1"/>
  <c r="Y1307" i="12" s="1"/>
  <c r="S1308" i="12"/>
  <c r="Y1308" i="12" s="1" a="1"/>
  <c r="Y1308" i="12" s="1"/>
  <c r="S1309" i="12"/>
  <c r="Y1309" i="12" s="1" a="1"/>
  <c r="Y1309" i="12" s="1"/>
  <c r="S1310" i="12"/>
  <c r="Y1310" i="12" s="1" a="1"/>
  <c r="Y1310" i="12" s="1"/>
  <c r="S1311" i="12"/>
  <c r="Y1311" i="12" s="1" a="1"/>
  <c r="Y1311" i="12" s="1"/>
  <c r="S1312" i="12"/>
  <c r="Y1312" i="12" s="1" a="1"/>
  <c r="Y1312" i="12" s="1"/>
  <c r="S1313" i="12"/>
  <c r="Y1313" i="12" s="1" a="1"/>
  <c r="Y1313" i="12" s="1"/>
  <c r="S1314" i="12"/>
  <c r="Y1314" i="12" s="1" a="1"/>
  <c r="Y1314" i="12" s="1"/>
  <c r="S1315" i="12"/>
  <c r="Y1315" i="12" s="1" a="1"/>
  <c r="Y1315" i="12" s="1"/>
  <c r="S1316" i="12"/>
  <c r="Y1316" i="12" s="1" a="1"/>
  <c r="Y1316" i="12" s="1"/>
  <c r="S1317" i="12"/>
  <c r="Y1317" i="12" s="1" a="1"/>
  <c r="Y1317" i="12" s="1"/>
  <c r="S1318" i="12"/>
  <c r="Y1318" i="12" s="1" a="1"/>
  <c r="Y1318" i="12" s="1"/>
  <c r="S1319" i="12"/>
  <c r="Y1319" i="12" s="1" a="1"/>
  <c r="Y1319" i="12" s="1"/>
  <c r="S1320" i="12"/>
  <c r="Y1320" i="12" s="1" a="1"/>
  <c r="Y1320" i="12" s="1"/>
  <c r="S1321" i="12"/>
  <c r="Y1321" i="12" s="1" a="1"/>
  <c r="Y1321" i="12" s="1"/>
  <c r="S1322" i="12"/>
  <c r="Y1322" i="12" s="1" a="1"/>
  <c r="Y1322" i="12" s="1"/>
  <c r="S1323" i="12"/>
  <c r="Y1323" i="12" s="1" a="1"/>
  <c r="Y1323" i="12" s="1"/>
  <c r="S1324" i="12"/>
  <c r="Y1324" i="12" s="1" a="1"/>
  <c r="Y1324" i="12" s="1"/>
  <c r="S1325" i="12"/>
  <c r="Y1325" i="12" s="1" a="1"/>
  <c r="Y1325" i="12" s="1"/>
  <c r="S1326" i="12"/>
  <c r="Y1326" i="12" s="1" a="1"/>
  <c r="Y1326" i="12" s="1"/>
  <c r="S1327" i="12"/>
  <c r="Y1327" i="12" s="1" a="1"/>
  <c r="Y1327" i="12" s="1"/>
  <c r="S1328" i="12"/>
  <c r="Y1328" i="12" s="1" a="1"/>
  <c r="Y1328" i="12" s="1"/>
  <c r="S1329" i="12"/>
  <c r="Y1329" i="12" s="1" a="1"/>
  <c r="Y1329" i="12" s="1"/>
  <c r="S1330" i="12"/>
  <c r="Y1330" i="12" s="1" a="1"/>
  <c r="Y1330" i="12" s="1"/>
  <c r="S1331" i="12"/>
  <c r="Y1331" i="12" s="1" a="1"/>
  <c r="Y1331" i="12" s="1"/>
  <c r="S1332" i="12"/>
  <c r="Y1332" i="12" s="1" a="1"/>
  <c r="Y1332" i="12" s="1"/>
  <c r="S1333" i="12"/>
  <c r="Y1333" i="12" s="1" a="1"/>
  <c r="Y1333" i="12" s="1"/>
  <c r="S1334" i="12"/>
  <c r="Y1334" i="12" s="1" a="1"/>
  <c r="Y1334" i="12" s="1"/>
  <c r="S1335" i="12"/>
  <c r="Y1335" i="12" s="1" a="1"/>
  <c r="Y1335" i="12" s="1"/>
  <c r="S1336" i="12"/>
  <c r="Y1336" i="12" s="1" a="1"/>
  <c r="Y1336" i="12" s="1"/>
  <c r="S1337" i="12"/>
  <c r="Y1337" i="12" s="1" a="1"/>
  <c r="Y1337" i="12" s="1"/>
  <c r="S1338" i="12"/>
  <c r="Y1338" i="12" s="1" a="1"/>
  <c r="Y1338" i="12" s="1"/>
  <c r="S1339" i="12"/>
  <c r="Y1339" i="12" s="1" a="1"/>
  <c r="Y1339" i="12" s="1"/>
  <c r="S1340" i="12"/>
  <c r="Y1340" i="12" s="1" a="1"/>
  <c r="Y1340" i="12" s="1"/>
  <c r="S1341" i="12"/>
  <c r="Y1341" i="12" s="1" a="1"/>
  <c r="Y1341" i="12" s="1"/>
  <c r="S1342" i="12"/>
  <c r="Y1342" i="12" s="1" a="1"/>
  <c r="Y1342" i="12" s="1"/>
  <c r="S1343" i="12"/>
  <c r="Y1343" i="12" s="1" a="1"/>
  <c r="Y1343" i="12" s="1"/>
  <c r="S1344" i="12"/>
  <c r="Y1344" i="12" s="1" a="1"/>
  <c r="Y1344" i="12" s="1"/>
  <c r="S1345" i="12"/>
  <c r="Y1345" i="12" s="1" a="1"/>
  <c r="Y1345" i="12" s="1"/>
  <c r="S1346" i="12"/>
  <c r="Y1346" i="12" s="1" a="1"/>
  <c r="Y1346" i="12" s="1"/>
  <c r="S1347" i="12"/>
  <c r="Y1347" i="12" s="1" a="1"/>
  <c r="Y1347" i="12" s="1"/>
  <c r="S1348" i="12"/>
  <c r="Y1348" i="12" s="1" a="1"/>
  <c r="Y1348" i="12" s="1"/>
  <c r="S1349" i="12"/>
  <c r="Y1349" i="12" s="1" a="1"/>
  <c r="Y1349" i="12" s="1"/>
  <c r="S1350" i="12"/>
  <c r="Y1350" i="12" s="1" a="1"/>
  <c r="Y1350" i="12" s="1"/>
  <c r="S1351" i="12"/>
  <c r="Y1351" i="12" s="1" a="1"/>
  <c r="Y1351" i="12" s="1"/>
  <c r="S1352" i="12"/>
  <c r="Y1352" i="12" s="1" a="1"/>
  <c r="Y1352" i="12" s="1"/>
  <c r="S1353" i="12"/>
  <c r="Y1353" i="12" s="1" a="1"/>
  <c r="Y1353" i="12" s="1"/>
  <c r="S1354" i="12"/>
  <c r="Y1354" i="12" s="1" a="1"/>
  <c r="Y1354" i="12" s="1"/>
  <c r="S1355" i="12"/>
  <c r="Y1355" i="12" s="1" a="1"/>
  <c r="Y1355" i="12" s="1"/>
  <c r="S1356" i="12"/>
  <c r="Y1356" i="12" s="1" a="1"/>
  <c r="Y1356" i="12" s="1"/>
  <c r="S1357" i="12"/>
  <c r="Y1357" i="12" s="1" a="1"/>
  <c r="Y1357" i="12" s="1"/>
  <c r="S1358" i="12"/>
  <c r="Y1358" i="12" s="1" a="1"/>
  <c r="Y1358" i="12" s="1"/>
  <c r="S1359" i="12"/>
  <c r="Y1359" i="12" s="1" a="1"/>
  <c r="Y1359" i="12" s="1"/>
  <c r="S1360" i="12"/>
  <c r="Y1360" i="12" s="1" a="1"/>
  <c r="Y1360" i="12" s="1"/>
  <c r="S1361" i="12"/>
  <c r="Y1361" i="12" s="1" a="1"/>
  <c r="Y1361" i="12" s="1"/>
  <c r="S1362" i="12"/>
  <c r="Y1362" i="12" s="1" a="1"/>
  <c r="Y1362" i="12" s="1"/>
  <c r="S1363" i="12"/>
  <c r="Y1363" i="12" s="1" a="1"/>
  <c r="Y1363" i="12" s="1"/>
  <c r="S1364" i="12"/>
  <c r="Y1364" i="12" s="1" a="1"/>
  <c r="Y1364" i="12" s="1"/>
  <c r="S1365" i="12"/>
  <c r="Y1365" i="12" s="1" a="1"/>
  <c r="Y1365" i="12" s="1"/>
  <c r="S1366" i="12"/>
  <c r="Y1366" i="12" s="1" a="1"/>
  <c r="Y1366" i="12" s="1"/>
  <c r="S1367" i="12"/>
  <c r="Y1367" i="12" s="1" a="1"/>
  <c r="Y1367" i="12" s="1"/>
  <c r="S1368" i="12"/>
  <c r="Y1368" i="12" s="1" a="1"/>
  <c r="Y1368" i="12" s="1"/>
  <c r="S1369" i="12"/>
  <c r="Y1369" i="12" s="1" a="1"/>
  <c r="Y1369" i="12" s="1"/>
  <c r="S1370" i="12"/>
  <c r="Y1370" i="12" s="1" a="1"/>
  <c r="Y1370" i="12" s="1"/>
  <c r="S1371" i="12"/>
  <c r="Y1371" i="12" s="1" a="1"/>
  <c r="Y1371" i="12" s="1"/>
  <c r="S1372" i="12"/>
  <c r="Y1372" i="12" s="1" a="1"/>
  <c r="Y1372" i="12" s="1"/>
  <c r="S1373" i="12"/>
  <c r="Y1373" i="12" s="1" a="1"/>
  <c r="Y1373" i="12" s="1"/>
  <c r="S1374" i="12"/>
  <c r="Y1374" i="12" s="1" a="1"/>
  <c r="Y1374" i="12" s="1"/>
  <c r="S1375" i="12"/>
  <c r="Y1375" i="12" s="1" a="1"/>
  <c r="Y1375" i="12" s="1"/>
  <c r="S1376" i="12"/>
  <c r="Y1376" i="12" s="1" a="1"/>
  <c r="Y1376" i="12" s="1"/>
  <c r="S1377" i="12"/>
  <c r="Y1377" i="12" s="1" a="1"/>
  <c r="Y1377" i="12" s="1"/>
  <c r="S1378" i="12"/>
  <c r="Y1378" i="12" s="1" a="1"/>
  <c r="Y1378" i="12" s="1"/>
  <c r="S1379" i="12"/>
  <c r="Y1379" i="12" s="1" a="1"/>
  <c r="Y1379" i="12" s="1"/>
  <c r="S1380" i="12"/>
  <c r="Y1380" i="12" s="1" a="1"/>
  <c r="Y1380" i="12" s="1"/>
  <c r="S1381" i="12"/>
  <c r="Y1381" i="12" s="1" a="1"/>
  <c r="Y1381" i="12" s="1"/>
  <c r="S1382" i="12"/>
  <c r="Y1382" i="12" s="1" a="1"/>
  <c r="Y1382" i="12" s="1"/>
  <c r="S1383" i="12"/>
  <c r="Y1383" i="12" s="1" a="1"/>
  <c r="Y1383" i="12" s="1"/>
  <c r="S1384" i="12"/>
  <c r="Y1384" i="12" s="1" a="1"/>
  <c r="Y1384" i="12" s="1"/>
  <c r="S1385" i="12"/>
  <c r="Y1385" i="12" s="1" a="1"/>
  <c r="Y1385" i="12" s="1"/>
  <c r="S1386" i="12"/>
  <c r="Y1386" i="12" s="1" a="1"/>
  <c r="Y1386" i="12" s="1"/>
  <c r="S1387" i="12"/>
  <c r="Y1387" i="12" s="1" a="1"/>
  <c r="Y1387" i="12" s="1"/>
  <c r="S1388" i="12"/>
  <c r="Y1388" i="12" s="1" a="1"/>
  <c r="Y1388" i="12" s="1"/>
  <c r="S1389" i="12"/>
  <c r="Y1389" i="12" s="1" a="1"/>
  <c r="Y1389" i="12" s="1"/>
  <c r="S1390" i="12"/>
  <c r="Y1390" i="12" s="1" a="1"/>
  <c r="Y1390" i="12" s="1"/>
  <c r="S1391" i="12"/>
  <c r="Y1391" i="12" s="1" a="1"/>
  <c r="Y1391" i="12" s="1"/>
  <c r="S1392" i="12"/>
  <c r="Y1392" i="12" s="1" a="1"/>
  <c r="Y1392" i="12" s="1"/>
  <c r="S1393" i="12"/>
  <c r="Y1393" i="12" s="1" a="1"/>
  <c r="Y1393" i="12" s="1"/>
  <c r="S1394" i="12"/>
  <c r="Y1394" i="12" s="1" a="1"/>
  <c r="Y1394" i="12" s="1"/>
  <c r="S1395" i="12"/>
  <c r="Y1395" i="12" s="1" a="1"/>
  <c r="Y1395" i="12" s="1"/>
  <c r="S1396" i="12"/>
  <c r="Y1396" i="12" s="1" a="1"/>
  <c r="Y1396" i="12" s="1"/>
  <c r="S1397" i="12"/>
  <c r="Y1397" i="12" s="1" a="1"/>
  <c r="Y1397" i="12" s="1"/>
  <c r="S1398" i="12"/>
  <c r="Y1398" i="12" s="1" a="1"/>
  <c r="Y1398" i="12" s="1"/>
  <c r="S1399" i="12"/>
  <c r="Y1399" i="12" s="1" a="1"/>
  <c r="Y1399" i="12" s="1"/>
  <c r="S1400" i="12"/>
  <c r="Y1400" i="12" s="1" a="1"/>
  <c r="Y1400" i="12" s="1"/>
  <c r="S1401" i="12"/>
  <c r="Y1401" i="12" s="1" a="1"/>
  <c r="Y1401" i="12" s="1"/>
  <c r="S1402" i="12"/>
  <c r="Y1402" i="12" s="1" a="1"/>
  <c r="Y1402" i="12" s="1"/>
  <c r="S1403" i="12"/>
  <c r="Y1403" i="12" s="1" a="1"/>
  <c r="Y1403" i="12" s="1"/>
  <c r="S1404" i="12"/>
  <c r="Y1404" i="12" s="1" a="1"/>
  <c r="Y1404" i="12" s="1"/>
  <c r="S1405" i="12"/>
  <c r="Y1405" i="12" s="1" a="1"/>
  <c r="Y1405" i="12" s="1"/>
  <c r="S1406" i="12"/>
  <c r="Y1406" i="12" s="1" a="1"/>
  <c r="Y1406" i="12" s="1"/>
  <c r="S1407" i="12"/>
  <c r="Y1407" i="12" s="1" a="1"/>
  <c r="Y1407" i="12" s="1"/>
  <c r="S1408" i="12"/>
  <c r="Y1408" i="12" s="1" a="1"/>
  <c r="Y1408" i="12" s="1"/>
  <c r="S1409" i="12"/>
  <c r="Y1409" i="12" s="1" a="1"/>
  <c r="Y1409" i="12" s="1"/>
  <c r="S1410" i="12"/>
  <c r="Y1410" i="12" s="1" a="1"/>
  <c r="Y1410" i="12" s="1"/>
  <c r="S1411" i="12"/>
  <c r="Y1411" i="12" s="1" a="1"/>
  <c r="Y1411" i="12" s="1"/>
  <c r="S1412" i="12"/>
  <c r="Y1412" i="12" s="1" a="1"/>
  <c r="Y1412" i="12" s="1"/>
  <c r="S1413" i="12"/>
  <c r="Y1413" i="12" s="1" a="1"/>
  <c r="Y1413" i="12" s="1"/>
  <c r="S1414" i="12"/>
  <c r="Y1414" i="12" s="1" a="1"/>
  <c r="Y1414" i="12" s="1"/>
  <c r="S1415" i="12"/>
  <c r="Y1415" i="12" s="1" a="1"/>
  <c r="Y1415" i="12" s="1"/>
  <c r="S1416" i="12"/>
  <c r="Y1416" i="12" s="1" a="1"/>
  <c r="Y1416" i="12" s="1"/>
  <c r="S1417" i="12"/>
  <c r="Y1417" i="12" s="1" a="1"/>
  <c r="Y1417" i="12" s="1"/>
  <c r="S1418" i="12"/>
  <c r="Y1418" i="12" s="1" a="1"/>
  <c r="Y1418" i="12" s="1"/>
  <c r="S1419" i="12"/>
  <c r="Y1419" i="12" s="1" a="1"/>
  <c r="Y1419" i="12" s="1"/>
  <c r="S1420" i="12"/>
  <c r="Y1420" i="12" s="1" a="1"/>
  <c r="Y1420" i="12" s="1"/>
  <c r="S1421" i="12"/>
  <c r="Y1421" i="12" s="1" a="1"/>
  <c r="Y1421" i="12" s="1"/>
  <c r="S1422" i="12"/>
  <c r="Y1422" i="12" s="1" a="1"/>
  <c r="Y1422" i="12" s="1"/>
  <c r="S1423" i="12"/>
  <c r="Y1423" i="12" s="1" a="1"/>
  <c r="Y1423" i="12" s="1"/>
  <c r="S1424" i="12"/>
  <c r="Y1424" i="12" s="1" a="1"/>
  <c r="Y1424" i="12" s="1"/>
  <c r="S1425" i="12"/>
  <c r="Y1425" i="12" s="1" a="1"/>
  <c r="Y1425" i="12" s="1"/>
  <c r="S1426" i="12"/>
  <c r="Y1426" i="12" s="1" a="1"/>
  <c r="Y1426" i="12" s="1"/>
  <c r="S1427" i="12"/>
  <c r="Y1427" i="12" s="1" a="1"/>
  <c r="Y1427" i="12" s="1"/>
  <c r="S1428" i="12"/>
  <c r="Y1428" i="12" s="1" a="1"/>
  <c r="Y1428" i="12" s="1"/>
  <c r="S1429" i="12"/>
  <c r="Y1429" i="12" s="1" a="1"/>
  <c r="Y1429" i="12" s="1"/>
  <c r="S1430" i="12"/>
  <c r="Y1430" i="12" s="1" a="1"/>
  <c r="Y1430" i="12" s="1"/>
  <c r="S1431" i="12"/>
  <c r="Y1431" i="12" s="1" a="1"/>
  <c r="Y1431" i="12" s="1"/>
  <c r="S1432" i="12"/>
  <c r="Y1432" i="12" s="1" a="1"/>
  <c r="Y1432" i="12" s="1"/>
  <c r="S1433" i="12"/>
  <c r="Y1433" i="12" s="1" a="1"/>
  <c r="Y1433" i="12" s="1"/>
  <c r="S1434" i="12"/>
  <c r="Y1434" i="12" s="1" a="1"/>
  <c r="Y1434" i="12" s="1"/>
  <c r="S1435" i="12"/>
  <c r="Y1435" i="12" s="1" a="1"/>
  <c r="Y1435" i="12" s="1"/>
  <c r="S1436" i="12"/>
  <c r="Y1436" i="12" s="1" a="1"/>
  <c r="Y1436" i="12" s="1"/>
  <c r="S1437" i="12"/>
  <c r="Y1437" i="12" s="1" a="1"/>
  <c r="Y1437" i="12" s="1"/>
  <c r="S1438" i="12"/>
  <c r="Y1438" i="12" s="1" a="1"/>
  <c r="Y1438" i="12" s="1"/>
  <c r="S1439" i="12"/>
  <c r="Y1439" i="12" s="1" a="1"/>
  <c r="Y1439" i="12" s="1"/>
  <c r="S1440" i="12"/>
  <c r="Y1440" i="12" s="1" a="1"/>
  <c r="Y1440" i="12" s="1"/>
  <c r="S1441" i="12"/>
  <c r="Y1441" i="12" s="1" a="1"/>
  <c r="Y1441" i="12" s="1"/>
  <c r="S1442" i="12"/>
  <c r="Y1442" i="12" s="1" a="1"/>
  <c r="Y1442" i="12" s="1"/>
  <c r="S1443" i="12"/>
  <c r="Y1443" i="12" s="1" a="1"/>
  <c r="Y1443" i="12" s="1"/>
  <c r="S1444" i="12"/>
  <c r="Y1444" i="12" s="1" a="1"/>
  <c r="Y1444" i="12" s="1"/>
  <c r="S1445" i="12"/>
  <c r="Y1445" i="12" s="1" a="1"/>
  <c r="Y1445" i="12" s="1"/>
  <c r="S1446" i="12"/>
  <c r="Y1446" i="12" s="1" a="1"/>
  <c r="Y1446" i="12" s="1"/>
  <c r="S1447" i="12"/>
  <c r="Y1447" i="12" s="1" a="1"/>
  <c r="Y1447" i="12" s="1"/>
  <c r="S1448" i="12"/>
  <c r="Y1448" i="12" s="1" a="1"/>
  <c r="Y1448" i="12" s="1"/>
  <c r="S1449" i="12"/>
  <c r="Y1449" i="12" s="1" a="1"/>
  <c r="Y1449" i="12" s="1"/>
  <c r="S1450" i="12"/>
  <c r="Y1450" i="12" s="1" a="1"/>
  <c r="Y1450" i="12" s="1"/>
  <c r="S1451" i="12"/>
  <c r="Y1451" i="12" s="1" a="1"/>
  <c r="Y1451" i="12" s="1"/>
  <c r="S1452" i="12"/>
  <c r="Y1452" i="12" s="1" a="1"/>
  <c r="Y1452" i="12" s="1"/>
  <c r="S1453" i="12"/>
  <c r="Y1453" i="12" s="1" a="1"/>
  <c r="Y1453" i="12" s="1"/>
  <c r="S1454" i="12"/>
  <c r="Y1454" i="12" s="1" a="1"/>
  <c r="Y1454" i="12" s="1"/>
  <c r="S1455" i="12"/>
  <c r="Y1455" i="12" s="1" a="1"/>
  <c r="Y1455" i="12" s="1"/>
  <c r="S1456" i="12"/>
  <c r="Y1456" i="12" s="1" a="1"/>
  <c r="Y1456" i="12" s="1"/>
  <c r="S1457" i="12"/>
  <c r="Y1457" i="12" s="1" a="1"/>
  <c r="Y1457" i="12" s="1"/>
  <c r="S1458" i="12"/>
  <c r="Y1458" i="12" s="1" a="1"/>
  <c r="Y1458" i="12" s="1"/>
  <c r="S1459" i="12"/>
  <c r="Y1459" i="12" s="1" a="1"/>
  <c r="Y1459" i="12" s="1"/>
  <c r="S1460" i="12"/>
  <c r="Y1460" i="12" s="1" a="1"/>
  <c r="Y1460" i="12" s="1"/>
  <c r="S1461" i="12"/>
  <c r="Y1461" i="12" s="1" a="1"/>
  <c r="Y1461" i="12" s="1"/>
  <c r="S1462" i="12"/>
  <c r="Y1462" i="12" s="1" a="1"/>
  <c r="Y1462" i="12" s="1"/>
  <c r="S1463" i="12"/>
  <c r="Y1463" i="12" s="1" a="1"/>
  <c r="Y1463" i="12" s="1"/>
  <c r="S1464" i="12"/>
  <c r="Y1464" i="12" s="1" a="1"/>
  <c r="Y1464" i="12" s="1"/>
  <c r="S1465" i="12"/>
  <c r="Y1465" i="12" s="1" a="1"/>
  <c r="Y1465" i="12" s="1"/>
  <c r="S1466" i="12"/>
  <c r="Y1466" i="12" s="1" a="1"/>
  <c r="Y1466" i="12" s="1"/>
  <c r="S1467" i="12"/>
  <c r="Y1467" i="12" s="1" a="1"/>
  <c r="Y1467" i="12" s="1"/>
  <c r="S1468" i="12"/>
  <c r="Y1468" i="12" s="1" a="1"/>
  <c r="Y1468" i="12" s="1"/>
  <c r="S1469" i="12"/>
  <c r="Y1469" i="12" s="1" a="1"/>
  <c r="Y1469" i="12" s="1"/>
  <c r="S1470" i="12"/>
  <c r="Y1470" i="12" s="1" a="1"/>
  <c r="Y1470" i="12" s="1"/>
  <c r="S1471" i="12"/>
  <c r="Y1471" i="12" s="1" a="1"/>
  <c r="Y1471" i="12" s="1"/>
  <c r="S1472" i="12"/>
  <c r="Y1472" i="12" s="1" a="1"/>
  <c r="Y1472" i="12" s="1"/>
  <c r="S1473" i="12"/>
  <c r="Y1473" i="12" s="1" a="1"/>
  <c r="Y1473" i="12" s="1"/>
  <c r="S1474" i="12"/>
  <c r="Y1474" i="12" s="1" a="1"/>
  <c r="Y1474" i="12" s="1"/>
  <c r="S1475" i="12"/>
  <c r="Y1475" i="12" s="1" a="1"/>
  <c r="Y1475" i="12" s="1"/>
  <c r="S1476" i="12"/>
  <c r="Y1476" i="12" s="1" a="1"/>
  <c r="Y1476" i="12" s="1"/>
  <c r="S1477" i="12"/>
  <c r="Y1477" i="12" s="1" a="1"/>
  <c r="Y1477" i="12" s="1"/>
  <c r="S1478" i="12"/>
  <c r="Y1478" i="12" s="1" a="1"/>
  <c r="Y1478" i="12" s="1"/>
  <c r="S1479" i="12"/>
  <c r="Y1479" i="12" s="1" a="1"/>
  <c r="Y1479" i="12" s="1"/>
  <c r="S1480" i="12"/>
  <c r="Y1480" i="12" s="1" a="1"/>
  <c r="Y1480" i="12" s="1"/>
  <c r="S1481" i="12"/>
  <c r="Y1481" i="12" s="1" a="1"/>
  <c r="Y1481" i="12" s="1"/>
  <c r="S1482" i="12"/>
  <c r="Y1482" i="12" s="1" a="1"/>
  <c r="Y1482" i="12" s="1"/>
  <c r="S1483" i="12"/>
  <c r="Y1483" i="12" s="1" a="1"/>
  <c r="Y1483" i="12" s="1"/>
  <c r="S1484" i="12"/>
  <c r="Y1484" i="12" s="1" a="1"/>
  <c r="Y1484" i="12" s="1"/>
  <c r="S3" i="12"/>
  <c r="Y3" i="12" s="1" a="1"/>
  <c r="Y3" i="12" s="1"/>
  <c r="T4" i="12" l="1"/>
  <c r="T124" i="12"/>
  <c r="T108" i="12"/>
  <c r="T92" i="12"/>
  <c r="T76" i="12"/>
  <c r="T60" i="12"/>
  <c r="T44" i="12"/>
  <c r="T28" i="12"/>
  <c r="T12" i="12"/>
  <c r="T132" i="12"/>
  <c r="T116" i="12"/>
  <c r="T100" i="12"/>
  <c r="T84" i="12"/>
  <c r="T68" i="12"/>
  <c r="T52" i="12"/>
  <c r="T36" i="12"/>
  <c r="T20" i="12"/>
  <c r="Y222" i="12" a="1"/>
  <c r="Y222" i="12" s="1"/>
  <c r="T222" i="12"/>
  <c r="Y218" i="12" a="1"/>
  <c r="Y218" i="12" s="1"/>
  <c r="T218" i="12"/>
  <c r="Y214" i="12" a="1"/>
  <c r="Y214" i="12" s="1"/>
  <c r="T214" i="12"/>
  <c r="Y210" i="12" a="1"/>
  <c r="Y210" i="12" s="1"/>
  <c r="T210" i="12"/>
  <c r="Y206" i="12" a="1"/>
  <c r="Y206" i="12" s="1"/>
  <c r="T206" i="12"/>
  <c r="Y202" i="12" a="1"/>
  <c r="Y202" i="12" s="1"/>
  <c r="T202" i="12"/>
  <c r="Y198" i="12" a="1"/>
  <c r="Y198" i="12" s="1"/>
  <c r="T198" i="12"/>
  <c r="Y194" i="12" a="1"/>
  <c r="Y194" i="12" s="1"/>
  <c r="T194" i="12"/>
  <c r="Y190" i="12" a="1"/>
  <c r="Y190" i="12" s="1"/>
  <c r="T190" i="12"/>
  <c r="Y186" i="12" a="1"/>
  <c r="Y186" i="12" s="1"/>
  <c r="T186" i="12"/>
  <c r="Y182" i="12" a="1"/>
  <c r="Y182" i="12" s="1"/>
  <c r="T182" i="12"/>
  <c r="Y178" i="12" a="1"/>
  <c r="Y178" i="12" s="1"/>
  <c r="T178" i="12"/>
  <c r="Y174" i="12" a="1"/>
  <c r="Y174" i="12" s="1"/>
  <c r="T174" i="12"/>
  <c r="Y170" i="12" a="1"/>
  <c r="Y170" i="12" s="1"/>
  <c r="T170" i="12"/>
  <c r="Y166" i="12" a="1"/>
  <c r="Y166" i="12" s="1"/>
  <c r="T166" i="12"/>
  <c r="Y162" i="12" a="1"/>
  <c r="Y162" i="12" s="1"/>
  <c r="T162" i="12"/>
  <c r="Y158" i="12" a="1"/>
  <c r="Y158" i="12" s="1"/>
  <c r="T158" i="12"/>
  <c r="Y154" i="12" a="1"/>
  <c r="Y154" i="12" s="1"/>
  <c r="T154" i="12"/>
  <c r="Y150" i="12" a="1"/>
  <c r="Y150" i="12" s="1"/>
  <c r="T150" i="12"/>
  <c r="Y146" i="12" a="1"/>
  <c r="Y146" i="12" s="1"/>
  <c r="T146" i="12"/>
  <c r="Y142" i="12" a="1"/>
  <c r="Y142" i="12" s="1"/>
  <c r="T142" i="12"/>
  <c r="Y138" i="12" a="1"/>
  <c r="Y138" i="12" s="1"/>
  <c r="T138" i="12"/>
  <c r="Y134" i="12" a="1"/>
  <c r="Y134" i="12" s="1"/>
  <c r="T134" i="12"/>
  <c r="Y130" i="12" a="1"/>
  <c r="Y130" i="12" s="1"/>
  <c r="T130" i="12"/>
  <c r="Y126" i="12" a="1"/>
  <c r="Y126" i="12" s="1"/>
  <c r="T126" i="12"/>
  <c r="Y122" i="12" a="1"/>
  <c r="Y122" i="12" s="1"/>
  <c r="T122" i="12"/>
  <c r="Y118" i="12" a="1"/>
  <c r="Y118" i="12" s="1"/>
  <c r="T118" i="12"/>
  <c r="Y114" i="12" a="1"/>
  <c r="Y114" i="12" s="1"/>
  <c r="T114" i="12"/>
  <c r="Y110" i="12" a="1"/>
  <c r="Y110" i="12" s="1"/>
  <c r="T110" i="12"/>
  <c r="Y106" i="12" a="1"/>
  <c r="Y106" i="12" s="1"/>
  <c r="T106" i="12"/>
  <c r="Y102" i="12" a="1"/>
  <c r="Y102" i="12" s="1"/>
  <c r="T102" i="12"/>
  <c r="Y98" i="12" a="1"/>
  <c r="Y98" i="12" s="1"/>
  <c r="T98" i="12"/>
  <c r="Y94" i="12" a="1"/>
  <c r="Y94" i="12" s="1"/>
  <c r="T94" i="12"/>
  <c r="Y90" i="12" a="1"/>
  <c r="Y90" i="12" s="1"/>
  <c r="T90" i="12"/>
  <c r="Y86" i="12" a="1"/>
  <c r="Y86" i="12" s="1"/>
  <c r="T86" i="12"/>
  <c r="Y82" i="12" a="1"/>
  <c r="Y82" i="12" s="1"/>
  <c r="T82" i="12"/>
  <c r="Y78" i="12" a="1"/>
  <c r="Y78" i="12" s="1"/>
  <c r="T78" i="12"/>
  <c r="Y74" i="12" a="1"/>
  <c r="Y74" i="12" s="1"/>
  <c r="T74" i="12"/>
  <c r="Y70" i="12" a="1"/>
  <c r="Y70" i="12" s="1"/>
  <c r="T70" i="12"/>
  <c r="Y66" i="12" a="1"/>
  <c r="Y66" i="12" s="1"/>
  <c r="T66" i="12"/>
  <c r="Y62" i="12" a="1"/>
  <c r="Y62" i="12" s="1"/>
  <c r="T62" i="12"/>
  <c r="Y58" i="12" a="1"/>
  <c r="Y58" i="12" s="1"/>
  <c r="T58" i="12"/>
  <c r="Y54" i="12" a="1"/>
  <c r="Y54" i="12" s="1"/>
  <c r="T54" i="12"/>
  <c r="Y50" i="12" a="1"/>
  <c r="Y50" i="12" s="1"/>
  <c r="T50" i="12"/>
  <c r="Y46" i="12" a="1"/>
  <c r="Y46" i="12" s="1"/>
  <c r="T46" i="12"/>
  <c r="Y42" i="12" a="1"/>
  <c r="Y42" i="12" s="1"/>
  <c r="T42" i="12"/>
  <c r="Y38" i="12" a="1"/>
  <c r="Y38" i="12" s="1"/>
  <c r="T38" i="12"/>
  <c r="Y34" i="12" a="1"/>
  <c r="Y34" i="12" s="1"/>
  <c r="T34" i="12"/>
  <c r="Y30" i="12" a="1"/>
  <c r="Y30" i="12" s="1"/>
  <c r="T30" i="12"/>
  <c r="Y26" i="12" a="1"/>
  <c r="Y26" i="12" s="1"/>
  <c r="T26" i="12"/>
  <c r="Y22" i="12" a="1"/>
  <c r="Y22" i="12" s="1"/>
  <c r="T22" i="12"/>
  <c r="Y18" i="12" a="1"/>
  <c r="Y18" i="12" s="1"/>
  <c r="T18" i="12"/>
  <c r="Y14" i="12" a="1"/>
  <c r="Y14" i="12" s="1"/>
  <c r="T14" i="12"/>
  <c r="Y10" i="12" a="1"/>
  <c r="Y10" i="12" s="1"/>
  <c r="T10" i="12"/>
  <c r="Y6" i="12" a="1"/>
  <c r="Y6" i="12" s="1"/>
  <c r="T6" i="12"/>
  <c r="T1484" i="12"/>
  <c r="T1482" i="12"/>
  <c r="T1480" i="12"/>
  <c r="T1478" i="12"/>
  <c r="T1476" i="12"/>
  <c r="T1474" i="12"/>
  <c r="T1472" i="12"/>
  <c r="T1470" i="12"/>
  <c r="T1468" i="12"/>
  <c r="T1466" i="12"/>
  <c r="T1464" i="12"/>
  <c r="T1462" i="12"/>
  <c r="T1460" i="12"/>
  <c r="T1458" i="12"/>
  <c r="T1456" i="12"/>
  <c r="T1454" i="12"/>
  <c r="T1452" i="12"/>
  <c r="T1450" i="12"/>
  <c r="T1448" i="12"/>
  <c r="T1446" i="12"/>
  <c r="T1444" i="12"/>
  <c r="T1442" i="12"/>
  <c r="T1440" i="12"/>
  <c r="T1438" i="12"/>
  <c r="T1436" i="12"/>
  <c r="T1434" i="12"/>
  <c r="T1432" i="12"/>
  <c r="T1430" i="12"/>
  <c r="T1428" i="12"/>
  <c r="T1426" i="12"/>
  <c r="T1424" i="12"/>
  <c r="T1422" i="12"/>
  <c r="T1420" i="12"/>
  <c r="T1418" i="12"/>
  <c r="T1416" i="12"/>
  <c r="T1414" i="12"/>
  <c r="T1412" i="12"/>
  <c r="T1410" i="12"/>
  <c r="T1408" i="12"/>
  <c r="T1406" i="12"/>
  <c r="T1404" i="12"/>
  <c r="T1402" i="12"/>
  <c r="T1400" i="12"/>
  <c r="T1398" i="12"/>
  <c r="T1396" i="12"/>
  <c r="T1394" i="12"/>
  <c r="T1392" i="12"/>
  <c r="T1390" i="12"/>
  <c r="T1388" i="12"/>
  <c r="T1386" i="12"/>
  <c r="T1384" i="12"/>
  <c r="T1382" i="12"/>
  <c r="T1380" i="12"/>
  <c r="T1378" i="12"/>
  <c r="T1376" i="12"/>
  <c r="T1374" i="12"/>
  <c r="T1372" i="12"/>
  <c r="T1370" i="12"/>
  <c r="T1368" i="12"/>
  <c r="T1366" i="12"/>
  <c r="T1364" i="12"/>
  <c r="T1362" i="12"/>
  <c r="T1360" i="12"/>
  <c r="T1358" i="12"/>
  <c r="T1356" i="12"/>
  <c r="T1354" i="12"/>
  <c r="T1352" i="12"/>
  <c r="T1350" i="12"/>
  <c r="T1348" i="12"/>
  <c r="T1346" i="12"/>
  <c r="T1344" i="12"/>
  <c r="T1342" i="12"/>
  <c r="T1340" i="12"/>
  <c r="T1338" i="12"/>
  <c r="T1336" i="12"/>
  <c r="T1334" i="12"/>
  <c r="T1332" i="12"/>
  <c r="T1330" i="12"/>
  <c r="T1328" i="12"/>
  <c r="T1326" i="12"/>
  <c r="T1324" i="12"/>
  <c r="T1322" i="12"/>
  <c r="T1320" i="12"/>
  <c r="T1318" i="12"/>
  <c r="T1316" i="12"/>
  <c r="T1314" i="12"/>
  <c r="T1312" i="12"/>
  <c r="T1310" i="12"/>
  <c r="T1308" i="12"/>
  <c r="T1306" i="12"/>
  <c r="T1304" i="12"/>
  <c r="T1302" i="12"/>
  <c r="T1300" i="12"/>
  <c r="T1298" i="12"/>
  <c r="T1296" i="12"/>
  <c r="T1294" i="12"/>
  <c r="T1292" i="12"/>
  <c r="T1290" i="12"/>
  <c r="T1288" i="12"/>
  <c r="T1286" i="12"/>
  <c r="T1284" i="12"/>
  <c r="T1282" i="12"/>
  <c r="T1280" i="12"/>
  <c r="T1278" i="12"/>
  <c r="T1276" i="12"/>
  <c r="T1274" i="12"/>
  <c r="T1272" i="12"/>
  <c r="T1270" i="12"/>
  <c r="T1268" i="12"/>
  <c r="T1266" i="12"/>
  <c r="T1264" i="12"/>
  <c r="T1262" i="12"/>
  <c r="T1260" i="12"/>
  <c r="T1258" i="12"/>
  <c r="T1256" i="12"/>
  <c r="T1254" i="12"/>
  <c r="T1252" i="12"/>
  <c r="T1250" i="12"/>
  <c r="T1248" i="12"/>
  <c r="T1246" i="12"/>
  <c r="T1244" i="12"/>
  <c r="T1242" i="12"/>
  <c r="T1240" i="12"/>
  <c r="T1238" i="12"/>
  <c r="T1236" i="12"/>
  <c r="T1234" i="12"/>
  <c r="T1232" i="12"/>
  <c r="T1230" i="12"/>
  <c r="T1228" i="12"/>
  <c r="T1226" i="12"/>
  <c r="T1224" i="12"/>
  <c r="T1222" i="12"/>
  <c r="T1220" i="12"/>
  <c r="T1218" i="12"/>
  <c r="T1216" i="12"/>
  <c r="T1214" i="12"/>
  <c r="T1212" i="12"/>
  <c r="T1210" i="12"/>
  <c r="T1208" i="12"/>
  <c r="T1206" i="12"/>
  <c r="T1204" i="12"/>
  <c r="T1202" i="12"/>
  <c r="T1200" i="12"/>
  <c r="T1198" i="12"/>
  <c r="T1196" i="12"/>
  <c r="T1194" i="12"/>
  <c r="T1192" i="12"/>
  <c r="T1190" i="12"/>
  <c r="T1188" i="12"/>
  <c r="T1186" i="12"/>
  <c r="T1184" i="12"/>
  <c r="T1182" i="12"/>
  <c r="T1180" i="12"/>
  <c r="T1178" i="12"/>
  <c r="T1176" i="12"/>
  <c r="T1174" i="12"/>
  <c r="T1172" i="12"/>
  <c r="T1170" i="12"/>
  <c r="T1168" i="12"/>
  <c r="T1166" i="12"/>
  <c r="T1164" i="12"/>
  <c r="T1162" i="12"/>
  <c r="T1160" i="12"/>
  <c r="T1158" i="12"/>
  <c r="T1156" i="12"/>
  <c r="T1154" i="12"/>
  <c r="T1152" i="12"/>
  <c r="T1150" i="12"/>
  <c r="T1148" i="12"/>
  <c r="T1146" i="12"/>
  <c r="T1144" i="12"/>
  <c r="T1142" i="12"/>
  <c r="T1140" i="12"/>
  <c r="T1138" i="12"/>
  <c r="T1136" i="12"/>
  <c r="T1134" i="12"/>
  <c r="T1132" i="12"/>
  <c r="T1130" i="12"/>
  <c r="T1128" i="12"/>
  <c r="T1126" i="12"/>
  <c r="T1124" i="12"/>
  <c r="T1122" i="12"/>
  <c r="T1120" i="12"/>
  <c r="T1118" i="12"/>
  <c r="T1116" i="12"/>
  <c r="T1114" i="12"/>
  <c r="T1112" i="12"/>
  <c r="T1110" i="12"/>
  <c r="T1108" i="12"/>
  <c r="T1106" i="12"/>
  <c r="T1104" i="12"/>
  <c r="T1102" i="12"/>
  <c r="T1100" i="12"/>
  <c r="T1098" i="12"/>
  <c r="T1096" i="12"/>
  <c r="T1094" i="12"/>
  <c r="T1092" i="12"/>
  <c r="T1090" i="12"/>
  <c r="T1088" i="12"/>
  <c r="T1086" i="12"/>
  <c r="T1084" i="12"/>
  <c r="T1082" i="12"/>
  <c r="T1080" i="12"/>
  <c r="T1078" i="12"/>
  <c r="T1076" i="12"/>
  <c r="T1074" i="12"/>
  <c r="T1072" i="12"/>
  <c r="T1070" i="12"/>
  <c r="T1068" i="12"/>
  <c r="T1066" i="12"/>
  <c r="T1064" i="12"/>
  <c r="T1062" i="12"/>
  <c r="T1060" i="12"/>
  <c r="T1058" i="12"/>
  <c r="T1056" i="12"/>
  <c r="T1054" i="12"/>
  <c r="T1052" i="12"/>
  <c r="T1050" i="12"/>
  <c r="T1048" i="12"/>
  <c r="T1046" i="12"/>
  <c r="T1044" i="12"/>
  <c r="T1042" i="12"/>
  <c r="T1040" i="12"/>
  <c r="T1038" i="12"/>
  <c r="T1036" i="12"/>
  <c r="T1034" i="12"/>
  <c r="T1032" i="12"/>
  <c r="T1030" i="12"/>
  <c r="T1028" i="12"/>
  <c r="T1026" i="12"/>
  <c r="T1024" i="12"/>
  <c r="T1022" i="12"/>
  <c r="T1020" i="12"/>
  <c r="T1018" i="12"/>
  <c r="T1016" i="12"/>
  <c r="T1014" i="12"/>
  <c r="T1012" i="12"/>
  <c r="T1010" i="12"/>
  <c r="T1008" i="12"/>
  <c r="T1006" i="12"/>
  <c r="T1004" i="12"/>
  <c r="T1002" i="12"/>
  <c r="T1000" i="12"/>
  <c r="T998" i="12"/>
  <c r="T996" i="12"/>
  <c r="T994" i="12"/>
  <c r="T992" i="12"/>
  <c r="T990" i="12"/>
  <c r="T988" i="12"/>
  <c r="T986" i="12"/>
  <c r="T984" i="12"/>
  <c r="T982" i="12"/>
  <c r="T980" i="12"/>
  <c r="T978" i="12"/>
  <c r="T976" i="12"/>
  <c r="T974" i="12"/>
  <c r="T972" i="12"/>
  <c r="T970" i="12"/>
  <c r="T968" i="12"/>
  <c r="T966" i="12"/>
  <c r="T964" i="12"/>
  <c r="T962" i="12"/>
  <c r="T960" i="12"/>
  <c r="T958" i="12"/>
  <c r="T956" i="12"/>
  <c r="T954" i="12"/>
  <c r="T952" i="12"/>
  <c r="T950" i="12"/>
  <c r="T948" i="12"/>
  <c r="T946" i="12"/>
  <c r="T944" i="12"/>
  <c r="T942" i="12"/>
  <c r="T940" i="12"/>
  <c r="T938" i="12"/>
  <c r="T936" i="12"/>
  <c r="T934" i="12"/>
  <c r="T932" i="12"/>
  <c r="T930" i="12"/>
  <c r="T928" i="12"/>
  <c r="T926" i="12"/>
  <c r="T924" i="12"/>
  <c r="T922" i="12"/>
  <c r="T920" i="12"/>
  <c r="T918" i="12"/>
  <c r="T916" i="12"/>
  <c r="T914" i="12"/>
  <c r="T912" i="12"/>
  <c r="T910" i="12"/>
  <c r="T908" i="12"/>
  <c r="T906" i="12"/>
  <c r="T904" i="12"/>
  <c r="T902" i="12"/>
  <c r="T900" i="12"/>
  <c r="T898" i="12"/>
  <c r="T896" i="12"/>
  <c r="T894" i="12"/>
  <c r="T892" i="12"/>
  <c r="T890" i="12"/>
  <c r="T888" i="12"/>
  <c r="T886" i="12"/>
  <c r="T884" i="12"/>
  <c r="T882" i="12"/>
  <c r="T880" i="12"/>
  <c r="T878" i="12"/>
  <c r="T876" i="12"/>
  <c r="T874" i="12"/>
  <c r="T872" i="12"/>
  <c r="T870" i="12"/>
  <c r="T868" i="12"/>
  <c r="T866" i="12"/>
  <c r="T864" i="12"/>
  <c r="T862" i="12"/>
  <c r="T860" i="12"/>
  <c r="T858" i="12"/>
  <c r="T856" i="12"/>
  <c r="T854" i="12"/>
  <c r="T852" i="12"/>
  <c r="T850" i="12"/>
  <c r="T848" i="12"/>
  <c r="T846" i="12"/>
  <c r="T844" i="12"/>
  <c r="T842" i="12"/>
  <c r="T840" i="12"/>
  <c r="T838" i="12"/>
  <c r="T836" i="12"/>
  <c r="T834" i="12"/>
  <c r="T832" i="12"/>
  <c r="T830" i="12"/>
  <c r="T828" i="12"/>
  <c r="T826" i="12"/>
  <c r="T824" i="12"/>
  <c r="T822" i="12"/>
  <c r="T820" i="12"/>
  <c r="T818" i="12"/>
  <c r="T816" i="12"/>
  <c r="T814" i="12"/>
  <c r="T812" i="12"/>
  <c r="T810" i="12"/>
  <c r="T808" i="12"/>
  <c r="T806" i="12"/>
  <c r="T804" i="12"/>
  <c r="T802" i="12"/>
  <c r="T800" i="12"/>
  <c r="T798" i="12"/>
  <c r="T796" i="12"/>
  <c r="T792" i="12"/>
  <c r="T788" i="12"/>
  <c r="T784" i="12"/>
  <c r="T780" i="12"/>
  <c r="T776" i="12"/>
  <c r="T772" i="12"/>
  <c r="T768" i="12"/>
  <c r="T764" i="12"/>
  <c r="T760" i="12"/>
  <c r="T756" i="12"/>
  <c r="T752" i="12"/>
  <c r="T748" i="12"/>
  <c r="T744" i="12"/>
  <c r="T740" i="12"/>
  <c r="T736" i="12"/>
  <c r="T732" i="12"/>
  <c r="T728" i="12"/>
  <c r="T724" i="12"/>
  <c r="T720" i="12"/>
  <c r="T716" i="12"/>
  <c r="T712" i="12"/>
  <c r="T708" i="12"/>
  <c r="T704" i="12"/>
  <c r="T700" i="12"/>
  <c r="T696" i="12"/>
  <c r="T692" i="12"/>
  <c r="T688" i="12"/>
  <c r="T684" i="12"/>
  <c r="T680" i="12"/>
  <c r="T676" i="12"/>
  <c r="T672" i="12"/>
  <c r="T668" i="12"/>
  <c r="T664" i="12"/>
  <c r="T660" i="12"/>
  <c r="T656" i="12"/>
  <c r="T652" i="12"/>
  <c r="T648" i="12"/>
  <c r="T644" i="12"/>
  <c r="T640" i="12"/>
  <c r="T636" i="12"/>
  <c r="T632" i="12"/>
  <c r="T628" i="12"/>
  <c r="T624" i="12"/>
  <c r="T620" i="12"/>
  <c r="T616" i="12"/>
  <c r="T612" i="12"/>
  <c r="T608" i="12"/>
  <c r="T604" i="12"/>
  <c r="T600" i="12"/>
  <c r="T596" i="12"/>
  <c r="T592" i="12"/>
  <c r="T588" i="12"/>
  <c r="T584" i="12"/>
  <c r="T580" i="12"/>
  <c r="T576" i="12"/>
  <c r="T572" i="12"/>
  <c r="T568" i="12"/>
  <c r="T564" i="12"/>
  <c r="T560" i="12"/>
  <c r="T556" i="12"/>
  <c r="T552" i="12"/>
  <c r="T548" i="12"/>
  <c r="T544" i="12"/>
  <c r="T540" i="12"/>
  <c r="T536" i="12"/>
  <c r="T532" i="12"/>
  <c r="T528" i="12"/>
  <c r="T524" i="12"/>
  <c r="T520" i="12"/>
  <c r="T516" i="12"/>
  <c r="T512" i="12"/>
  <c r="T508" i="12"/>
  <c r="T504" i="12"/>
  <c r="T500" i="12"/>
  <c r="T496" i="12"/>
  <c r="T492" i="12"/>
  <c r="T488" i="12"/>
  <c r="T484" i="12"/>
  <c r="T480" i="12"/>
  <c r="T476" i="12"/>
  <c r="T472" i="12"/>
  <c r="T468" i="12"/>
  <c r="T464" i="12"/>
  <c r="T460" i="12"/>
  <c r="T456" i="12"/>
  <c r="T452" i="12"/>
  <c r="T448" i="12"/>
  <c r="T444" i="12"/>
  <c r="T440" i="12"/>
  <c r="T436" i="12"/>
  <c r="T432" i="12"/>
  <c r="T428" i="12"/>
  <c r="T424" i="12"/>
  <c r="T420" i="12"/>
  <c r="T416" i="12"/>
  <c r="T412" i="12"/>
  <c r="T408" i="12"/>
  <c r="T404" i="12"/>
  <c r="T400" i="12"/>
  <c r="T396" i="12"/>
  <c r="T392" i="12"/>
  <c r="T388" i="12"/>
  <c r="T384" i="12"/>
  <c r="T380" i="12"/>
  <c r="T376" i="12"/>
  <c r="T372" i="12"/>
  <c r="T368" i="12"/>
  <c r="T364" i="12"/>
  <c r="T360" i="12"/>
  <c r="T356" i="12"/>
  <c r="T352" i="12"/>
  <c r="T348" i="12"/>
  <c r="T344" i="12"/>
  <c r="T340" i="12"/>
  <c r="T336" i="12"/>
  <c r="T332" i="12"/>
  <c r="T328" i="12"/>
  <c r="T324" i="12"/>
  <c r="T320" i="12"/>
  <c r="T316" i="12"/>
  <c r="T312" i="12"/>
  <c r="T308" i="12"/>
  <c r="T304" i="12"/>
  <c r="T300" i="12"/>
  <c r="T296" i="12"/>
  <c r="T292" i="12"/>
  <c r="T288" i="12"/>
  <c r="T284" i="12"/>
  <c r="T280" i="12"/>
  <c r="T276" i="12"/>
  <c r="T272" i="12"/>
  <c r="T268" i="12"/>
  <c r="T264" i="12"/>
  <c r="T260" i="12"/>
  <c r="T256" i="12"/>
  <c r="T252" i="12"/>
  <c r="T248" i="12"/>
  <c r="T244" i="12"/>
  <c r="T240" i="12"/>
  <c r="T236" i="12"/>
  <c r="T232" i="12"/>
  <c r="T228" i="12"/>
  <c r="T224" i="12"/>
  <c r="T216" i="12"/>
  <c r="T208" i="12"/>
  <c r="T200" i="12"/>
  <c r="T192" i="12"/>
  <c r="T184" i="12"/>
  <c r="T176" i="12"/>
  <c r="T168" i="12"/>
  <c r="T160" i="12"/>
  <c r="T152" i="12"/>
  <c r="T144" i="12"/>
  <c r="T136" i="12"/>
  <c r="T128" i="12"/>
  <c r="T120" i="12"/>
  <c r="T112" i="12"/>
  <c r="T104" i="12"/>
  <c r="T96" i="12"/>
  <c r="T88" i="12"/>
  <c r="T80" i="12"/>
  <c r="T72" i="12"/>
  <c r="T64" i="12"/>
  <c r="T56" i="12"/>
  <c r="T48" i="12"/>
  <c r="T40" i="12"/>
  <c r="T32" i="12"/>
  <c r="T24" i="12"/>
  <c r="T16" i="12"/>
  <c r="T8" i="12"/>
  <c r="Y795" i="12" a="1"/>
  <c r="Y795" i="12" s="1"/>
  <c r="T795" i="12"/>
  <c r="Y793" i="12" a="1"/>
  <c r="Y793" i="12" s="1"/>
  <c r="T793" i="12"/>
  <c r="Y791" i="12" a="1"/>
  <c r="Y791" i="12" s="1"/>
  <c r="T791" i="12"/>
  <c r="Y789" i="12" a="1"/>
  <c r="Y789" i="12" s="1"/>
  <c r="T789" i="12"/>
  <c r="Y787" i="12" a="1"/>
  <c r="Y787" i="12" s="1"/>
  <c r="T787" i="12"/>
  <c r="Y785" i="12" a="1"/>
  <c r="Y785" i="12" s="1"/>
  <c r="T785" i="12"/>
  <c r="Y783" i="12" a="1"/>
  <c r="Y783" i="12" s="1"/>
  <c r="T783" i="12"/>
  <c r="Y781" i="12" a="1"/>
  <c r="Y781" i="12" s="1"/>
  <c r="T781" i="12"/>
  <c r="Y779" i="12" a="1"/>
  <c r="Y779" i="12" s="1"/>
  <c r="T779" i="12"/>
  <c r="Y777" i="12" a="1"/>
  <c r="Y777" i="12" s="1"/>
  <c r="T777" i="12"/>
  <c r="Y775" i="12" a="1"/>
  <c r="Y775" i="12" s="1"/>
  <c r="T775" i="12"/>
  <c r="Y773" i="12" a="1"/>
  <c r="Y773" i="12" s="1"/>
  <c r="T773" i="12"/>
  <c r="Y771" i="12" a="1"/>
  <c r="Y771" i="12" s="1"/>
  <c r="T771" i="12"/>
  <c r="Y769" i="12" a="1"/>
  <c r="Y769" i="12" s="1"/>
  <c r="T769" i="12"/>
  <c r="Y767" i="12" a="1"/>
  <c r="Y767" i="12" s="1"/>
  <c r="T767" i="12"/>
  <c r="Y765" i="12" a="1"/>
  <c r="Y765" i="12" s="1"/>
  <c r="T765" i="12"/>
  <c r="Y763" i="12" a="1"/>
  <c r="Y763" i="12" s="1"/>
  <c r="T763" i="12"/>
  <c r="Y761" i="12" a="1"/>
  <c r="Y761" i="12" s="1"/>
  <c r="T761" i="12"/>
  <c r="Y759" i="12" a="1"/>
  <c r="Y759" i="12" s="1"/>
  <c r="T759" i="12"/>
  <c r="Y757" i="12" a="1"/>
  <c r="Y757" i="12" s="1"/>
  <c r="T757" i="12"/>
  <c r="Y755" i="12" a="1"/>
  <c r="Y755" i="12" s="1"/>
  <c r="T755" i="12"/>
  <c r="Y753" i="12" a="1"/>
  <c r="Y753" i="12" s="1"/>
  <c r="T753" i="12"/>
  <c r="Y751" i="12" a="1"/>
  <c r="Y751" i="12" s="1"/>
  <c r="T751" i="12"/>
  <c r="Y749" i="12" a="1"/>
  <c r="Y749" i="12" s="1"/>
  <c r="T749" i="12"/>
  <c r="Y747" i="12" a="1"/>
  <c r="Y747" i="12" s="1"/>
  <c r="T747" i="12"/>
  <c r="Y745" i="12" a="1"/>
  <c r="Y745" i="12" s="1"/>
  <c r="T745" i="12"/>
  <c r="Y743" i="12" a="1"/>
  <c r="Y743" i="12" s="1"/>
  <c r="T743" i="12"/>
  <c r="Y741" i="12" a="1"/>
  <c r="Y741" i="12" s="1"/>
  <c r="T741" i="12"/>
  <c r="Y739" i="12" a="1"/>
  <c r="Y739" i="12" s="1"/>
  <c r="T739" i="12"/>
  <c r="Y737" i="12" a="1"/>
  <c r="Y737" i="12" s="1"/>
  <c r="T737" i="12"/>
  <c r="Y735" i="12" a="1"/>
  <c r="Y735" i="12" s="1"/>
  <c r="T735" i="12"/>
  <c r="Y733" i="12" a="1"/>
  <c r="Y733" i="12" s="1"/>
  <c r="T733" i="12"/>
  <c r="Y731" i="12" a="1"/>
  <c r="Y731" i="12" s="1"/>
  <c r="T731" i="12"/>
  <c r="Y729" i="12" a="1"/>
  <c r="Y729" i="12" s="1"/>
  <c r="T729" i="12"/>
  <c r="Y727" i="12" a="1"/>
  <c r="Y727" i="12" s="1"/>
  <c r="T727" i="12"/>
  <c r="Y725" i="12" a="1"/>
  <c r="Y725" i="12" s="1"/>
  <c r="T725" i="12"/>
  <c r="Y723" i="12" a="1"/>
  <c r="Y723" i="12" s="1"/>
  <c r="T723" i="12"/>
  <c r="Y721" i="12" a="1"/>
  <c r="Y721" i="12" s="1"/>
  <c r="T721" i="12"/>
  <c r="Y719" i="12" a="1"/>
  <c r="Y719" i="12" s="1"/>
  <c r="T719" i="12"/>
  <c r="Y717" i="12" a="1"/>
  <c r="Y717" i="12" s="1"/>
  <c r="T717" i="12"/>
  <c r="Y715" i="12" a="1"/>
  <c r="Y715" i="12" s="1"/>
  <c r="T715" i="12"/>
  <c r="Y713" i="12" a="1"/>
  <c r="Y713" i="12" s="1"/>
  <c r="T713" i="12"/>
  <c r="Y711" i="12" a="1"/>
  <c r="Y711" i="12" s="1"/>
  <c r="T711" i="12"/>
  <c r="Y709" i="12" a="1"/>
  <c r="Y709" i="12" s="1"/>
  <c r="T709" i="12"/>
  <c r="Y707" i="12" a="1"/>
  <c r="Y707" i="12" s="1"/>
  <c r="T707" i="12"/>
  <c r="Y705" i="12" a="1"/>
  <c r="Y705" i="12" s="1"/>
  <c r="T705" i="12"/>
  <c r="Y703" i="12" a="1"/>
  <c r="Y703" i="12" s="1"/>
  <c r="T703" i="12"/>
  <c r="Y701" i="12" a="1"/>
  <c r="Y701" i="12" s="1"/>
  <c r="T701" i="12"/>
  <c r="Y699" i="12" a="1"/>
  <c r="Y699" i="12" s="1"/>
  <c r="T699" i="12"/>
  <c r="Y697" i="12" a="1"/>
  <c r="Y697" i="12" s="1"/>
  <c r="T697" i="12"/>
  <c r="Y695" i="12" a="1"/>
  <c r="Y695" i="12" s="1"/>
  <c r="T695" i="12"/>
  <c r="Y693" i="12" a="1"/>
  <c r="Y693" i="12" s="1"/>
  <c r="T693" i="12"/>
  <c r="Y691" i="12" a="1"/>
  <c r="Y691" i="12" s="1"/>
  <c r="T691" i="12"/>
  <c r="Y689" i="12" a="1"/>
  <c r="Y689" i="12" s="1"/>
  <c r="T689" i="12"/>
  <c r="Y687" i="12" a="1"/>
  <c r="Y687" i="12" s="1"/>
  <c r="T687" i="12"/>
  <c r="Y685" i="12" a="1"/>
  <c r="Y685" i="12" s="1"/>
  <c r="T685" i="12"/>
  <c r="Y683" i="12" a="1"/>
  <c r="Y683" i="12" s="1"/>
  <c r="T683" i="12"/>
  <c r="Y681" i="12" a="1"/>
  <c r="Y681" i="12" s="1"/>
  <c r="T681" i="12"/>
  <c r="Y679" i="12" a="1"/>
  <c r="Y679" i="12" s="1"/>
  <c r="T679" i="12"/>
  <c r="Y677" i="12" a="1"/>
  <c r="Y677" i="12" s="1"/>
  <c r="T677" i="12"/>
  <c r="Y675" i="12" a="1"/>
  <c r="Y675" i="12" s="1"/>
  <c r="T675" i="12"/>
  <c r="Y673" i="12" a="1"/>
  <c r="Y673" i="12" s="1"/>
  <c r="T673" i="12"/>
  <c r="Y671" i="12" a="1"/>
  <c r="Y671" i="12" s="1"/>
  <c r="T671" i="12"/>
  <c r="Y669" i="12" a="1"/>
  <c r="Y669" i="12" s="1"/>
  <c r="T669" i="12"/>
  <c r="Y667" i="12" a="1"/>
  <c r="Y667" i="12" s="1"/>
  <c r="T667" i="12"/>
  <c r="Y665" i="12" a="1"/>
  <c r="Y665" i="12" s="1"/>
  <c r="T665" i="12"/>
  <c r="Y663" i="12" a="1"/>
  <c r="Y663" i="12" s="1"/>
  <c r="T663" i="12"/>
  <c r="Y661" i="12" a="1"/>
  <c r="Y661" i="12" s="1"/>
  <c r="T661" i="12"/>
  <c r="Y659" i="12" a="1"/>
  <c r="Y659" i="12" s="1"/>
  <c r="T659" i="12"/>
  <c r="Y657" i="12" a="1"/>
  <c r="Y657" i="12" s="1"/>
  <c r="T657" i="12"/>
  <c r="Y655" i="12" a="1"/>
  <c r="Y655" i="12" s="1"/>
  <c r="T655" i="12"/>
  <c r="Y653" i="12" a="1"/>
  <c r="Y653" i="12" s="1"/>
  <c r="T653" i="12"/>
  <c r="Y651" i="12" a="1"/>
  <c r="Y651" i="12" s="1"/>
  <c r="T651" i="12"/>
  <c r="Y649" i="12" a="1"/>
  <c r="Y649" i="12" s="1"/>
  <c r="T649" i="12"/>
  <c r="Y647" i="12" a="1"/>
  <c r="Y647" i="12" s="1"/>
  <c r="T647" i="12"/>
  <c r="Y645" i="12" a="1"/>
  <c r="Y645" i="12" s="1"/>
  <c r="T645" i="12"/>
  <c r="Y643" i="12" a="1"/>
  <c r="Y643" i="12" s="1"/>
  <c r="T643" i="12"/>
  <c r="Y641" i="12" a="1"/>
  <c r="Y641" i="12" s="1"/>
  <c r="T641" i="12"/>
  <c r="Y639" i="12" a="1"/>
  <c r="Y639" i="12" s="1"/>
  <c r="T639" i="12"/>
  <c r="Y637" i="12" a="1"/>
  <c r="Y637" i="12" s="1"/>
  <c r="T637" i="12"/>
  <c r="Y635" i="12" a="1"/>
  <c r="Y635" i="12" s="1"/>
  <c r="T635" i="12"/>
  <c r="Y633" i="12" a="1"/>
  <c r="Y633" i="12" s="1"/>
  <c r="T633" i="12"/>
  <c r="Y631" i="12" a="1"/>
  <c r="Y631" i="12" s="1"/>
  <c r="T631" i="12"/>
  <c r="Y629" i="12" a="1"/>
  <c r="Y629" i="12" s="1"/>
  <c r="T629" i="12"/>
  <c r="Y627" i="12" a="1"/>
  <c r="Y627" i="12" s="1"/>
  <c r="T627" i="12"/>
  <c r="Y625" i="12" a="1"/>
  <c r="Y625" i="12" s="1"/>
  <c r="T625" i="12"/>
  <c r="Y623" i="12" a="1"/>
  <c r="Y623" i="12" s="1"/>
  <c r="T623" i="12"/>
  <c r="Y621" i="12" a="1"/>
  <c r="Y621" i="12" s="1"/>
  <c r="T621" i="12"/>
  <c r="Y619" i="12" a="1"/>
  <c r="Y619" i="12" s="1"/>
  <c r="T619" i="12"/>
  <c r="Y617" i="12" a="1"/>
  <c r="Y617" i="12" s="1"/>
  <c r="T617" i="12"/>
  <c r="Y615" i="12" a="1"/>
  <c r="Y615" i="12" s="1"/>
  <c r="T615" i="12"/>
  <c r="Y613" i="12" a="1"/>
  <c r="Y613" i="12" s="1"/>
  <c r="T613" i="12"/>
  <c r="Y611" i="12" a="1"/>
  <c r="Y611" i="12" s="1"/>
  <c r="T611" i="12"/>
  <c r="Y609" i="12" a="1"/>
  <c r="Y609" i="12" s="1"/>
  <c r="T609" i="12"/>
  <c r="Y607" i="12" a="1"/>
  <c r="Y607" i="12" s="1"/>
  <c r="T607" i="12"/>
  <c r="Y605" i="12" a="1"/>
  <c r="Y605" i="12" s="1"/>
  <c r="T605" i="12"/>
  <c r="Y603" i="12" a="1"/>
  <c r="Y603" i="12" s="1"/>
  <c r="T603" i="12"/>
  <c r="Y601" i="12" a="1"/>
  <c r="Y601" i="12" s="1"/>
  <c r="T601" i="12"/>
  <c r="Y599" i="12" a="1"/>
  <c r="Y599" i="12" s="1"/>
  <c r="T599" i="12"/>
  <c r="Y597" i="12" a="1"/>
  <c r="Y597" i="12" s="1"/>
  <c r="T597" i="12"/>
  <c r="Y595" i="12" a="1"/>
  <c r="Y595" i="12" s="1"/>
  <c r="T595" i="12"/>
  <c r="Y593" i="12" a="1"/>
  <c r="Y593" i="12" s="1"/>
  <c r="T593" i="12"/>
  <c r="Y591" i="12" a="1"/>
  <c r="Y591" i="12" s="1"/>
  <c r="T591" i="12"/>
  <c r="Y589" i="12" a="1"/>
  <c r="Y589" i="12" s="1"/>
  <c r="T589" i="12"/>
  <c r="Y587" i="12" a="1"/>
  <c r="Y587" i="12" s="1"/>
  <c r="T587" i="12"/>
  <c r="Y585" i="12" a="1"/>
  <c r="Y585" i="12" s="1"/>
  <c r="T585" i="12"/>
  <c r="Y583" i="12" a="1"/>
  <c r="Y583" i="12" s="1"/>
  <c r="T583" i="12"/>
  <c r="Y581" i="12" a="1"/>
  <c r="Y581" i="12" s="1"/>
  <c r="T581" i="12"/>
  <c r="Y579" i="12" a="1"/>
  <c r="Y579" i="12" s="1"/>
  <c r="T579" i="12"/>
  <c r="Y577" i="12" a="1"/>
  <c r="Y577" i="12" s="1"/>
  <c r="T577" i="12"/>
  <c r="Y575" i="12" a="1"/>
  <c r="Y575" i="12" s="1"/>
  <c r="T575" i="12"/>
  <c r="Y573" i="12" a="1"/>
  <c r="Y573" i="12" s="1"/>
  <c r="T573" i="12"/>
  <c r="Y571" i="12" a="1"/>
  <c r="Y571" i="12" s="1"/>
  <c r="T571" i="12"/>
  <c r="Y569" i="12" a="1"/>
  <c r="Y569" i="12" s="1"/>
  <c r="T569" i="12"/>
  <c r="Y567" i="12" a="1"/>
  <c r="Y567" i="12" s="1"/>
  <c r="T567" i="12"/>
  <c r="Y565" i="12" a="1"/>
  <c r="Y565" i="12" s="1"/>
  <c r="T565" i="12"/>
  <c r="Y563" i="12" a="1"/>
  <c r="Y563" i="12" s="1"/>
  <c r="T563" i="12"/>
  <c r="Y561" i="12" a="1"/>
  <c r="Y561" i="12" s="1"/>
  <c r="T561" i="12"/>
  <c r="Y559" i="12" a="1"/>
  <c r="Y559" i="12" s="1"/>
  <c r="T559" i="12"/>
  <c r="Y557" i="12" a="1"/>
  <c r="Y557" i="12" s="1"/>
  <c r="T557" i="12"/>
  <c r="Y555" i="12" a="1"/>
  <c r="Y555" i="12" s="1"/>
  <c r="T555" i="12"/>
  <c r="Y553" i="12" a="1"/>
  <c r="Y553" i="12" s="1"/>
  <c r="T553" i="12"/>
  <c r="Y551" i="12" a="1"/>
  <c r="Y551" i="12" s="1"/>
  <c r="T551" i="12"/>
  <c r="Y549" i="12" a="1"/>
  <c r="Y549" i="12" s="1"/>
  <c r="T549" i="12"/>
  <c r="Y547" i="12" a="1"/>
  <c r="Y547" i="12" s="1"/>
  <c r="T547" i="12"/>
  <c r="Y545" i="12" a="1"/>
  <c r="Y545" i="12" s="1"/>
  <c r="T545" i="12"/>
  <c r="Y543" i="12" a="1"/>
  <c r="Y543" i="12" s="1"/>
  <c r="T543" i="12"/>
  <c r="Y541" i="12" a="1"/>
  <c r="Y541" i="12" s="1"/>
  <c r="T541" i="12"/>
  <c r="Y539" i="12" a="1"/>
  <c r="Y539" i="12" s="1"/>
  <c r="T539" i="12"/>
  <c r="Y537" i="12" a="1"/>
  <c r="Y537" i="12" s="1"/>
  <c r="T537" i="12"/>
  <c r="Y535" i="12" a="1"/>
  <c r="Y535" i="12" s="1"/>
  <c r="T535" i="12"/>
  <c r="Y533" i="12" a="1"/>
  <c r="Y533" i="12" s="1"/>
  <c r="T533" i="12"/>
  <c r="Y531" i="12" a="1"/>
  <c r="Y531" i="12" s="1"/>
  <c r="T531" i="12"/>
  <c r="Y529" i="12" a="1"/>
  <c r="Y529" i="12" s="1"/>
  <c r="T529" i="12"/>
  <c r="Y527" i="12" a="1"/>
  <c r="Y527" i="12" s="1"/>
  <c r="T527" i="12"/>
  <c r="Y525" i="12" a="1"/>
  <c r="Y525" i="12" s="1"/>
  <c r="T525" i="12"/>
  <c r="Y523" i="12" a="1"/>
  <c r="Y523" i="12" s="1"/>
  <c r="T523" i="12"/>
  <c r="Y521" i="12" a="1"/>
  <c r="Y521" i="12" s="1"/>
  <c r="T521" i="12"/>
  <c r="Y519" i="12" a="1"/>
  <c r="Y519" i="12" s="1"/>
  <c r="T519" i="12"/>
  <c r="Y517" i="12" a="1"/>
  <c r="Y517" i="12" s="1"/>
  <c r="T517" i="12"/>
  <c r="Y515" i="12" a="1"/>
  <c r="Y515" i="12" s="1"/>
  <c r="T515" i="12"/>
  <c r="Y513" i="12" a="1"/>
  <c r="Y513" i="12" s="1"/>
  <c r="T513" i="12"/>
  <c r="Y511" i="12" a="1"/>
  <c r="Y511" i="12" s="1"/>
  <c r="T511" i="12"/>
  <c r="Y509" i="12" a="1"/>
  <c r="Y509" i="12" s="1"/>
  <c r="T509" i="12"/>
  <c r="Y507" i="12" a="1"/>
  <c r="Y507" i="12" s="1"/>
  <c r="T507" i="12"/>
  <c r="Y505" i="12" a="1"/>
  <c r="Y505" i="12" s="1"/>
  <c r="T505" i="12"/>
  <c r="Y503" i="12" a="1"/>
  <c r="Y503" i="12" s="1"/>
  <c r="T503" i="12"/>
  <c r="Y501" i="12" a="1"/>
  <c r="Y501" i="12" s="1"/>
  <c r="T501" i="12"/>
  <c r="Y499" i="12" a="1"/>
  <c r="Y499" i="12" s="1"/>
  <c r="T499" i="12"/>
  <c r="Y497" i="12" a="1"/>
  <c r="Y497" i="12" s="1"/>
  <c r="T497" i="12"/>
  <c r="Y495" i="12" a="1"/>
  <c r="Y495" i="12" s="1"/>
  <c r="T495" i="12"/>
  <c r="Y493" i="12" a="1"/>
  <c r="Y493" i="12" s="1"/>
  <c r="T493" i="12"/>
  <c r="Y491" i="12" a="1"/>
  <c r="Y491" i="12" s="1"/>
  <c r="T491" i="12"/>
  <c r="Y489" i="12" a="1"/>
  <c r="Y489" i="12" s="1"/>
  <c r="T489" i="12"/>
  <c r="Y487" i="12" a="1"/>
  <c r="Y487" i="12" s="1"/>
  <c r="T487" i="12"/>
  <c r="Y485" i="12" a="1"/>
  <c r="Y485" i="12" s="1"/>
  <c r="T485" i="12"/>
  <c r="Y483" i="12" a="1"/>
  <c r="Y483" i="12" s="1"/>
  <c r="T483" i="12"/>
  <c r="Y481" i="12" a="1"/>
  <c r="Y481" i="12" s="1"/>
  <c r="T481" i="12"/>
  <c r="Y479" i="12" a="1"/>
  <c r="Y479" i="12" s="1"/>
  <c r="T479" i="12"/>
  <c r="Y477" i="12" a="1"/>
  <c r="Y477" i="12" s="1"/>
  <c r="T477" i="12"/>
  <c r="Y475" i="12" a="1"/>
  <c r="Y475" i="12" s="1"/>
  <c r="T475" i="12"/>
  <c r="Y473" i="12" a="1"/>
  <c r="Y473" i="12" s="1"/>
  <c r="T473" i="12"/>
  <c r="Y471" i="12" a="1"/>
  <c r="Y471" i="12" s="1"/>
  <c r="T471" i="12"/>
  <c r="Y469" i="12" a="1"/>
  <c r="Y469" i="12" s="1"/>
  <c r="T469" i="12"/>
  <c r="Y467" i="12" a="1"/>
  <c r="Y467" i="12" s="1"/>
  <c r="T467" i="12"/>
  <c r="Y465" i="12" a="1"/>
  <c r="Y465" i="12" s="1"/>
  <c r="T465" i="12"/>
  <c r="Y463" i="12" a="1"/>
  <c r="Y463" i="12" s="1"/>
  <c r="T463" i="12"/>
  <c r="Y461" i="12" a="1"/>
  <c r="Y461" i="12" s="1"/>
  <c r="T461" i="12"/>
  <c r="Y459" i="12" a="1"/>
  <c r="Y459" i="12" s="1"/>
  <c r="T459" i="12"/>
  <c r="Y457" i="12" a="1"/>
  <c r="Y457" i="12" s="1"/>
  <c r="T457" i="12"/>
  <c r="Y455" i="12" a="1"/>
  <c r="Y455" i="12" s="1"/>
  <c r="T455" i="12"/>
  <c r="Y453" i="12" a="1"/>
  <c r="Y453" i="12" s="1"/>
  <c r="T453" i="12"/>
  <c r="Y451" i="12" a="1"/>
  <c r="Y451" i="12" s="1"/>
  <c r="T451" i="12"/>
  <c r="Y449" i="12" a="1"/>
  <c r="Y449" i="12" s="1"/>
  <c r="T449" i="12"/>
  <c r="Y447" i="12" a="1"/>
  <c r="Y447" i="12" s="1"/>
  <c r="T447" i="12"/>
  <c r="Y445" i="12" a="1"/>
  <c r="Y445" i="12" s="1"/>
  <c r="T445" i="12"/>
  <c r="Y443" i="12" a="1"/>
  <c r="Y443" i="12" s="1"/>
  <c r="T443" i="12"/>
  <c r="Y441" i="12" a="1"/>
  <c r="Y441" i="12" s="1"/>
  <c r="T441" i="12"/>
  <c r="Y439" i="12" a="1"/>
  <c r="Y439" i="12" s="1"/>
  <c r="T439" i="12"/>
  <c r="Y437" i="12" a="1"/>
  <c r="Y437" i="12" s="1"/>
  <c r="T437" i="12"/>
  <c r="Y435" i="12" a="1"/>
  <c r="Y435" i="12" s="1"/>
  <c r="T435" i="12"/>
  <c r="Y433" i="12" a="1"/>
  <c r="Y433" i="12" s="1"/>
  <c r="T433" i="12"/>
  <c r="Y431" i="12" a="1"/>
  <c r="Y431" i="12" s="1"/>
  <c r="T431" i="12"/>
  <c r="Y429" i="12" a="1"/>
  <c r="Y429" i="12" s="1"/>
  <c r="T429" i="12"/>
  <c r="Y427" i="12" a="1"/>
  <c r="Y427" i="12" s="1"/>
  <c r="T427" i="12"/>
  <c r="Y425" i="12" a="1"/>
  <c r="Y425" i="12" s="1"/>
  <c r="T425" i="12"/>
  <c r="Y423" i="12" a="1"/>
  <c r="Y423" i="12" s="1"/>
  <c r="T423" i="12"/>
  <c r="Y421" i="12" a="1"/>
  <c r="Y421" i="12" s="1"/>
  <c r="T421" i="12"/>
  <c r="Y419" i="12" a="1"/>
  <c r="Y419" i="12" s="1"/>
  <c r="T419" i="12"/>
  <c r="Y417" i="12" a="1"/>
  <c r="Y417" i="12" s="1"/>
  <c r="T417" i="12"/>
  <c r="Y415" i="12" a="1"/>
  <c r="Y415" i="12" s="1"/>
  <c r="T415" i="12"/>
  <c r="Y413" i="12" a="1"/>
  <c r="Y413" i="12" s="1"/>
  <c r="T413" i="12"/>
  <c r="Y411" i="12" a="1"/>
  <c r="Y411" i="12" s="1"/>
  <c r="T411" i="12"/>
  <c r="Y409" i="12" a="1"/>
  <c r="Y409" i="12" s="1"/>
  <c r="T409" i="12"/>
  <c r="Y407" i="12" a="1"/>
  <c r="Y407" i="12" s="1"/>
  <c r="T407" i="12"/>
  <c r="Y405" i="12" a="1"/>
  <c r="Y405" i="12" s="1"/>
  <c r="T405" i="12"/>
  <c r="Y403" i="12" a="1"/>
  <c r="Y403" i="12" s="1"/>
  <c r="T403" i="12"/>
  <c r="Y401" i="12" a="1"/>
  <c r="Y401" i="12" s="1"/>
  <c r="T401" i="12"/>
  <c r="Y399" i="12" a="1"/>
  <c r="Y399" i="12" s="1"/>
  <c r="T399" i="12"/>
  <c r="Y397" i="12" a="1"/>
  <c r="Y397" i="12" s="1"/>
  <c r="T397" i="12"/>
  <c r="Y395" i="12" a="1"/>
  <c r="Y395" i="12" s="1"/>
  <c r="T395" i="12"/>
  <c r="Y393" i="12" a="1"/>
  <c r="Y393" i="12" s="1"/>
  <c r="T393" i="12"/>
  <c r="Y391" i="12" a="1"/>
  <c r="Y391" i="12" s="1"/>
  <c r="T391" i="12"/>
  <c r="Y389" i="12" a="1"/>
  <c r="Y389" i="12" s="1"/>
  <c r="T389" i="12"/>
  <c r="Y387" i="12" a="1"/>
  <c r="Y387" i="12" s="1"/>
  <c r="T387" i="12"/>
  <c r="Y385" i="12" a="1"/>
  <c r="Y385" i="12" s="1"/>
  <c r="T385" i="12"/>
  <c r="Y383" i="12" a="1"/>
  <c r="Y383" i="12" s="1"/>
  <c r="T383" i="12"/>
  <c r="Y381" i="12" a="1"/>
  <c r="Y381" i="12" s="1"/>
  <c r="T381" i="12"/>
  <c r="Y379" i="12" a="1"/>
  <c r="Y379" i="12" s="1"/>
  <c r="T379" i="12"/>
  <c r="Y377" i="12" a="1"/>
  <c r="Y377" i="12" s="1"/>
  <c r="T377" i="12"/>
  <c r="Y375" i="12" a="1"/>
  <c r="Y375" i="12" s="1"/>
  <c r="T375" i="12"/>
  <c r="Y373" i="12" a="1"/>
  <c r="Y373" i="12" s="1"/>
  <c r="T373" i="12"/>
  <c r="Y371" i="12" a="1"/>
  <c r="Y371" i="12" s="1"/>
  <c r="T371" i="12"/>
  <c r="Y369" i="12" a="1"/>
  <c r="Y369" i="12" s="1"/>
  <c r="T369" i="12"/>
  <c r="Y367" i="12" a="1"/>
  <c r="Y367" i="12" s="1"/>
  <c r="T367" i="12"/>
  <c r="Y365" i="12" a="1"/>
  <c r="Y365" i="12" s="1"/>
  <c r="T365" i="12"/>
  <c r="Y363" i="12" a="1"/>
  <c r="Y363" i="12" s="1"/>
  <c r="T363" i="12"/>
  <c r="Y361" i="12" a="1"/>
  <c r="Y361" i="12" s="1"/>
  <c r="T361" i="12"/>
  <c r="Y359" i="12" a="1"/>
  <c r="Y359" i="12" s="1"/>
  <c r="T359" i="12"/>
  <c r="Y357" i="12" a="1"/>
  <c r="Y357" i="12" s="1"/>
  <c r="T357" i="12"/>
  <c r="Y355" i="12" a="1"/>
  <c r="Y355" i="12" s="1"/>
  <c r="T355" i="12"/>
  <c r="Y353" i="12" a="1"/>
  <c r="Y353" i="12" s="1"/>
  <c r="T353" i="12"/>
  <c r="Y351" i="12" a="1"/>
  <c r="Y351" i="12" s="1"/>
  <c r="T351" i="12"/>
  <c r="Y349" i="12" a="1"/>
  <c r="Y349" i="12" s="1"/>
  <c r="T349" i="12"/>
  <c r="Y347" i="12" a="1"/>
  <c r="Y347" i="12" s="1"/>
  <c r="T347" i="12"/>
  <c r="Y345" i="12" a="1"/>
  <c r="Y345" i="12" s="1"/>
  <c r="T345" i="12"/>
  <c r="Y343" i="12" a="1"/>
  <c r="Y343" i="12" s="1"/>
  <c r="T343" i="12"/>
  <c r="Y341" i="12" a="1"/>
  <c r="Y341" i="12" s="1"/>
  <c r="T341" i="12"/>
  <c r="Y339" i="12" a="1"/>
  <c r="Y339" i="12" s="1"/>
  <c r="T339" i="12"/>
  <c r="Y337" i="12" a="1"/>
  <c r="Y337" i="12" s="1"/>
  <c r="T337" i="12"/>
  <c r="Y335" i="12" a="1"/>
  <c r="Y335" i="12" s="1"/>
  <c r="T335" i="12"/>
  <c r="Y333" i="12" a="1"/>
  <c r="Y333" i="12" s="1"/>
  <c r="T333" i="12"/>
  <c r="Y331" i="12" a="1"/>
  <c r="Y331" i="12" s="1"/>
  <c r="T331" i="12"/>
  <c r="Y329" i="12" a="1"/>
  <c r="Y329" i="12" s="1"/>
  <c r="T329" i="12"/>
  <c r="Y327" i="12" a="1"/>
  <c r="Y327" i="12" s="1"/>
  <c r="T327" i="12"/>
  <c r="Y325" i="12" a="1"/>
  <c r="Y325" i="12" s="1"/>
  <c r="T325" i="12"/>
  <c r="Y323" i="12" a="1"/>
  <c r="Y323" i="12" s="1"/>
  <c r="T323" i="12"/>
  <c r="Y321" i="12" a="1"/>
  <c r="Y321" i="12" s="1"/>
  <c r="T321" i="12"/>
  <c r="Y319" i="12" a="1"/>
  <c r="Y319" i="12" s="1"/>
  <c r="T319" i="12"/>
  <c r="Y317" i="12" a="1"/>
  <c r="Y317" i="12" s="1"/>
  <c r="T317" i="12"/>
  <c r="Y315" i="12" a="1"/>
  <c r="Y315" i="12" s="1"/>
  <c r="T315" i="12"/>
  <c r="Y313" i="12" a="1"/>
  <c r="Y313" i="12" s="1"/>
  <c r="T313" i="12"/>
  <c r="Y311" i="12" a="1"/>
  <c r="Y311" i="12" s="1"/>
  <c r="T311" i="12"/>
  <c r="Y309" i="12" a="1"/>
  <c r="Y309" i="12" s="1"/>
  <c r="T309" i="12"/>
  <c r="Y307" i="12" a="1"/>
  <c r="Y307" i="12" s="1"/>
  <c r="T307" i="12"/>
  <c r="Y305" i="12" a="1"/>
  <c r="Y305" i="12" s="1"/>
  <c r="T305" i="12"/>
  <c r="Y303" i="12" a="1"/>
  <c r="Y303" i="12" s="1"/>
  <c r="T303" i="12"/>
  <c r="Y301" i="12" a="1"/>
  <c r="Y301" i="12" s="1"/>
  <c r="T301" i="12"/>
  <c r="Y299" i="12" a="1"/>
  <c r="Y299" i="12" s="1"/>
  <c r="T299" i="12"/>
  <c r="Y297" i="12" a="1"/>
  <c r="Y297" i="12" s="1"/>
  <c r="T297" i="12"/>
  <c r="Y295" i="12" a="1"/>
  <c r="Y295" i="12" s="1"/>
  <c r="T295" i="12"/>
  <c r="Y293" i="12" a="1"/>
  <c r="Y293" i="12" s="1"/>
  <c r="T293" i="12"/>
  <c r="Y291" i="12" a="1"/>
  <c r="Y291" i="12" s="1"/>
  <c r="T291" i="12"/>
  <c r="Y289" i="12" a="1"/>
  <c r="Y289" i="12" s="1"/>
  <c r="T289" i="12"/>
  <c r="Y287" i="12" a="1"/>
  <c r="Y287" i="12" s="1"/>
  <c r="T287" i="12"/>
  <c r="Y285" i="12" a="1"/>
  <c r="Y285" i="12" s="1"/>
  <c r="T285" i="12"/>
  <c r="Y283" i="12" a="1"/>
  <c r="Y283" i="12" s="1"/>
  <c r="T283" i="12"/>
  <c r="Y281" i="12" a="1"/>
  <c r="Y281" i="12" s="1"/>
  <c r="T281" i="12"/>
  <c r="Y279" i="12" a="1"/>
  <c r="Y279" i="12" s="1"/>
  <c r="T279" i="12"/>
  <c r="Y277" i="12" a="1"/>
  <c r="Y277" i="12" s="1"/>
  <c r="T277" i="12"/>
  <c r="Y275" i="12" a="1"/>
  <c r="Y275" i="12" s="1"/>
  <c r="T275" i="12"/>
  <c r="Y273" i="12" a="1"/>
  <c r="Y273" i="12" s="1"/>
  <c r="T273" i="12"/>
  <c r="Y271" i="12" a="1"/>
  <c r="Y271" i="12" s="1"/>
  <c r="T271" i="12"/>
  <c r="Y269" i="12" a="1"/>
  <c r="Y269" i="12" s="1"/>
  <c r="T269" i="12"/>
  <c r="Y267" i="12" a="1"/>
  <c r="Y267" i="12" s="1"/>
  <c r="T267" i="12"/>
  <c r="Y265" i="12" a="1"/>
  <c r="Y265" i="12" s="1"/>
  <c r="T265" i="12"/>
  <c r="Y263" i="12" a="1"/>
  <c r="Y263" i="12" s="1"/>
  <c r="T263" i="12"/>
  <c r="Y261" i="12" a="1"/>
  <c r="Y261" i="12" s="1"/>
  <c r="T261" i="12"/>
  <c r="Y259" i="12" a="1"/>
  <c r="Y259" i="12" s="1"/>
  <c r="T259" i="12"/>
  <c r="Y257" i="12" a="1"/>
  <c r="Y257" i="12" s="1"/>
  <c r="T257" i="12"/>
  <c r="Y255" i="12" a="1"/>
  <c r="Y255" i="12" s="1"/>
  <c r="T255" i="12"/>
  <c r="Y253" i="12" a="1"/>
  <c r="Y253" i="12" s="1"/>
  <c r="T253" i="12"/>
  <c r="Y251" i="12" a="1"/>
  <c r="Y251" i="12" s="1"/>
  <c r="T251" i="12"/>
  <c r="Y249" i="12" a="1"/>
  <c r="Y249" i="12" s="1"/>
  <c r="T249" i="12"/>
  <c r="Y247" i="12" a="1"/>
  <c r="Y247" i="12" s="1"/>
  <c r="T247" i="12"/>
  <c r="Y245" i="12" a="1"/>
  <c r="Y245" i="12" s="1"/>
  <c r="T245" i="12"/>
  <c r="Y243" i="12" a="1"/>
  <c r="Y243" i="12" s="1"/>
  <c r="T243" i="12"/>
  <c r="Y241" i="12" a="1"/>
  <c r="Y241" i="12" s="1"/>
  <c r="T241" i="12"/>
  <c r="Y239" i="12" a="1"/>
  <c r="Y239" i="12" s="1"/>
  <c r="T239" i="12"/>
  <c r="Y237" i="12" a="1"/>
  <c r="Y237" i="12" s="1"/>
  <c r="T237" i="12"/>
  <c r="Y235" i="12" a="1"/>
  <c r="Y235" i="12" s="1"/>
  <c r="T235" i="12"/>
  <c r="Y233" i="12" a="1"/>
  <c r="Y233" i="12" s="1"/>
  <c r="T233" i="12"/>
  <c r="Y231" i="12" a="1"/>
  <c r="Y231" i="12" s="1"/>
  <c r="T231" i="12"/>
  <c r="Y229" i="12" a="1"/>
  <c r="Y229" i="12" s="1"/>
  <c r="T229" i="12"/>
  <c r="Y227" i="12" a="1"/>
  <c r="Y227" i="12" s="1"/>
  <c r="T227" i="12"/>
  <c r="Y225" i="12" a="1"/>
  <c r="Y225" i="12" s="1"/>
  <c r="T225" i="12"/>
  <c r="Y223" i="12" a="1"/>
  <c r="Y223" i="12" s="1"/>
  <c r="T223" i="12"/>
  <c r="Y221" i="12" a="1"/>
  <c r="Y221" i="12" s="1"/>
  <c r="T221" i="12"/>
  <c r="Y219" i="12" a="1"/>
  <c r="Y219" i="12" s="1"/>
  <c r="T219" i="12"/>
  <c r="Y217" i="12" a="1"/>
  <c r="Y217" i="12" s="1"/>
  <c r="T217" i="12"/>
  <c r="Y215" i="12" a="1"/>
  <c r="Y215" i="12" s="1"/>
  <c r="T215" i="12"/>
  <c r="Y213" i="12" a="1"/>
  <c r="Y213" i="12" s="1"/>
  <c r="T213" i="12"/>
  <c r="Y211" i="12" a="1"/>
  <c r="Y211" i="12" s="1"/>
  <c r="T211" i="12"/>
  <c r="Y209" i="12" a="1"/>
  <c r="Y209" i="12" s="1"/>
  <c r="T209" i="12"/>
  <c r="Y207" i="12" a="1"/>
  <c r="Y207" i="12" s="1"/>
  <c r="T207" i="12"/>
  <c r="Y205" i="12" a="1"/>
  <c r="Y205" i="12" s="1"/>
  <c r="T205" i="12"/>
  <c r="Y203" i="12" a="1"/>
  <c r="Y203" i="12" s="1"/>
  <c r="T203" i="12"/>
  <c r="Y201" i="12" a="1"/>
  <c r="Y201" i="12" s="1"/>
  <c r="T201" i="12"/>
  <c r="Y199" i="12" a="1"/>
  <c r="Y199" i="12" s="1"/>
  <c r="T199" i="12"/>
  <c r="Y197" i="12" a="1"/>
  <c r="Y197" i="12" s="1"/>
  <c r="T197" i="12"/>
  <c r="Y195" i="12" a="1"/>
  <c r="Y195" i="12" s="1"/>
  <c r="T195" i="12"/>
  <c r="Y193" i="12" a="1"/>
  <c r="Y193" i="12" s="1"/>
  <c r="T193" i="12"/>
  <c r="Y191" i="12" a="1"/>
  <c r="Y191" i="12" s="1"/>
  <c r="T191" i="12"/>
  <c r="Y189" i="12" a="1"/>
  <c r="Y189" i="12" s="1"/>
  <c r="T189" i="12"/>
  <c r="Y187" i="12" a="1"/>
  <c r="Y187" i="12" s="1"/>
  <c r="T187" i="12"/>
  <c r="Y185" i="12" a="1"/>
  <c r="Y185" i="12" s="1"/>
  <c r="T185" i="12"/>
  <c r="Y183" i="12" a="1"/>
  <c r="Y183" i="12" s="1"/>
  <c r="T183" i="12"/>
  <c r="Y181" i="12" a="1"/>
  <c r="Y181" i="12" s="1"/>
  <c r="T181" i="12"/>
  <c r="Y179" i="12" a="1"/>
  <c r="Y179" i="12" s="1"/>
  <c r="T179" i="12"/>
  <c r="Y177" i="12" a="1"/>
  <c r="Y177" i="12" s="1"/>
  <c r="T177" i="12"/>
  <c r="Y175" i="12" a="1"/>
  <c r="Y175" i="12" s="1"/>
  <c r="T175" i="12"/>
  <c r="Y173" i="12" a="1"/>
  <c r="Y173" i="12" s="1"/>
  <c r="T173" i="12"/>
  <c r="Y171" i="12" a="1"/>
  <c r="Y171" i="12" s="1"/>
  <c r="T171" i="12"/>
  <c r="Y169" i="12" a="1"/>
  <c r="Y169" i="12" s="1"/>
  <c r="T169" i="12"/>
  <c r="Y167" i="12" a="1"/>
  <c r="Y167" i="12" s="1"/>
  <c r="T167" i="12"/>
  <c r="Y165" i="12" a="1"/>
  <c r="Y165" i="12" s="1"/>
  <c r="T165" i="12"/>
  <c r="Y163" i="12" a="1"/>
  <c r="Y163" i="12" s="1"/>
  <c r="T163" i="12"/>
  <c r="Y161" i="12" a="1"/>
  <c r="Y161" i="12" s="1"/>
  <c r="T161" i="12"/>
  <c r="Y159" i="12" a="1"/>
  <c r="Y159" i="12" s="1"/>
  <c r="T159" i="12"/>
  <c r="Y157" i="12" a="1"/>
  <c r="Y157" i="12" s="1"/>
  <c r="T157" i="12"/>
  <c r="Y155" i="12" a="1"/>
  <c r="Y155" i="12" s="1"/>
  <c r="T155" i="12"/>
  <c r="Y153" i="12" a="1"/>
  <c r="Y153" i="12" s="1"/>
  <c r="T153" i="12"/>
  <c r="Y151" i="12" a="1"/>
  <c r="Y151" i="12" s="1"/>
  <c r="T151" i="12"/>
  <c r="Y149" i="12" a="1"/>
  <c r="Y149" i="12" s="1"/>
  <c r="T149" i="12"/>
  <c r="Y147" i="12" a="1"/>
  <c r="Y147" i="12" s="1"/>
  <c r="T147" i="12"/>
  <c r="Y145" i="12" a="1"/>
  <c r="Y145" i="12" s="1"/>
  <c r="T145" i="12"/>
  <c r="Y143" i="12" a="1"/>
  <c r="Y143" i="12" s="1"/>
  <c r="T143" i="12"/>
  <c r="Y141" i="12" a="1"/>
  <c r="Y141" i="12" s="1"/>
  <c r="T141" i="12"/>
  <c r="Y139" i="12" a="1"/>
  <c r="Y139" i="12" s="1"/>
  <c r="T139" i="12"/>
  <c r="Y137" i="12" a="1"/>
  <c r="Y137" i="12" s="1"/>
  <c r="T137" i="12"/>
  <c r="Y135" i="12" a="1"/>
  <c r="Y135" i="12" s="1"/>
  <c r="T135" i="12"/>
  <c r="Y133" i="12" a="1"/>
  <c r="Y133" i="12" s="1"/>
  <c r="T133" i="12"/>
  <c r="Y131" i="12" a="1"/>
  <c r="Y131" i="12" s="1"/>
  <c r="T131" i="12"/>
  <c r="Y129" i="12" a="1"/>
  <c r="Y129" i="12" s="1"/>
  <c r="T129" i="12"/>
  <c r="Y127" i="12" a="1"/>
  <c r="Y127" i="12" s="1"/>
  <c r="T127" i="12"/>
  <c r="Y125" i="12" a="1"/>
  <c r="Y125" i="12" s="1"/>
  <c r="T125" i="12"/>
  <c r="Y123" i="12" a="1"/>
  <c r="Y123" i="12" s="1"/>
  <c r="T123" i="12"/>
  <c r="Y121" i="12" a="1"/>
  <c r="Y121" i="12" s="1"/>
  <c r="T121" i="12"/>
  <c r="Y119" i="12" a="1"/>
  <c r="Y119" i="12" s="1"/>
  <c r="T119" i="12"/>
  <c r="Y117" i="12" a="1"/>
  <c r="Y117" i="12" s="1"/>
  <c r="T117" i="12"/>
  <c r="Y115" i="12" a="1"/>
  <c r="Y115" i="12" s="1"/>
  <c r="T115" i="12"/>
  <c r="Y113" i="12" a="1"/>
  <c r="Y113" i="12" s="1"/>
  <c r="T113" i="12"/>
  <c r="Y111" i="12" a="1"/>
  <c r="Y111" i="12" s="1"/>
  <c r="T111" i="12"/>
  <c r="Y109" i="12" a="1"/>
  <c r="Y109" i="12" s="1"/>
  <c r="T109" i="12"/>
  <c r="Y107" i="12" a="1"/>
  <c r="Y107" i="12" s="1"/>
  <c r="T107" i="12"/>
  <c r="Y105" i="12" a="1"/>
  <c r="Y105" i="12" s="1"/>
  <c r="T105" i="12"/>
  <c r="Y103" i="12" a="1"/>
  <c r="Y103" i="12" s="1"/>
  <c r="T103" i="12"/>
  <c r="Y101" i="12" a="1"/>
  <c r="Y101" i="12" s="1"/>
  <c r="T101" i="12"/>
  <c r="Y99" i="12" a="1"/>
  <c r="Y99" i="12" s="1"/>
  <c r="T99" i="12"/>
  <c r="Y97" i="12" a="1"/>
  <c r="Y97" i="12" s="1"/>
  <c r="T97" i="12"/>
  <c r="Y95" i="12" a="1"/>
  <c r="Y95" i="12" s="1"/>
  <c r="T95" i="12"/>
  <c r="Y93" i="12" a="1"/>
  <c r="Y93" i="12" s="1"/>
  <c r="T93" i="12"/>
  <c r="Y91" i="12" a="1"/>
  <c r="Y91" i="12" s="1"/>
  <c r="T91" i="12"/>
  <c r="Y89" i="12" a="1"/>
  <c r="Y89" i="12" s="1"/>
  <c r="T89" i="12"/>
  <c r="Y87" i="12" a="1"/>
  <c r="Y87" i="12" s="1"/>
  <c r="T87" i="12"/>
  <c r="Y85" i="12" a="1"/>
  <c r="Y85" i="12" s="1"/>
  <c r="T85" i="12"/>
  <c r="Y83" i="12" a="1"/>
  <c r="Y83" i="12" s="1"/>
  <c r="T83" i="12"/>
  <c r="Y81" i="12" a="1"/>
  <c r="Y81" i="12" s="1"/>
  <c r="T81" i="12"/>
  <c r="Y79" i="12" a="1"/>
  <c r="Y79" i="12" s="1"/>
  <c r="T79" i="12"/>
  <c r="Y77" i="12" a="1"/>
  <c r="Y77" i="12" s="1"/>
  <c r="T77" i="12"/>
  <c r="Y75" i="12" a="1"/>
  <c r="Y75" i="12" s="1"/>
  <c r="T75" i="12"/>
  <c r="Y73" i="12" a="1"/>
  <c r="Y73" i="12" s="1"/>
  <c r="T73" i="12"/>
  <c r="Y71" i="12" a="1"/>
  <c r="Y71" i="12" s="1"/>
  <c r="T71" i="12"/>
  <c r="Y69" i="12" a="1"/>
  <c r="Y69" i="12" s="1"/>
  <c r="T69" i="12"/>
  <c r="Y67" i="12" a="1"/>
  <c r="Y67" i="12" s="1"/>
  <c r="T67" i="12"/>
  <c r="Y65" i="12" a="1"/>
  <c r="Y65" i="12" s="1"/>
  <c r="T65" i="12"/>
  <c r="Y63" i="12" a="1"/>
  <c r="Y63" i="12" s="1"/>
  <c r="T63" i="12"/>
  <c r="Y61" i="12" a="1"/>
  <c r="Y61" i="12" s="1"/>
  <c r="T61" i="12"/>
  <c r="Y59" i="12" a="1"/>
  <c r="Y59" i="12" s="1"/>
  <c r="T59" i="12"/>
  <c r="Y57" i="12" a="1"/>
  <c r="Y57" i="12" s="1"/>
  <c r="T57" i="12"/>
  <c r="Y55" i="12" a="1"/>
  <c r="Y55" i="12" s="1"/>
  <c r="T55" i="12"/>
  <c r="Y53" i="12" a="1"/>
  <c r="Y53" i="12" s="1"/>
  <c r="T53" i="12"/>
  <c r="Y51" i="12" a="1"/>
  <c r="Y51" i="12" s="1"/>
  <c r="T51" i="12"/>
  <c r="Y49" i="12" a="1"/>
  <c r="Y49" i="12" s="1"/>
  <c r="T49" i="12"/>
  <c r="Y47" i="12" a="1"/>
  <c r="Y47" i="12" s="1"/>
  <c r="T47" i="12"/>
  <c r="Y45" i="12" a="1"/>
  <c r="Y45" i="12" s="1"/>
  <c r="T45" i="12"/>
  <c r="Y43" i="12" a="1"/>
  <c r="Y43" i="12" s="1"/>
  <c r="T43" i="12"/>
  <c r="Y41" i="12" a="1"/>
  <c r="Y41" i="12" s="1"/>
  <c r="T41" i="12"/>
  <c r="Y39" i="12" a="1"/>
  <c r="Y39" i="12" s="1"/>
  <c r="T39" i="12"/>
  <c r="Y37" i="12" a="1"/>
  <c r="Y37" i="12" s="1"/>
  <c r="T37" i="12"/>
  <c r="Y35" i="12" a="1"/>
  <c r="Y35" i="12" s="1"/>
  <c r="T35" i="12"/>
  <c r="Y33" i="12" a="1"/>
  <c r="Y33" i="12" s="1"/>
  <c r="T33" i="12"/>
  <c r="Y31" i="12" a="1"/>
  <c r="Y31" i="12" s="1"/>
  <c r="T31" i="12"/>
  <c r="Y29" i="12" a="1"/>
  <c r="Y29" i="12" s="1"/>
  <c r="T29" i="12"/>
  <c r="Y27" i="12" a="1"/>
  <c r="Y27" i="12" s="1"/>
  <c r="T27" i="12"/>
  <c r="Y25" i="12" a="1"/>
  <c r="Y25" i="12" s="1"/>
  <c r="T25" i="12"/>
  <c r="Y23" i="12" a="1"/>
  <c r="Y23" i="12" s="1"/>
  <c r="T23" i="12"/>
  <c r="Y21" i="12" a="1"/>
  <c r="Y21" i="12" s="1"/>
  <c r="T21" i="12"/>
  <c r="Y19" i="12" a="1"/>
  <c r="Y19" i="12" s="1"/>
  <c r="T19" i="12"/>
  <c r="Y17" i="12" a="1"/>
  <c r="Y17" i="12" s="1"/>
  <c r="T17" i="12"/>
  <c r="Y15" i="12" a="1"/>
  <c r="Y15" i="12" s="1"/>
  <c r="T15" i="12"/>
  <c r="Y13" i="12" a="1"/>
  <c r="Y13" i="12" s="1"/>
  <c r="T13" i="12"/>
  <c r="Y11" i="12" a="1"/>
  <c r="Y11" i="12" s="1"/>
  <c r="T11" i="12"/>
  <c r="Y9" i="12" a="1"/>
  <c r="Y9" i="12" s="1"/>
  <c r="T9" i="12"/>
  <c r="Y7" i="12" a="1"/>
  <c r="Y7" i="12" s="1"/>
  <c r="T7" i="12"/>
  <c r="Y5" i="12" a="1"/>
  <c r="Y5" i="12" s="1"/>
  <c r="T5" i="12"/>
  <c r="T3" i="12"/>
  <c r="T1483" i="12"/>
  <c r="T1481" i="12"/>
  <c r="T1479" i="12"/>
  <c r="T1477" i="12"/>
  <c r="T1475" i="12"/>
  <c r="T1473" i="12"/>
  <c r="T1471" i="12"/>
  <c r="T1469" i="12"/>
  <c r="T1467" i="12"/>
  <c r="T1465" i="12"/>
  <c r="T1463" i="12"/>
  <c r="T1461" i="12"/>
  <c r="T1459" i="12"/>
  <c r="T1457" i="12"/>
  <c r="T1455" i="12"/>
  <c r="T1453" i="12"/>
  <c r="T1451" i="12"/>
  <c r="T1449" i="12"/>
  <c r="T1447" i="12"/>
  <c r="T1445" i="12"/>
  <c r="T1443" i="12"/>
  <c r="T1441" i="12"/>
  <c r="T1439" i="12"/>
  <c r="T1437" i="12"/>
  <c r="T1435" i="12"/>
  <c r="T1433" i="12"/>
  <c r="T1431" i="12"/>
  <c r="T1429" i="12"/>
  <c r="T1427" i="12"/>
  <c r="T1425" i="12"/>
  <c r="T1423" i="12"/>
  <c r="T1421" i="12"/>
  <c r="T1419" i="12"/>
  <c r="T1417" i="12"/>
  <c r="T1415" i="12"/>
  <c r="T1413" i="12"/>
  <c r="T1411" i="12"/>
  <c r="T1409" i="12"/>
  <c r="T1407" i="12"/>
  <c r="T1405" i="12"/>
  <c r="T1403" i="12"/>
  <c r="T1401" i="12"/>
  <c r="T1399" i="12"/>
  <c r="T1397" i="12"/>
  <c r="T1395" i="12"/>
  <c r="T1393" i="12"/>
  <c r="T1391" i="12"/>
  <c r="T1389" i="12"/>
  <c r="T1387" i="12"/>
  <c r="T1385" i="12"/>
  <c r="T1383" i="12"/>
  <c r="T1381" i="12"/>
  <c r="T1379" i="12"/>
  <c r="T1377" i="12"/>
  <c r="T1375" i="12"/>
  <c r="T1373" i="12"/>
  <c r="T1371" i="12"/>
  <c r="T1369" i="12"/>
  <c r="T1367" i="12"/>
  <c r="T1365" i="12"/>
  <c r="T1363" i="12"/>
  <c r="T1361" i="12"/>
  <c r="T1359" i="12"/>
  <c r="T1357" i="12"/>
  <c r="T1355" i="12"/>
  <c r="T1353" i="12"/>
  <c r="T1351" i="12"/>
  <c r="T1349" i="12"/>
  <c r="T1347" i="12"/>
  <c r="T1345" i="12"/>
  <c r="T1343" i="12"/>
  <c r="T1341" i="12"/>
  <c r="T1339" i="12"/>
  <c r="T1337" i="12"/>
  <c r="T1335" i="12"/>
  <c r="T1333" i="12"/>
  <c r="T1331" i="12"/>
  <c r="T1329" i="12"/>
  <c r="T1327" i="12"/>
  <c r="T1325" i="12"/>
  <c r="T1323" i="12"/>
  <c r="T1321" i="12"/>
  <c r="T1319" i="12"/>
  <c r="T1317" i="12"/>
  <c r="T1315" i="12"/>
  <c r="T1313" i="12"/>
  <c r="T1311" i="12"/>
  <c r="T1309" i="12"/>
  <c r="T1307" i="12"/>
  <c r="T1305" i="12"/>
  <c r="T1303" i="12"/>
  <c r="T1301" i="12"/>
  <c r="T1299" i="12"/>
  <c r="T1297" i="12"/>
  <c r="T1295" i="12"/>
  <c r="T1293" i="12"/>
  <c r="T1291" i="12"/>
  <c r="T1289" i="12"/>
  <c r="T1287" i="12"/>
  <c r="T1285" i="12"/>
  <c r="T1283" i="12"/>
  <c r="T1281" i="12"/>
  <c r="T1279" i="12"/>
  <c r="T1277" i="12"/>
  <c r="T1275" i="12"/>
  <c r="T1273" i="12"/>
  <c r="T1271" i="12"/>
  <c r="T1269" i="12"/>
  <c r="T1267" i="12"/>
  <c r="T1265" i="12"/>
  <c r="T1263" i="12"/>
  <c r="T1261" i="12"/>
  <c r="T1259" i="12"/>
  <c r="T1257" i="12"/>
  <c r="T1255" i="12"/>
  <c r="T1253" i="12"/>
  <c r="T1251" i="12"/>
  <c r="T1249" i="12"/>
  <c r="T1247" i="12"/>
  <c r="T1245" i="12"/>
  <c r="T1243" i="12"/>
  <c r="T1241" i="12"/>
  <c r="T1239" i="12"/>
  <c r="T1237" i="12"/>
  <c r="T1235" i="12"/>
  <c r="T1233" i="12"/>
  <c r="T1231" i="12"/>
  <c r="T1229" i="12"/>
  <c r="T1227" i="12"/>
  <c r="T1225" i="12"/>
  <c r="T1223" i="12"/>
  <c r="T1221" i="12"/>
  <c r="T1219" i="12"/>
  <c r="T1217" i="12"/>
  <c r="T1215" i="12"/>
  <c r="T1213" i="12"/>
  <c r="T1211" i="12"/>
  <c r="T1209" i="12"/>
  <c r="T1207" i="12"/>
  <c r="T1205" i="12"/>
  <c r="T1203" i="12"/>
  <c r="T1201" i="12"/>
  <c r="T1199" i="12"/>
  <c r="T1197" i="12"/>
  <c r="T1195" i="12"/>
  <c r="T1193" i="12"/>
  <c r="T1191" i="12"/>
  <c r="T1189" i="12"/>
  <c r="T1187" i="12"/>
  <c r="T1185" i="12"/>
  <c r="T1183" i="12"/>
  <c r="T1181" i="12"/>
  <c r="T1179" i="12"/>
  <c r="T1177" i="12"/>
  <c r="T1175" i="12"/>
  <c r="T1173" i="12"/>
  <c r="T1171" i="12"/>
  <c r="T1169" i="12"/>
  <c r="T1167" i="12"/>
  <c r="T1165" i="12"/>
  <c r="T1163" i="12"/>
  <c r="T1161" i="12"/>
  <c r="T1159" i="12"/>
  <c r="T1157" i="12"/>
  <c r="T1155" i="12"/>
  <c r="T1153" i="12"/>
  <c r="T1151" i="12"/>
  <c r="T1149" i="12"/>
  <c r="T1147" i="12"/>
  <c r="T1145" i="12"/>
  <c r="T1143" i="12"/>
  <c r="T1141" i="12"/>
  <c r="T1139" i="12"/>
  <c r="T1137" i="12"/>
  <c r="T1135" i="12"/>
  <c r="T1133" i="12"/>
  <c r="T1131" i="12"/>
  <c r="T1129" i="12"/>
  <c r="T1127" i="12"/>
  <c r="T1125" i="12"/>
  <c r="T1123" i="12"/>
  <c r="T1121" i="12"/>
  <c r="T1119" i="12"/>
  <c r="T1117" i="12"/>
  <c r="T1115" i="12"/>
  <c r="T1113" i="12"/>
  <c r="T1111" i="12"/>
  <c r="T1109" i="12"/>
  <c r="T1107" i="12"/>
  <c r="T1105" i="12"/>
  <c r="T1103" i="12"/>
  <c r="T1101" i="12"/>
  <c r="T1099" i="12"/>
  <c r="T1097" i="12"/>
  <c r="T1095" i="12"/>
  <c r="T1093" i="12"/>
  <c r="T1091" i="12"/>
  <c r="T1089" i="12"/>
  <c r="T1087" i="12"/>
  <c r="T1085" i="12"/>
  <c r="T1083" i="12"/>
  <c r="T1081" i="12"/>
  <c r="T1079" i="12"/>
  <c r="T1077" i="12"/>
  <c r="T1075" i="12"/>
  <c r="T1073" i="12"/>
  <c r="T1071" i="12"/>
  <c r="T1069" i="12"/>
  <c r="T1067" i="12"/>
  <c r="T1065" i="12"/>
  <c r="T1063" i="12"/>
  <c r="T1061" i="12"/>
  <c r="T1059" i="12"/>
  <c r="T1057" i="12"/>
  <c r="T1055" i="12"/>
  <c r="T1053" i="12"/>
  <c r="T1051" i="12"/>
  <c r="T1049" i="12"/>
  <c r="T1047" i="12"/>
  <c r="T1045" i="12"/>
  <c r="T1043" i="12"/>
  <c r="T1041" i="12"/>
  <c r="T1039" i="12"/>
  <c r="T1037" i="12"/>
  <c r="T1035" i="12"/>
  <c r="T1033" i="12"/>
  <c r="T1031" i="12"/>
  <c r="T1029" i="12"/>
  <c r="T1027" i="12"/>
  <c r="T1025" i="12"/>
  <c r="T1023" i="12"/>
  <c r="T1021" i="12"/>
  <c r="T1019" i="12"/>
  <c r="T1017" i="12"/>
  <c r="T1015" i="12"/>
  <c r="T1013" i="12"/>
  <c r="T1011" i="12"/>
  <c r="T1009" i="12"/>
  <c r="T1007" i="12"/>
  <c r="T1005" i="12"/>
  <c r="T1003" i="12"/>
  <c r="T1001" i="12"/>
  <c r="T999" i="12"/>
  <c r="T997" i="12"/>
  <c r="T995" i="12"/>
  <c r="T993" i="12"/>
  <c r="T991" i="12"/>
  <c r="T989" i="12"/>
  <c r="T987" i="12"/>
  <c r="T985" i="12"/>
  <c r="T983" i="12"/>
  <c r="T981" i="12"/>
  <c r="T979" i="12"/>
  <c r="T977" i="12"/>
  <c r="T975" i="12"/>
  <c r="T973" i="12"/>
  <c r="T971" i="12"/>
  <c r="T969" i="12"/>
  <c r="T967" i="12"/>
  <c r="T965" i="12"/>
  <c r="T963" i="12"/>
  <c r="T961" i="12"/>
  <c r="T959" i="12"/>
  <c r="T957" i="12"/>
  <c r="T955" i="12"/>
  <c r="T953" i="12"/>
  <c r="T951" i="12"/>
  <c r="T949" i="12"/>
  <c r="T947" i="12"/>
  <c r="T945" i="12"/>
  <c r="T943" i="12"/>
  <c r="T941" i="12"/>
  <c r="T939" i="12"/>
  <c r="T937" i="12"/>
  <c r="T935" i="12"/>
  <c r="T933" i="12"/>
  <c r="T931" i="12"/>
  <c r="T929" i="12"/>
  <c r="T927" i="12"/>
  <c r="T925" i="12"/>
  <c r="T923" i="12"/>
  <c r="T921" i="12"/>
  <c r="T919" i="12"/>
  <c r="T917" i="12"/>
  <c r="T915" i="12"/>
  <c r="T913" i="12"/>
  <c r="T911" i="12"/>
  <c r="T909" i="12"/>
  <c r="T907" i="12"/>
  <c r="T905" i="12"/>
  <c r="T903" i="12"/>
  <c r="T901" i="12"/>
  <c r="T899" i="12"/>
  <c r="T897" i="12"/>
  <c r="T895" i="12"/>
  <c r="T893" i="12"/>
  <c r="T891" i="12"/>
  <c r="T889" i="12"/>
  <c r="T887" i="12"/>
  <c r="T885" i="12"/>
  <c r="T883" i="12"/>
  <c r="T881" i="12"/>
  <c r="T879" i="12"/>
  <c r="T877" i="12"/>
  <c r="T875" i="12"/>
  <c r="T873" i="12"/>
  <c r="T871" i="12"/>
  <c r="T869" i="12"/>
  <c r="T867" i="12"/>
  <c r="T865" i="12"/>
  <c r="T863" i="12"/>
  <c r="T861" i="12"/>
  <c r="T859" i="12"/>
  <c r="T857" i="12"/>
  <c r="T855" i="12"/>
  <c r="T853" i="12"/>
  <c r="T851" i="12"/>
  <c r="T849" i="12"/>
  <c r="T847" i="12"/>
  <c r="T845" i="12"/>
  <c r="T843" i="12"/>
  <c r="T841" i="12"/>
  <c r="T839" i="12"/>
  <c r="T837" i="12"/>
  <c r="T835" i="12"/>
  <c r="T833" i="12"/>
  <c r="T831" i="12"/>
  <c r="T829" i="12"/>
  <c r="T827" i="12"/>
  <c r="T825" i="12"/>
  <c r="T823" i="12"/>
  <c r="T821" i="12"/>
  <c r="T819" i="12"/>
  <c r="T817" i="12"/>
  <c r="T815" i="12"/>
  <c r="T813" i="12"/>
  <c r="T811" i="12"/>
  <c r="T809" i="12"/>
  <c r="T807" i="12"/>
  <c r="T805" i="12"/>
  <c r="T803" i="12"/>
  <c r="T801" i="12"/>
  <c r="T799" i="12"/>
  <c r="T797" i="12"/>
  <c r="T794" i="12"/>
  <c r="T790" i="12"/>
  <c r="T786" i="12"/>
  <c r="T782" i="12"/>
  <c r="T778" i="12"/>
  <c r="T774" i="12"/>
  <c r="T770" i="12"/>
  <c r="T766" i="12"/>
  <c r="T762" i="12"/>
  <c r="T758" i="12"/>
  <c r="T754" i="12"/>
  <c r="T750" i="12"/>
  <c r="T746" i="12"/>
  <c r="T742" i="12"/>
  <c r="T738" i="12"/>
  <c r="T734" i="12"/>
  <c r="T730" i="12"/>
  <c r="T726" i="12"/>
  <c r="T722" i="12"/>
  <c r="T718" i="12"/>
  <c r="T714" i="12"/>
  <c r="T710" i="12"/>
  <c r="T706" i="12"/>
  <c r="T702" i="12"/>
  <c r="T698" i="12"/>
  <c r="T694" i="12"/>
  <c r="T690" i="12"/>
  <c r="T686" i="12"/>
  <c r="T682" i="12"/>
  <c r="T678" i="12"/>
  <c r="T674" i="12"/>
  <c r="T670" i="12"/>
  <c r="T666" i="12"/>
  <c r="T662" i="12"/>
  <c r="T658" i="12"/>
  <c r="T654" i="12"/>
  <c r="T650" i="12"/>
  <c r="T646" i="12"/>
  <c r="T642" i="12"/>
  <c r="T638" i="12"/>
  <c r="T634" i="12"/>
  <c r="T630" i="12"/>
  <c r="T626" i="12"/>
  <c r="T622" i="12"/>
  <c r="T618" i="12"/>
  <c r="T614" i="12"/>
  <c r="T610" i="12"/>
  <c r="T606" i="12"/>
  <c r="T602" i="12"/>
  <c r="T598" i="12"/>
  <c r="T594" i="12"/>
  <c r="T590" i="12"/>
  <c r="T586" i="12"/>
  <c r="T582" i="12"/>
  <c r="T578" i="12"/>
  <c r="T574" i="12"/>
  <c r="T570" i="12"/>
  <c r="T566" i="12"/>
  <c r="T562" i="12"/>
  <c r="T558" i="12"/>
  <c r="T554" i="12"/>
  <c r="T550" i="12"/>
  <c r="T546" i="12"/>
  <c r="T542" i="12"/>
  <c r="T538" i="12"/>
  <c r="T534" i="12"/>
  <c r="T530" i="12"/>
  <c r="T526" i="12"/>
  <c r="T522" i="12"/>
  <c r="T518" i="12"/>
  <c r="T514" i="12"/>
  <c r="T510" i="12"/>
  <c r="T506" i="12"/>
  <c r="T502" i="12"/>
  <c r="T498" i="12"/>
  <c r="T494" i="12"/>
  <c r="T490" i="12"/>
  <c r="T486" i="12"/>
  <c r="T482" i="12"/>
  <c r="T478" i="12"/>
  <c r="T474" i="12"/>
  <c r="T470" i="12"/>
  <c r="T466" i="12"/>
  <c r="T462" i="12"/>
  <c r="T458" i="12"/>
  <c r="T454" i="12"/>
  <c r="T450" i="12"/>
  <c r="T446" i="12"/>
  <c r="T442" i="12"/>
  <c r="T438" i="12"/>
  <c r="T434" i="12"/>
  <c r="T430" i="12"/>
  <c r="T426" i="12"/>
  <c r="T422" i="12"/>
  <c r="T418" i="12"/>
  <c r="T414" i="12"/>
  <c r="T410" i="12"/>
  <c r="T406" i="12"/>
  <c r="T402" i="12"/>
  <c r="T398" i="12"/>
  <c r="T394" i="12"/>
  <c r="T390" i="12"/>
  <c r="T386" i="12"/>
  <c r="T382" i="12"/>
  <c r="T378" i="12"/>
  <c r="T374" i="12"/>
  <c r="T370" i="12"/>
  <c r="T366" i="12"/>
  <c r="T362" i="12"/>
  <c r="T358" i="12"/>
  <c r="T354" i="12"/>
  <c r="T350" i="12"/>
  <c r="T346" i="12"/>
  <c r="T342" i="12"/>
  <c r="T338" i="12"/>
  <c r="T334" i="12"/>
  <c r="T330" i="12"/>
  <c r="T326" i="12"/>
  <c r="T322" i="12"/>
  <c r="T318" i="12"/>
  <c r="T314" i="12"/>
  <c r="T310" i="12"/>
  <c r="T306" i="12"/>
  <c r="T302" i="12"/>
  <c r="T298" i="12"/>
  <c r="T294" i="12"/>
  <c r="T290" i="12"/>
  <c r="T286" i="12"/>
  <c r="T282" i="12"/>
  <c r="T278" i="12"/>
  <c r="T274" i="12"/>
  <c r="T270" i="12"/>
  <c r="T266" i="12"/>
  <c r="T262" i="12"/>
  <c r="T258" i="12"/>
  <c r="T254" i="12"/>
  <c r="T250" i="12"/>
  <c r="T246" i="12"/>
  <c r="T242" i="12"/>
  <c r="T238" i="12"/>
  <c r="T234" i="12"/>
  <c r="T230" i="12"/>
  <c r="T226" i="12"/>
  <c r="T220" i="12"/>
  <c r="T212" i="12"/>
  <c r="T204" i="12"/>
  <c r="T196" i="12"/>
  <c r="T188" i="12"/>
  <c r="T180" i="12"/>
  <c r="T172" i="12"/>
  <c r="T164" i="12"/>
  <c r="T156" i="12"/>
  <c r="T148" i="12"/>
  <c r="T140" i="12"/>
  <c r="K285" i="12" l="1"/>
  <c r="N285" i="12" s="1"/>
  <c r="O285" i="12" s="1"/>
  <c r="K286" i="12"/>
  <c r="L286" i="12" s="1"/>
  <c r="K287" i="12"/>
  <c r="N287" i="12" s="1"/>
  <c r="O287" i="12" s="1"/>
  <c r="K288" i="12"/>
  <c r="L288" i="12" s="1"/>
  <c r="K289" i="12"/>
  <c r="L289" i="12" s="1"/>
  <c r="K290" i="12"/>
  <c r="L290" i="12" s="1"/>
  <c r="K291" i="12"/>
  <c r="N291" i="12" s="1"/>
  <c r="O291" i="12" s="1"/>
  <c r="K292" i="12"/>
  <c r="L292" i="12" s="1"/>
  <c r="K293" i="12"/>
  <c r="N293" i="12" s="1"/>
  <c r="O293" i="12" s="1"/>
  <c r="K294" i="12"/>
  <c r="L294" i="12" s="1"/>
  <c r="K296" i="12"/>
  <c r="N296" i="12" s="1"/>
  <c r="O296" i="12" s="1"/>
  <c r="K297" i="12"/>
  <c r="L297" i="12" s="1"/>
  <c r="K298" i="12"/>
  <c r="L298" i="12" s="1"/>
  <c r="K299" i="12"/>
  <c r="L299" i="12" s="1"/>
  <c r="K300" i="12"/>
  <c r="N300" i="12" s="1"/>
  <c r="O300" i="12" s="1"/>
  <c r="K301" i="12"/>
  <c r="L301" i="12" s="1"/>
  <c r="K302" i="12"/>
  <c r="L302" i="12" s="1"/>
  <c r="K303" i="12"/>
  <c r="L303" i="12" s="1"/>
  <c r="K304" i="12"/>
  <c r="L304" i="12" s="1"/>
  <c r="K305" i="12"/>
  <c r="L305" i="12" s="1"/>
  <c r="K307" i="12"/>
  <c r="L307" i="12" s="1"/>
  <c r="K308" i="12"/>
  <c r="L308" i="12" s="1"/>
  <c r="K309" i="12"/>
  <c r="L309" i="12" s="1"/>
  <c r="K310" i="12"/>
  <c r="L310" i="12" s="1"/>
  <c r="K311" i="12"/>
  <c r="L311" i="12" s="1"/>
  <c r="K312" i="12"/>
  <c r="L312" i="12" s="1"/>
  <c r="K313" i="12"/>
  <c r="L313" i="12" s="1"/>
  <c r="K314" i="12"/>
  <c r="L314" i="12" s="1"/>
  <c r="K315" i="12"/>
  <c r="L315" i="12" s="1"/>
  <c r="K316" i="12"/>
  <c r="L316" i="12" s="1"/>
  <c r="K318" i="12"/>
  <c r="L318" i="12" s="1"/>
  <c r="K319" i="12"/>
  <c r="L319" i="12" s="1"/>
  <c r="K320" i="12"/>
  <c r="L320" i="12" s="1"/>
  <c r="K321" i="12"/>
  <c r="L321" i="12" s="1"/>
  <c r="K322" i="12"/>
  <c r="L322" i="12" s="1"/>
  <c r="K323" i="12"/>
  <c r="L323" i="12" s="1"/>
  <c r="K324" i="12"/>
  <c r="L324" i="12" s="1"/>
  <c r="K325" i="12"/>
  <c r="L325" i="12" s="1"/>
  <c r="K328" i="12"/>
  <c r="L328" i="12" s="1"/>
  <c r="K329" i="12"/>
  <c r="L329" i="12" s="1"/>
  <c r="K330" i="12"/>
  <c r="L330" i="12" s="1"/>
  <c r="K331" i="12"/>
  <c r="L331" i="12" s="1"/>
  <c r="K332" i="12"/>
  <c r="L332" i="12" s="1"/>
  <c r="K334" i="12"/>
  <c r="L334" i="12" s="1"/>
  <c r="K335" i="12"/>
  <c r="L335" i="12" s="1"/>
  <c r="K336" i="12"/>
  <c r="L336" i="12" s="1"/>
  <c r="K337" i="12"/>
  <c r="L337" i="12" s="1"/>
  <c r="K338" i="12"/>
  <c r="L338" i="12" s="1"/>
  <c r="K339" i="12"/>
  <c r="L339" i="12" s="1"/>
  <c r="K340" i="12"/>
  <c r="L340" i="12" s="1"/>
  <c r="K341" i="12"/>
  <c r="L341" i="12" s="1"/>
  <c r="K342" i="12"/>
  <c r="L342" i="12" s="1"/>
  <c r="K343" i="12"/>
  <c r="L343" i="12" s="1"/>
  <c r="K344" i="12"/>
  <c r="L344" i="12" s="1"/>
  <c r="K349" i="12"/>
  <c r="L349" i="12" s="1"/>
  <c r="K350" i="12"/>
  <c r="L350" i="12" s="1"/>
  <c r="K351" i="12"/>
  <c r="L351" i="12" s="1"/>
  <c r="K352" i="12"/>
  <c r="L352" i="12" s="1"/>
  <c r="K353" i="12"/>
  <c r="L353" i="12" s="1"/>
  <c r="K354" i="12"/>
  <c r="L354" i="12" s="1"/>
  <c r="K356" i="12"/>
  <c r="L356" i="12" s="1"/>
  <c r="K357" i="12"/>
  <c r="L357" i="12" s="1"/>
  <c r="K358" i="12"/>
  <c r="L358" i="12" s="1"/>
  <c r="K361" i="12"/>
  <c r="L361" i="12" s="1"/>
  <c r="K362" i="12"/>
  <c r="L362" i="12" s="1"/>
  <c r="K363" i="12"/>
  <c r="L363" i="12" s="1"/>
  <c r="K364" i="12"/>
  <c r="L364" i="12" s="1"/>
  <c r="K365" i="12"/>
  <c r="L365" i="12" s="1"/>
  <c r="K367" i="12"/>
  <c r="L367" i="12" s="1"/>
  <c r="K368" i="12"/>
  <c r="L368" i="12" s="1"/>
  <c r="K369" i="12"/>
  <c r="L369" i="12" s="1"/>
  <c r="K370" i="12"/>
  <c r="L370" i="12" s="1"/>
  <c r="K371" i="12"/>
  <c r="L371" i="12" s="1"/>
  <c r="K372" i="12"/>
  <c r="L372" i="12" s="1"/>
  <c r="K373" i="12"/>
  <c r="L373" i="12" s="1"/>
  <c r="K374" i="12"/>
  <c r="L374" i="12" s="1"/>
  <c r="K375" i="12"/>
  <c r="L375" i="12" s="1"/>
  <c r="K376" i="12"/>
  <c r="L376" i="12" s="1"/>
  <c r="K377" i="12"/>
  <c r="L377" i="12" s="1"/>
  <c r="K378" i="12"/>
  <c r="L378" i="12" s="1"/>
  <c r="K379" i="12"/>
  <c r="L379" i="12" s="1"/>
  <c r="K380" i="12"/>
  <c r="L380" i="12" s="1"/>
  <c r="K381" i="12"/>
  <c r="L381" i="12" s="1"/>
  <c r="K383" i="12"/>
  <c r="L383" i="12" s="1"/>
  <c r="K384" i="12"/>
  <c r="L384" i="12" s="1"/>
  <c r="K385" i="12"/>
  <c r="L385" i="12" s="1"/>
  <c r="K386" i="12"/>
  <c r="L386" i="12" s="1"/>
  <c r="K387" i="12"/>
  <c r="L387" i="12" s="1"/>
  <c r="K388" i="12"/>
  <c r="L388" i="12" s="1"/>
  <c r="K389" i="12"/>
  <c r="L389" i="12" s="1"/>
  <c r="K390" i="12"/>
  <c r="L390" i="12" s="1"/>
  <c r="K391" i="12"/>
  <c r="L391" i="12" s="1"/>
  <c r="K392" i="12"/>
  <c r="L392" i="12" s="1"/>
  <c r="K393" i="12"/>
  <c r="L393" i="12" s="1"/>
  <c r="K394" i="12"/>
  <c r="L394" i="12" s="1"/>
  <c r="K395" i="12"/>
  <c r="L395" i="12" s="1"/>
  <c r="K396" i="12"/>
  <c r="L396" i="12" s="1"/>
  <c r="K397" i="12"/>
  <c r="L397" i="12" s="1"/>
  <c r="K398" i="12"/>
  <c r="L398" i="12" s="1"/>
  <c r="K399" i="12"/>
  <c r="L399" i="12" s="1"/>
  <c r="K400" i="12"/>
  <c r="L400" i="12" s="1"/>
  <c r="K401" i="12"/>
  <c r="L401" i="12" s="1"/>
  <c r="K402" i="12"/>
  <c r="L402" i="12" s="1"/>
  <c r="K403" i="12"/>
  <c r="L403" i="12" s="1"/>
  <c r="K404" i="12"/>
  <c r="L404" i="12" s="1"/>
  <c r="K405" i="12"/>
  <c r="L405" i="12" s="1"/>
  <c r="K406" i="12"/>
  <c r="L406" i="12" s="1"/>
  <c r="K407" i="12"/>
  <c r="L407" i="12" s="1"/>
  <c r="K408" i="12"/>
  <c r="L408" i="12" s="1"/>
  <c r="K409" i="12"/>
  <c r="L409" i="12" s="1"/>
  <c r="K410" i="12"/>
  <c r="L410" i="12" s="1"/>
  <c r="K411" i="12"/>
  <c r="L411" i="12" s="1"/>
  <c r="K412" i="12"/>
  <c r="L412" i="12" s="1"/>
  <c r="K413" i="12"/>
  <c r="L413" i="12" s="1"/>
  <c r="K414" i="12"/>
  <c r="L414" i="12" s="1"/>
  <c r="K415" i="12"/>
  <c r="L415" i="12" s="1"/>
  <c r="K416" i="12"/>
  <c r="L416" i="12" s="1"/>
  <c r="K417" i="12"/>
  <c r="L417" i="12" s="1"/>
  <c r="K418" i="12"/>
  <c r="L418" i="12" s="1"/>
  <c r="K419" i="12"/>
  <c r="L419" i="12" s="1"/>
  <c r="K420" i="12"/>
  <c r="L420" i="12" s="1"/>
  <c r="K421" i="12"/>
  <c r="L421" i="12" s="1"/>
  <c r="K422" i="12"/>
  <c r="L422" i="12" s="1"/>
  <c r="K423" i="12"/>
  <c r="L423" i="12" s="1"/>
  <c r="K424" i="12"/>
  <c r="L424" i="12" s="1"/>
  <c r="K425" i="12"/>
  <c r="L425" i="12" s="1"/>
  <c r="K426" i="12"/>
  <c r="L426" i="12" s="1"/>
  <c r="K427" i="12"/>
  <c r="L427" i="12" s="1"/>
  <c r="K428" i="12"/>
  <c r="L428" i="12" s="1"/>
  <c r="K429" i="12"/>
  <c r="L429" i="12" s="1"/>
  <c r="K430" i="12"/>
  <c r="L430" i="12" s="1"/>
  <c r="K431" i="12"/>
  <c r="L431" i="12" s="1"/>
  <c r="K432" i="12"/>
  <c r="L432" i="12" s="1"/>
  <c r="K433" i="12"/>
  <c r="L433" i="12" s="1"/>
  <c r="K434" i="12"/>
  <c r="L434" i="12" s="1"/>
  <c r="K435" i="12"/>
  <c r="L435" i="12" s="1"/>
  <c r="K436" i="12"/>
  <c r="L436" i="12" s="1"/>
  <c r="K437" i="12"/>
  <c r="L437" i="12" s="1"/>
  <c r="K438" i="12"/>
  <c r="L438" i="12" s="1"/>
  <c r="K439" i="12"/>
  <c r="L439" i="12" s="1"/>
  <c r="K440" i="12"/>
  <c r="L440" i="12" s="1"/>
  <c r="K441" i="12"/>
  <c r="L441" i="12" s="1"/>
  <c r="K442" i="12"/>
  <c r="L442" i="12" s="1"/>
  <c r="K443" i="12"/>
  <c r="L443" i="12" s="1"/>
  <c r="K444" i="12"/>
  <c r="L444" i="12" s="1"/>
  <c r="K445" i="12"/>
  <c r="L445" i="12" s="1"/>
  <c r="K446" i="12"/>
  <c r="L446" i="12" s="1"/>
  <c r="K447" i="12"/>
  <c r="L447" i="12" s="1"/>
  <c r="K448" i="12"/>
  <c r="L448" i="12" s="1"/>
  <c r="K449" i="12"/>
  <c r="L449" i="12" s="1"/>
  <c r="K450" i="12"/>
  <c r="L450" i="12" s="1"/>
  <c r="K451" i="12"/>
  <c r="L451" i="12" s="1"/>
  <c r="K452" i="12"/>
  <c r="L452" i="12" s="1"/>
  <c r="K453" i="12"/>
  <c r="L453" i="12" s="1"/>
  <c r="K454" i="12"/>
  <c r="L454" i="12" s="1"/>
  <c r="K455" i="12"/>
  <c r="L455" i="12" s="1"/>
  <c r="K456" i="12"/>
  <c r="L456" i="12" s="1"/>
  <c r="K457" i="12"/>
  <c r="L457" i="12" s="1"/>
  <c r="K458" i="12"/>
  <c r="L458" i="12" s="1"/>
  <c r="K459" i="12"/>
  <c r="L459" i="12" s="1"/>
  <c r="K460" i="12"/>
  <c r="L460" i="12" s="1"/>
  <c r="K461" i="12"/>
  <c r="L461" i="12" s="1"/>
  <c r="K462" i="12"/>
  <c r="L462" i="12" s="1"/>
  <c r="K463" i="12"/>
  <c r="L463" i="12" s="1"/>
  <c r="K464" i="12"/>
  <c r="L464" i="12" s="1"/>
  <c r="K465" i="12"/>
  <c r="L465" i="12" s="1"/>
  <c r="K466" i="12"/>
  <c r="L466" i="12" s="1"/>
  <c r="K467" i="12"/>
  <c r="L467" i="12" s="1"/>
  <c r="K468" i="12"/>
  <c r="L468" i="12" s="1"/>
  <c r="K469" i="12"/>
  <c r="L469" i="12" s="1"/>
  <c r="K470" i="12"/>
  <c r="L470" i="12" s="1"/>
  <c r="K471" i="12"/>
  <c r="L471" i="12" s="1"/>
  <c r="K472" i="12"/>
  <c r="L472" i="12" s="1"/>
  <c r="K473" i="12"/>
  <c r="L473" i="12" s="1"/>
  <c r="K474" i="12"/>
  <c r="L474" i="12" s="1"/>
  <c r="K475" i="12"/>
  <c r="L475" i="12" s="1"/>
  <c r="K476" i="12"/>
  <c r="L476" i="12" s="1"/>
  <c r="K477" i="12"/>
  <c r="L477" i="12" s="1"/>
  <c r="K478" i="12"/>
  <c r="L478" i="12" s="1"/>
  <c r="K479" i="12"/>
  <c r="L479" i="12" s="1"/>
  <c r="K480" i="12"/>
  <c r="L480" i="12" s="1"/>
  <c r="K481" i="12"/>
  <c r="L481" i="12" s="1"/>
  <c r="K482" i="12"/>
  <c r="L482" i="12" s="1"/>
  <c r="K483" i="12"/>
  <c r="L483" i="12" s="1"/>
  <c r="K484" i="12"/>
  <c r="L484" i="12" s="1"/>
  <c r="K485" i="12"/>
  <c r="L485" i="12" s="1"/>
  <c r="K497" i="12"/>
  <c r="L497" i="12" s="1"/>
  <c r="K498" i="12"/>
  <c r="L498" i="12" s="1"/>
  <c r="K499" i="12"/>
  <c r="L499" i="12" s="1"/>
  <c r="K500" i="12"/>
  <c r="L500" i="12" s="1"/>
  <c r="K501" i="12"/>
  <c r="L501" i="12" s="1"/>
  <c r="K284" i="12"/>
  <c r="N284" i="12" s="1"/>
  <c r="O284" i="12" s="1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K3" i="11"/>
  <c r="G14" i="15"/>
  <c r="G22" i="15"/>
  <c r="G30" i="15"/>
  <c r="G9" i="15"/>
  <c r="G15" i="15"/>
  <c r="G23" i="15"/>
  <c r="G3" i="15"/>
  <c r="G11" i="15"/>
  <c r="G20" i="15"/>
  <c r="G28" i="15"/>
  <c r="G7" i="15"/>
  <c r="G13" i="15"/>
  <c r="G21" i="15"/>
  <c r="G29" i="15"/>
  <c r="I2" i="13"/>
  <c r="H2" i="10"/>
  <c r="M417" i="12"/>
  <c r="M499" i="12"/>
  <c r="M445" i="12"/>
  <c r="M349" i="12"/>
  <c r="M418" i="12"/>
  <c r="M387" i="12"/>
  <c r="M401" i="12"/>
  <c r="M473" i="12"/>
  <c r="M328" i="12"/>
  <c r="M303" i="12"/>
  <c r="M461" i="12"/>
  <c r="M415" i="12"/>
  <c r="M367" i="12"/>
  <c r="M340" i="12"/>
  <c r="M383" i="12"/>
  <c r="M320" i="12"/>
  <c r="M363" i="12"/>
  <c r="M442" i="12"/>
  <c r="M392" i="12"/>
  <c r="M463" i="12"/>
  <c r="M437" i="12"/>
  <c r="M358" i="12"/>
  <c r="M302" i="12"/>
  <c r="M436" i="12"/>
  <c r="M398" i="12"/>
  <c r="M479" i="12"/>
  <c r="M501" i="12"/>
  <c r="M485" i="12"/>
  <c r="M311" i="12"/>
  <c r="M460" i="12"/>
  <c r="M301" i="12"/>
  <c r="M404" i="12"/>
  <c r="M452" i="12"/>
  <c r="M474" i="12"/>
  <c r="M391" i="12"/>
  <c r="M393" i="12"/>
  <c r="M481" i="12"/>
  <c r="M407" i="12"/>
  <c r="M476" i="12"/>
  <c r="M477" i="12"/>
  <c r="M386" i="12"/>
  <c r="M475" i="12"/>
  <c r="M368" i="12"/>
  <c r="M431" i="12"/>
  <c r="M325" i="12"/>
  <c r="M469" i="12"/>
  <c r="M353" i="12"/>
  <c r="M307" i="12"/>
  <c r="M500" i="12"/>
  <c r="M374" i="12"/>
  <c r="M468" i="12"/>
  <c r="M421" i="12"/>
  <c r="M420" i="12"/>
  <c r="M462" i="12"/>
  <c r="M344" i="12"/>
  <c r="M467" i="12"/>
  <c r="M459" i="12"/>
  <c r="M372" i="12"/>
  <c r="M380" i="12"/>
  <c r="M456" i="12"/>
  <c r="M405" i="12"/>
  <c r="M375" i="12"/>
  <c r="M350" i="12"/>
  <c r="M357" i="12"/>
  <c r="M356" i="12"/>
  <c r="M288" i="12"/>
  <c r="M412" i="12"/>
  <c r="M444" i="12"/>
  <c r="M394" i="12"/>
  <c r="M478" i="12"/>
  <c r="M365" i="12"/>
  <c r="M454" i="12"/>
  <c r="M410" i="12"/>
  <c r="M397" i="12"/>
  <c r="M324" i="12"/>
  <c r="M321" i="12"/>
  <c r="M440" i="12"/>
  <c r="M426" i="12"/>
  <c r="M334" i="12"/>
  <c r="M396" i="12"/>
  <c r="M438" i="12"/>
  <c r="M361" i="12"/>
  <c r="M313" i="12"/>
  <c r="M338" i="12"/>
  <c r="M450" i="12"/>
  <c r="M482" i="12"/>
  <c r="M339" i="12"/>
  <c r="M443" i="12"/>
  <c r="M371" i="12"/>
  <c r="M428" i="12"/>
  <c r="M441" i="12"/>
  <c r="I2" i="14"/>
  <c r="G8" i="15"/>
  <c r="G18" i="15"/>
  <c r="G26" i="15"/>
  <c r="G6" i="15"/>
  <c r="G12" i="15"/>
  <c r="G19" i="15"/>
  <c r="G27" i="15"/>
  <c r="G5" i="15"/>
  <c r="G16" i="15"/>
  <c r="G24" i="15"/>
  <c r="G4" i="15"/>
  <c r="G10" i="15"/>
  <c r="G17" i="15"/>
  <c r="G25" i="15"/>
  <c r="F2" i="15"/>
  <c r="Q3" i="12"/>
  <c r="M373" i="12"/>
  <c r="M319" i="12"/>
  <c r="M427" i="12"/>
  <c r="M424" i="12"/>
  <c r="M429" i="12"/>
  <c r="M309" i="12"/>
  <c r="M342" i="12"/>
  <c r="M390" i="12"/>
  <c r="M439" i="12"/>
  <c r="M304" i="12"/>
  <c r="M483" i="12"/>
  <c r="M458" i="12"/>
  <c r="M384" i="12"/>
  <c r="M464" i="12"/>
  <c r="M322" i="12"/>
  <c r="M364" i="12"/>
  <c r="M329" i="12"/>
  <c r="M314" i="12"/>
  <c r="M341" i="12"/>
  <c r="M408" i="12"/>
  <c r="M362" i="12"/>
  <c r="M370" i="12"/>
  <c r="M409" i="12"/>
  <c r="M470" i="12"/>
  <c r="M335" i="12"/>
  <c r="M308" i="12"/>
  <c r="M305" i="12"/>
  <c r="M379" i="12"/>
  <c r="M433" i="12"/>
  <c r="M451" i="12"/>
  <c r="M449" i="12"/>
  <c r="M498" i="12"/>
  <c r="M497" i="12"/>
  <c r="M352" i="12"/>
  <c r="M411" i="12"/>
  <c r="M413" i="12"/>
  <c r="M465" i="12"/>
  <c r="M388" i="12"/>
  <c r="M318" i="12"/>
  <c r="M406" i="12"/>
  <c r="M332" i="12"/>
  <c r="M323" i="12"/>
  <c r="M484" i="12"/>
  <c r="M423" i="12"/>
  <c r="M290" i="12"/>
  <c r="M377" i="12"/>
  <c r="M294" i="12"/>
  <c r="M402" i="12"/>
  <c r="M399" i="12"/>
  <c r="M471" i="12"/>
  <c r="M381" i="12"/>
  <c r="M448" i="12"/>
  <c r="M472" i="12"/>
  <c r="M376" i="12"/>
  <c r="M289" i="12"/>
  <c r="M312" i="12"/>
  <c r="M315" i="12"/>
  <c r="M430" i="12"/>
  <c r="M331" i="12"/>
  <c r="M292" i="12"/>
  <c r="M480" i="12"/>
  <c r="M298" i="12"/>
  <c r="M414" i="12"/>
  <c r="M422" i="12"/>
  <c r="M435" i="12"/>
  <c r="M466" i="12"/>
  <c r="M419" i="12"/>
  <c r="M297" i="12"/>
  <c r="M378" i="12"/>
  <c r="M337" i="12"/>
  <c r="M432" i="12"/>
  <c r="M351" i="12"/>
  <c r="M453" i="12"/>
  <c r="M336" i="12"/>
  <c r="M369" i="12"/>
  <c r="M343" i="12"/>
  <c r="M400" i="12"/>
  <c r="M354" i="12"/>
  <c r="M447" i="12"/>
  <c r="M310" i="12"/>
  <c r="M385" i="12"/>
  <c r="M299" i="12"/>
  <c r="M316" i="12"/>
  <c r="M330" i="12"/>
  <c r="M455" i="12"/>
  <c r="M395" i="12"/>
  <c r="M416" i="12"/>
  <c r="M389" i="12"/>
  <c r="M286" i="12"/>
  <c r="M425" i="12"/>
  <c r="M457" i="12"/>
  <c r="M403" i="12"/>
  <c r="M434" i="12"/>
  <c r="I2" i="4"/>
  <c r="M446" i="12"/>
  <c r="P3" i="12" l="1"/>
  <c r="F30" i="15"/>
  <c r="F29" i="15" s="1"/>
  <c r="F28" i="15" s="1"/>
  <c r="F27" i="15" s="1"/>
  <c r="F26" i="15" s="1"/>
  <c r="F25" i="15" s="1"/>
  <c r="F24" i="15" s="1"/>
  <c r="F23" i="15" s="1"/>
  <c r="F22" i="15" s="1"/>
  <c r="F21" i="15" s="1"/>
  <c r="F20" i="15" s="1"/>
  <c r="F19" i="15" s="1"/>
  <c r="F18" i="15" s="1"/>
  <c r="F17" i="15" s="1"/>
  <c r="F16" i="15" s="1"/>
  <c r="F15" i="15" s="1"/>
  <c r="F14" i="15" s="1"/>
  <c r="F13" i="15" s="1"/>
  <c r="F12" i="15" s="1"/>
  <c r="F11" i="15" s="1"/>
  <c r="F10" i="15" s="1"/>
  <c r="F9" i="15" s="1"/>
  <c r="F8" i="15" s="1"/>
  <c r="F7" i="15" s="1"/>
  <c r="F6" i="15" s="1"/>
  <c r="F5" i="15" s="1"/>
  <c r="F4" i="15" s="1"/>
  <c r="F3" i="15" s="1"/>
  <c r="J3" i="11"/>
  <c r="H3" i="10"/>
  <c r="H12" i="14"/>
  <c r="H11" i="14" s="1"/>
  <c r="H10" i="14" s="1"/>
  <c r="H9" i="14" s="1"/>
  <c r="H8" i="14" s="1"/>
  <c r="H7" i="14" s="1"/>
  <c r="H6" i="14" s="1"/>
  <c r="H5" i="14" s="1"/>
  <c r="H4" i="14" s="1"/>
  <c r="H3" i="14" s="1"/>
  <c r="L284" i="12"/>
  <c r="N299" i="12"/>
  <c r="O299" i="12" s="1"/>
  <c r="N294" i="12"/>
  <c r="O294" i="12" s="1"/>
  <c r="N290" i="12"/>
  <c r="O290" i="12" s="1"/>
  <c r="N286" i="12"/>
  <c r="O286" i="12" s="1"/>
  <c r="N292" i="12"/>
  <c r="O292" i="12" s="1"/>
  <c r="L300" i="12"/>
  <c r="L296" i="12"/>
  <c r="L291" i="12"/>
  <c r="L287" i="12"/>
  <c r="N298" i="12"/>
  <c r="O298" i="12" s="1"/>
  <c r="N289" i="12"/>
  <c r="O289" i="12" s="1"/>
  <c r="N297" i="12"/>
  <c r="O297" i="12" s="1"/>
  <c r="N288" i="12"/>
  <c r="O288" i="12" s="1"/>
  <c r="L293" i="12"/>
  <c r="L285" i="12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B4" i="9" l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I5" i="6"/>
  <c r="I6" i="6"/>
  <c r="I4" i="6"/>
  <c r="M287" i="12"/>
  <c r="M300" i="12"/>
  <c r="M296" i="12"/>
  <c r="I136" i="9"/>
  <c r="I141" i="9"/>
  <c r="I137" i="9"/>
  <c r="I73" i="9"/>
  <c r="I69" i="9"/>
  <c r="I64" i="9"/>
  <c r="I41" i="9"/>
  <c r="I66" i="9"/>
  <c r="I78" i="9"/>
  <c r="I129" i="9"/>
  <c r="I117" i="9"/>
  <c r="I4" i="9"/>
  <c r="I25" i="9"/>
  <c r="I39" i="9"/>
  <c r="I22" i="9"/>
  <c r="I15" i="9"/>
  <c r="I153" i="9"/>
  <c r="I90" i="9"/>
  <c r="I155" i="9"/>
  <c r="I17" i="9"/>
  <c r="I143" i="9"/>
  <c r="I46" i="9"/>
  <c r="I122" i="9"/>
  <c r="I110" i="9"/>
  <c r="I60" i="9"/>
  <c r="I30" i="9"/>
  <c r="I43" i="9"/>
  <c r="I144" i="9"/>
  <c r="I133" i="9"/>
  <c r="I96" i="9"/>
  <c r="I105" i="9"/>
  <c r="I8" i="9"/>
  <c r="I6" i="9"/>
  <c r="I34" i="9"/>
  <c r="I16" i="9"/>
  <c r="I12" i="9"/>
  <c r="I148" i="9"/>
  <c r="I145" i="9"/>
  <c r="I56" i="9"/>
  <c r="I94" i="9"/>
  <c r="I107" i="9"/>
  <c r="I163" i="9"/>
  <c r="I29" i="9"/>
  <c r="I37" i="9"/>
  <c r="I62" i="9"/>
  <c r="I38" i="9"/>
  <c r="I5" i="9"/>
  <c r="I11" i="9"/>
  <c r="I28" i="9"/>
  <c r="I158" i="9"/>
  <c r="I19" i="9"/>
  <c r="I88" i="9"/>
  <c r="I67" i="9"/>
  <c r="I7" i="9"/>
  <c r="I125" i="9"/>
  <c r="I108" i="9"/>
  <c r="I35" i="9"/>
  <c r="I24" i="9"/>
  <c r="I76" i="9"/>
  <c r="I9" i="9"/>
  <c r="I149" i="9"/>
  <c r="I33" i="9"/>
  <c r="I65" i="9"/>
  <c r="I79" i="9"/>
  <c r="I18" i="9"/>
  <c r="I54" i="9"/>
  <c r="I140" i="9"/>
  <c r="I55" i="9"/>
  <c r="I106" i="9"/>
  <c r="I126" i="9"/>
  <c r="I51" i="9"/>
  <c r="I45" i="9"/>
  <c r="I74" i="9"/>
  <c r="I47" i="9"/>
  <c r="I83" i="9"/>
  <c r="I111" i="9"/>
  <c r="I42" i="9"/>
  <c r="I91" i="9"/>
  <c r="I52" i="9"/>
  <c r="I13" i="9"/>
  <c r="I131" i="9"/>
  <c r="I36" i="9"/>
  <c r="F85" i="4"/>
  <c r="F81" i="4"/>
  <c r="F84" i="4"/>
  <c r="F76" i="4"/>
  <c r="F79" i="4"/>
  <c r="F82" i="4"/>
  <c r="F90" i="4"/>
  <c r="F93" i="4"/>
  <c r="F86" i="4"/>
  <c r="F75" i="4"/>
  <c r="H2" i="6"/>
  <c r="I3" i="6"/>
  <c r="J3" i="13"/>
  <c r="M285" i="12"/>
  <c r="M291" i="12"/>
  <c r="M293" i="12"/>
  <c r="M284" i="12"/>
  <c r="I135" i="9"/>
  <c r="I130" i="9"/>
  <c r="I100" i="9"/>
  <c r="I71" i="9"/>
  <c r="I48" i="9"/>
  <c r="I27" i="9"/>
  <c r="I61" i="9"/>
  <c r="I115" i="9"/>
  <c r="I49" i="9"/>
  <c r="I77" i="9"/>
  <c r="I138" i="9"/>
  <c r="I112" i="9"/>
  <c r="I10" i="9"/>
  <c r="I50" i="9"/>
  <c r="I85" i="9"/>
  <c r="I157" i="9"/>
  <c r="I116" i="9"/>
  <c r="I95" i="9"/>
  <c r="I20" i="9"/>
  <c r="I92" i="9"/>
  <c r="I70" i="9"/>
  <c r="I82" i="9"/>
  <c r="I139" i="9"/>
  <c r="I63" i="9"/>
  <c r="I103" i="9"/>
  <c r="I86" i="9"/>
  <c r="I97" i="9"/>
  <c r="I80" i="9"/>
  <c r="I154" i="9"/>
  <c r="I104" i="9"/>
  <c r="I156" i="9"/>
  <c r="I159" i="9"/>
  <c r="I147" i="9"/>
  <c r="I93" i="9"/>
  <c r="I124" i="9"/>
  <c r="I152" i="9"/>
  <c r="I161" i="9"/>
  <c r="I81" i="9"/>
  <c r="I162" i="9"/>
  <c r="I150" i="9"/>
  <c r="I14" i="9"/>
  <c r="I142" i="9"/>
  <c r="I109" i="9"/>
  <c r="I123" i="9"/>
  <c r="I98" i="9"/>
  <c r="I57" i="9"/>
  <c r="I26" i="9"/>
  <c r="I23" i="9"/>
  <c r="I59" i="9"/>
  <c r="I101" i="9"/>
  <c r="I32" i="9"/>
  <c r="I151" i="9"/>
  <c r="I119" i="9"/>
  <c r="I127" i="9"/>
  <c r="I72" i="9"/>
  <c r="I102" i="9"/>
  <c r="I160" i="9"/>
  <c r="I84" i="9"/>
  <c r="I118" i="9"/>
  <c r="I89" i="9"/>
  <c r="H2" i="9"/>
  <c r="I68" i="9"/>
  <c r="I44" i="9"/>
  <c r="I3" i="9"/>
  <c r="I99" i="9"/>
  <c r="I113" i="9"/>
  <c r="I58" i="9"/>
  <c r="I146" i="9"/>
  <c r="I114" i="9"/>
  <c r="I120" i="9"/>
  <c r="I132" i="9"/>
  <c r="I53" i="9"/>
  <c r="I75" i="9"/>
  <c r="I87" i="9"/>
  <c r="I121" i="9"/>
  <c r="I21" i="9"/>
  <c r="I31" i="9"/>
  <c r="I40" i="9"/>
  <c r="I164" i="9"/>
  <c r="I134" i="9"/>
  <c r="I128" i="9"/>
  <c r="F91" i="4"/>
  <c r="F80" i="4"/>
  <c r="F83" i="4"/>
  <c r="F87" i="4"/>
  <c r="F88" i="4"/>
  <c r="F89" i="4"/>
  <c r="F77" i="4"/>
  <c r="F78" i="4"/>
  <c r="F92" i="4"/>
  <c r="H164" i="9" l="1"/>
  <c r="H163" i="9" s="1"/>
  <c r="H162" i="9" s="1"/>
  <c r="H161" i="9" s="1"/>
  <c r="H160" i="9" s="1"/>
  <c r="H159" i="9" s="1"/>
  <c r="H158" i="9" s="1"/>
  <c r="H157" i="9" s="1"/>
  <c r="H156" i="9" s="1"/>
  <c r="H155" i="9" s="1"/>
  <c r="H154" i="9" s="1"/>
  <c r="H153" i="9" s="1"/>
  <c r="H152" i="9" s="1"/>
  <c r="H151" i="9" s="1"/>
  <c r="H150" i="9" s="1"/>
  <c r="H149" i="9" s="1"/>
  <c r="H148" i="9" s="1"/>
  <c r="H147" i="9" s="1"/>
  <c r="H146" i="9" s="1"/>
  <c r="H145" i="9" s="1"/>
  <c r="H144" i="9" s="1"/>
  <c r="H143" i="9" s="1"/>
  <c r="H142" i="9" s="1"/>
  <c r="H141" i="9" s="1"/>
  <c r="H140" i="9" s="1"/>
  <c r="H139" i="9" s="1"/>
  <c r="H138" i="9" s="1"/>
  <c r="H137" i="9" s="1"/>
  <c r="H136" i="9" s="1"/>
  <c r="H135" i="9" s="1"/>
  <c r="H134" i="9" s="1"/>
  <c r="H133" i="9" s="1"/>
  <c r="H132" i="9" s="1"/>
  <c r="H131" i="9" s="1"/>
  <c r="H130" i="9" s="1"/>
  <c r="H129" i="9" s="1"/>
  <c r="H128" i="9" s="1"/>
  <c r="H127" i="9" s="1"/>
  <c r="H126" i="9" s="1"/>
  <c r="H125" i="9" s="1"/>
  <c r="H124" i="9" s="1"/>
  <c r="H123" i="9" s="1"/>
  <c r="H122" i="9" s="1"/>
  <c r="H121" i="9" s="1"/>
  <c r="H120" i="9" s="1"/>
  <c r="H119" i="9" s="1"/>
  <c r="H118" i="9" s="1"/>
  <c r="H117" i="9" s="1"/>
  <c r="H116" i="9" s="1"/>
  <c r="H115" i="9" s="1"/>
  <c r="H114" i="9" s="1"/>
  <c r="H113" i="9" s="1"/>
  <c r="H112" i="9" s="1"/>
  <c r="H111" i="9" s="1"/>
  <c r="H110" i="9" s="1"/>
  <c r="H109" i="9" s="1"/>
  <c r="H108" i="9" s="1"/>
  <c r="H107" i="9" s="1"/>
  <c r="H106" i="9" s="1"/>
  <c r="H105" i="9" s="1"/>
  <c r="H104" i="9" s="1"/>
  <c r="H103" i="9" s="1"/>
  <c r="H102" i="9" s="1"/>
  <c r="H101" i="9" s="1"/>
  <c r="H100" i="9" s="1"/>
  <c r="H99" i="9" s="1"/>
  <c r="H98" i="9" s="1"/>
  <c r="H97" i="9" s="1"/>
  <c r="H96" i="9" s="1"/>
  <c r="H95" i="9" s="1"/>
  <c r="H94" i="9" s="1"/>
  <c r="H93" i="9" s="1"/>
  <c r="H92" i="9" s="1"/>
  <c r="H91" i="9" s="1"/>
  <c r="H90" i="9" s="1"/>
  <c r="H89" i="9" s="1"/>
  <c r="H88" i="9" s="1"/>
  <c r="H87" i="9" s="1"/>
  <c r="H86" i="9" s="1"/>
  <c r="H85" i="9" s="1"/>
  <c r="H84" i="9" s="1"/>
  <c r="H83" i="9" s="1"/>
  <c r="H82" i="9" s="1"/>
  <c r="H81" i="9" s="1"/>
  <c r="H80" i="9" s="1"/>
  <c r="H79" i="9" s="1"/>
  <c r="H78" i="9" s="1"/>
  <c r="H77" i="9" s="1"/>
  <c r="H76" i="9" s="1"/>
  <c r="H75" i="9" s="1"/>
  <c r="H74" i="9" s="1"/>
  <c r="H73" i="9" s="1"/>
  <c r="H72" i="9" s="1"/>
  <c r="H71" i="9" s="1"/>
  <c r="H70" i="9" s="1"/>
  <c r="H69" i="9" s="1"/>
  <c r="H68" i="9" s="1"/>
  <c r="H67" i="9" s="1"/>
  <c r="H66" i="9" s="1"/>
  <c r="H65" i="9" s="1"/>
  <c r="H64" i="9" s="1"/>
  <c r="H63" i="9" s="1"/>
  <c r="H62" i="9" s="1"/>
  <c r="H61" i="9" s="1"/>
  <c r="H60" i="9" s="1"/>
  <c r="H59" i="9" s="1"/>
  <c r="H58" i="9" s="1"/>
  <c r="H57" i="9" s="1"/>
  <c r="H56" i="9" s="1"/>
  <c r="H55" i="9" s="1"/>
  <c r="H54" i="9" s="1"/>
  <c r="H53" i="9" s="1"/>
  <c r="H52" i="9" s="1"/>
  <c r="H51" i="9" s="1"/>
  <c r="H50" i="9" s="1"/>
  <c r="H49" i="9" s="1"/>
  <c r="H48" i="9" s="1"/>
  <c r="H47" i="9" s="1"/>
  <c r="H46" i="9" s="1"/>
  <c r="H45" i="9" s="1"/>
  <c r="H44" i="9" s="1"/>
  <c r="H43" i="9" s="1"/>
  <c r="H42" i="9" s="1"/>
  <c r="H41" i="9" s="1"/>
  <c r="H40" i="9" s="1"/>
  <c r="H39" i="9" s="1"/>
  <c r="H38" i="9" s="1"/>
  <c r="H37" i="9" s="1"/>
  <c r="H36" i="9" s="1"/>
  <c r="H35" i="9" s="1"/>
  <c r="H34" i="9" s="1"/>
  <c r="H33" i="9" s="1"/>
  <c r="H32" i="9" s="1"/>
  <c r="H31" i="9" s="1"/>
  <c r="H30" i="9" s="1"/>
  <c r="H29" i="9" s="1"/>
  <c r="H28" i="9" s="1"/>
  <c r="H27" i="9" s="1"/>
  <c r="H26" i="9" s="1"/>
  <c r="H25" i="9" s="1"/>
  <c r="H24" i="9" s="1"/>
  <c r="H23" i="9" s="1"/>
  <c r="H22" i="9" s="1"/>
  <c r="H21" i="9" s="1"/>
  <c r="H20" i="9" s="1"/>
  <c r="H19" i="9" s="1"/>
  <c r="H18" i="9" s="1"/>
  <c r="H17" i="9" s="1"/>
  <c r="H16" i="9" s="1"/>
  <c r="H15" i="9" s="1"/>
  <c r="H14" i="9" s="1"/>
  <c r="H13" i="9" s="1"/>
  <c r="H12" i="9" s="1"/>
  <c r="H11" i="9" s="1"/>
  <c r="H10" i="9" s="1"/>
  <c r="H9" i="9" s="1"/>
  <c r="H8" i="9" s="1"/>
  <c r="H7" i="9" s="1"/>
  <c r="H6" i="9" s="1"/>
  <c r="H5" i="9" s="1"/>
  <c r="H4" i="9" s="1"/>
  <c r="H3" i="9" s="1"/>
  <c r="I3" i="13"/>
  <c r="H6" i="6"/>
  <c r="H5" i="6" s="1"/>
  <c r="H4" i="6" s="1"/>
  <c r="H3" i="6" s="1"/>
  <c r="S4" i="1"/>
  <c r="S5" i="1"/>
  <c r="R5" i="1" s="1"/>
  <c r="S6" i="1"/>
  <c r="R6" i="1" s="1"/>
  <c r="S7" i="1"/>
  <c r="R7" i="1" s="1"/>
  <c r="S8" i="1"/>
  <c r="S9" i="1"/>
  <c r="R9" i="1" s="1"/>
  <c r="S10" i="1"/>
  <c r="R10" i="1" s="1"/>
  <c r="S11" i="1"/>
  <c r="R11" i="1" s="1"/>
  <c r="S12" i="1"/>
  <c r="S13" i="1"/>
  <c r="R13" i="1" s="1"/>
  <c r="S14" i="1"/>
  <c r="S15" i="1"/>
  <c r="R15" i="1" s="1"/>
  <c r="S16" i="1"/>
  <c r="R16" i="1" s="1"/>
  <c r="S17" i="1"/>
  <c r="R17" i="1" s="1"/>
  <c r="S18" i="1"/>
  <c r="R18" i="1" s="1"/>
  <c r="S19" i="1"/>
  <c r="R19" i="1" s="1"/>
  <c r="S20" i="1"/>
  <c r="S21" i="1"/>
  <c r="R21" i="1" s="1"/>
  <c r="S22" i="1"/>
  <c r="R22" i="1" s="1"/>
  <c r="S23" i="1"/>
  <c r="R23" i="1" s="1"/>
  <c r="S24" i="1"/>
  <c r="S25" i="1"/>
  <c r="R25" i="1" s="1"/>
  <c r="S26" i="1"/>
  <c r="R26" i="1" s="1"/>
  <c r="S27" i="1"/>
  <c r="R27" i="1" s="1"/>
  <c r="S28" i="1"/>
  <c r="S29" i="1"/>
  <c r="R29" i="1" s="1"/>
  <c r="S30" i="1"/>
  <c r="S31" i="1"/>
  <c r="R31" i="1" s="1"/>
  <c r="S32" i="1"/>
  <c r="R32" i="1" s="1"/>
  <c r="S33" i="1"/>
  <c r="R33" i="1" s="1"/>
  <c r="S34" i="1"/>
  <c r="S35" i="1"/>
  <c r="R35" i="1" s="1"/>
  <c r="S36" i="1"/>
  <c r="S37" i="1"/>
  <c r="R37" i="1" s="1"/>
  <c r="S38" i="1"/>
  <c r="R38" i="1" s="1"/>
  <c r="S39" i="1"/>
  <c r="R39" i="1" s="1"/>
  <c r="S40" i="1"/>
  <c r="S41" i="1"/>
  <c r="S42" i="1"/>
  <c r="R42" i="1" s="1"/>
  <c r="S43" i="1"/>
  <c r="R43" i="1" s="1"/>
  <c r="S44" i="1"/>
  <c r="S45" i="1"/>
  <c r="R45" i="1" s="1"/>
  <c r="S46" i="1"/>
  <c r="R46" i="1" s="1"/>
  <c r="S47" i="1"/>
  <c r="R47" i="1" s="1"/>
  <c r="S48" i="1"/>
  <c r="R48" i="1" s="1"/>
  <c r="S49" i="1"/>
  <c r="R49" i="1" s="1"/>
  <c r="S50" i="1"/>
  <c r="R50" i="1" s="1"/>
  <c r="S51" i="1"/>
  <c r="R51" i="1" s="1"/>
  <c r="S52" i="1"/>
  <c r="S53" i="1"/>
  <c r="R53" i="1" s="1"/>
  <c r="S54" i="1"/>
  <c r="R54" i="1" s="1"/>
  <c r="S55" i="1"/>
  <c r="R55" i="1" s="1"/>
  <c r="S56" i="1"/>
  <c r="S57" i="1"/>
  <c r="R57" i="1" s="1"/>
  <c r="S58" i="1"/>
  <c r="R58" i="1" s="1"/>
  <c r="S59" i="1"/>
  <c r="R59" i="1" s="1"/>
  <c r="S60" i="1"/>
  <c r="S61" i="1"/>
  <c r="R61" i="1" s="1"/>
  <c r="S62" i="1"/>
  <c r="S63" i="1"/>
  <c r="R63" i="1" s="1"/>
  <c r="S64" i="1"/>
  <c r="R64" i="1" s="1"/>
  <c r="S65" i="1"/>
  <c r="R65" i="1" s="1"/>
  <c r="S66" i="1"/>
  <c r="R66" i="1" s="1"/>
  <c r="S67" i="1"/>
  <c r="R67" i="1" s="1"/>
  <c r="S68" i="1"/>
  <c r="S69" i="1"/>
  <c r="R69" i="1" s="1"/>
  <c r="S70" i="1"/>
  <c r="R70" i="1" s="1"/>
  <c r="S71" i="1"/>
  <c r="R71" i="1" s="1"/>
  <c r="S72" i="1"/>
  <c r="S73" i="1"/>
  <c r="R73" i="1" s="1"/>
  <c r="R4" i="1"/>
  <c r="R8" i="1"/>
  <c r="R12" i="1"/>
  <c r="R14" i="1"/>
  <c r="R20" i="1"/>
  <c r="R24" i="1"/>
  <c r="R28" i="1"/>
  <c r="R30" i="1"/>
  <c r="R34" i="1"/>
  <c r="R36" i="1"/>
  <c r="R40" i="1"/>
  <c r="R41" i="1"/>
  <c r="R44" i="1"/>
  <c r="R52" i="1"/>
  <c r="R56" i="1"/>
  <c r="R60" i="1"/>
  <c r="R62" i="1"/>
  <c r="R68" i="1"/>
  <c r="R72" i="1"/>
  <c r="S3" i="1"/>
  <c r="R3" i="1" s="1"/>
  <c r="S2" i="1"/>
  <c r="R2" i="1" s="1"/>
  <c r="F12" i="4"/>
  <c r="F7" i="4"/>
  <c r="F41" i="4"/>
  <c r="F35" i="4"/>
  <c r="F63" i="4"/>
  <c r="F16" i="4"/>
  <c r="F45" i="4"/>
  <c r="F13" i="4"/>
  <c r="F52" i="4"/>
  <c r="F31" i="4"/>
  <c r="F25" i="4"/>
  <c r="F24" i="4"/>
  <c r="F26" i="4"/>
  <c r="F11" i="4"/>
  <c r="F8" i="4"/>
  <c r="F30" i="4"/>
  <c r="F43" i="4"/>
  <c r="F55" i="4"/>
  <c r="F17" i="4"/>
  <c r="F15" i="4"/>
  <c r="F23" i="4"/>
  <c r="F47" i="4"/>
  <c r="F65" i="4"/>
  <c r="F33" i="4"/>
  <c r="F49" i="4"/>
  <c r="F58" i="4"/>
  <c r="F28" i="4"/>
  <c r="F69" i="4"/>
  <c r="F29" i="4"/>
  <c r="F9" i="4"/>
  <c r="F48" i="4"/>
  <c r="F4" i="4"/>
  <c r="F40" i="4"/>
  <c r="F34" i="4"/>
  <c r="F61" i="4"/>
  <c r="F32" i="4"/>
  <c r="F6" i="4"/>
  <c r="F54" i="4"/>
  <c r="F18" i="4"/>
  <c r="F42" i="4"/>
  <c r="F27" i="4"/>
  <c r="F68" i="4"/>
  <c r="F50" i="4"/>
  <c r="F74" i="4"/>
  <c r="F21" i="4"/>
  <c r="F56" i="4"/>
  <c r="F10" i="4"/>
  <c r="F51" i="4"/>
  <c r="F70" i="4"/>
  <c r="F53" i="4"/>
  <c r="F67" i="4"/>
  <c r="F72" i="4"/>
  <c r="F37" i="4"/>
  <c r="F20" i="4"/>
  <c r="F62" i="4"/>
  <c r="F39" i="4"/>
  <c r="F22" i="4"/>
  <c r="F46" i="4"/>
  <c r="F73" i="4"/>
  <c r="F38" i="4"/>
  <c r="F36" i="4"/>
  <c r="F60" i="4"/>
  <c r="F19" i="4"/>
  <c r="F71" i="4"/>
  <c r="F66" i="4"/>
  <c r="F59" i="4"/>
  <c r="F5" i="4"/>
  <c r="F64" i="4"/>
  <c r="F14" i="4"/>
  <c r="F57" i="4"/>
  <c r="F44" i="4"/>
  <c r="B48" i="9" l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</calcChain>
</file>

<file path=xl/sharedStrings.xml><?xml version="1.0" encoding="utf-8"?>
<sst xmlns="http://schemas.openxmlformats.org/spreadsheetml/2006/main" count="4077" uniqueCount="846">
  <si>
    <t>LastName</t>
  </si>
  <si>
    <t>FirstName</t>
  </si>
  <si>
    <t>Sex</t>
  </si>
  <si>
    <t>MiddleName</t>
  </si>
  <si>
    <t>Birthday</t>
  </si>
  <si>
    <t>PersonID</t>
  </si>
  <si>
    <t>BirthPlace</t>
  </si>
  <si>
    <t>ContactNo</t>
  </si>
  <si>
    <t>Email</t>
  </si>
  <si>
    <t>StudID</t>
  </si>
  <si>
    <t>SchoolYear</t>
  </si>
  <si>
    <t>CourseID</t>
  </si>
  <si>
    <t>UserID</t>
  </si>
  <si>
    <t>FacultyID</t>
  </si>
  <si>
    <t>Acronym</t>
  </si>
  <si>
    <t>TotalYrs</t>
  </si>
  <si>
    <t>CurriculumYear</t>
  </si>
  <si>
    <t>EStudID</t>
  </si>
  <si>
    <t>SubjectID</t>
  </si>
  <si>
    <t>Units</t>
  </si>
  <si>
    <t>LecHrs</t>
  </si>
  <si>
    <t>LabHrs</t>
  </si>
  <si>
    <t>PSubjectID</t>
  </si>
  <si>
    <t>PrerequisiteID</t>
  </si>
  <si>
    <t>ClassID</t>
  </si>
  <si>
    <t>CSubjID</t>
  </si>
  <si>
    <t>ESubjID</t>
  </si>
  <si>
    <t>TimeStart</t>
  </si>
  <si>
    <t>TimeEnd</t>
  </si>
  <si>
    <t>Day</t>
  </si>
  <si>
    <t>Description</t>
  </si>
  <si>
    <t>CSchedID</t>
  </si>
  <si>
    <t>HFacultyID</t>
  </si>
  <si>
    <t>STermID</t>
  </si>
  <si>
    <t>Username</t>
  </si>
  <si>
    <t>Password</t>
  </si>
  <si>
    <t>Abejo</t>
  </si>
  <si>
    <t>Jay-R</t>
  </si>
  <si>
    <t>R.</t>
  </si>
  <si>
    <t>Advincula</t>
  </si>
  <si>
    <t>Alice Jean Rin</t>
  </si>
  <si>
    <t>Aguilo</t>
  </si>
  <si>
    <t>Christian Joy</t>
  </si>
  <si>
    <t>M.</t>
  </si>
  <si>
    <t>Maria Cloe Mojedo</t>
  </si>
  <si>
    <t>Alfonso</t>
  </si>
  <si>
    <t>Raida Dee</t>
  </si>
  <si>
    <t>J.</t>
  </si>
  <si>
    <t>Alonzo</t>
  </si>
  <si>
    <t>Mark Vincent Nalitan</t>
  </si>
  <si>
    <t>Apanay</t>
  </si>
  <si>
    <t>Abraham</t>
  </si>
  <si>
    <t>D.</t>
  </si>
  <si>
    <t>Avecilla</t>
  </si>
  <si>
    <t>Rannie Bergado</t>
  </si>
  <si>
    <t>Ayuban</t>
  </si>
  <si>
    <t>John Britz</t>
  </si>
  <si>
    <t>Bandola</t>
  </si>
  <si>
    <t>Merry Jane Abelinde</t>
  </si>
  <si>
    <t>Bantiles</t>
  </si>
  <si>
    <t>Mark Panelo</t>
  </si>
  <si>
    <t>Bonto</t>
  </si>
  <si>
    <t>Marc Anthony</t>
  </si>
  <si>
    <t>T.</t>
  </si>
  <si>
    <t>Bonus</t>
  </si>
  <si>
    <t>John Kristoffer</t>
  </si>
  <si>
    <t>P.</t>
  </si>
  <si>
    <t>Buenviaje</t>
  </si>
  <si>
    <t>Meghan</t>
  </si>
  <si>
    <t>I.</t>
  </si>
  <si>
    <t>Bustamante</t>
  </si>
  <si>
    <t>Jetro</t>
  </si>
  <si>
    <t>S.</t>
  </si>
  <si>
    <t>Calsado</t>
  </si>
  <si>
    <t>Kem Diobeth</t>
  </si>
  <si>
    <t>L.</t>
  </si>
  <si>
    <t>Cantores</t>
  </si>
  <si>
    <t>Maria Jenica</t>
  </si>
  <si>
    <t>V.</t>
  </si>
  <si>
    <t>Catalan</t>
  </si>
  <si>
    <t>Ronan</t>
  </si>
  <si>
    <t>C.</t>
  </si>
  <si>
    <t>Chua</t>
  </si>
  <si>
    <t>Alexander Jr.</t>
  </si>
  <si>
    <t>B.</t>
  </si>
  <si>
    <t>Coloma</t>
  </si>
  <si>
    <t>Angelica</t>
  </si>
  <si>
    <t>Combes</t>
  </si>
  <si>
    <t>Roxanne</t>
  </si>
  <si>
    <t>Culla</t>
  </si>
  <si>
    <t>Archie</t>
  </si>
  <si>
    <t>De Lumin</t>
  </si>
  <si>
    <t>Al Christian Ross</t>
  </si>
  <si>
    <t>F.</t>
  </si>
  <si>
    <t>Dela Paz</t>
  </si>
  <si>
    <t>Billy Joe</t>
  </si>
  <si>
    <t>Dimamay</t>
  </si>
  <si>
    <t>Mayabelle</t>
  </si>
  <si>
    <t>Erese</t>
  </si>
  <si>
    <t>Mary Joy Christelle</t>
  </si>
  <si>
    <t>Estacio</t>
  </si>
  <si>
    <t>Mark Anthony</t>
  </si>
  <si>
    <t>Fernandez</t>
  </si>
  <si>
    <t>Johnna</t>
  </si>
  <si>
    <t>Funtila</t>
  </si>
  <si>
    <t>Jeremiah Ester</t>
  </si>
  <si>
    <t>Genelza</t>
  </si>
  <si>
    <t>Mark Joshua</t>
  </si>
  <si>
    <t>Haucian</t>
  </si>
  <si>
    <t>John Paul</t>
  </si>
  <si>
    <t>Hibi</t>
  </si>
  <si>
    <t>Keisom</t>
  </si>
  <si>
    <t>G.</t>
  </si>
  <si>
    <t>Isidoro</t>
  </si>
  <si>
    <t>Christine Mae</t>
  </si>
  <si>
    <t>Lagdaan</t>
  </si>
  <si>
    <t>John Ardy</t>
  </si>
  <si>
    <t>Latayan</t>
  </si>
  <si>
    <t>Regina Shane</t>
  </si>
  <si>
    <t>Libutan</t>
  </si>
  <si>
    <t>Johnvert</t>
  </si>
  <si>
    <t>Manalili</t>
  </si>
  <si>
    <t>AJ</t>
  </si>
  <si>
    <t>O.</t>
  </si>
  <si>
    <t>Mancia</t>
  </si>
  <si>
    <t>Edmar</t>
  </si>
  <si>
    <t>Medalla</t>
  </si>
  <si>
    <t>Patrick Paul</t>
  </si>
  <si>
    <t>Mendoza</t>
  </si>
  <si>
    <t>Kyla Louisse</t>
  </si>
  <si>
    <t>A</t>
  </si>
  <si>
    <t>Nikko</t>
  </si>
  <si>
    <t>Montaño Jr.</t>
  </si>
  <si>
    <t>Oscar</t>
  </si>
  <si>
    <t>Z.</t>
  </si>
  <si>
    <t>Nadong</t>
  </si>
  <si>
    <t>April Ann</t>
  </si>
  <si>
    <t>Odicta</t>
  </si>
  <si>
    <t>John Lester</t>
  </si>
  <si>
    <t>Olores</t>
  </si>
  <si>
    <t>Jessa</t>
  </si>
  <si>
    <t>Ones</t>
  </si>
  <si>
    <t>Jonmarck</t>
  </si>
  <si>
    <t>Ornos</t>
  </si>
  <si>
    <t>Dondon</t>
  </si>
  <si>
    <t>Pante</t>
  </si>
  <si>
    <t>Ezekiel</t>
  </si>
  <si>
    <t>Parcon</t>
  </si>
  <si>
    <t>Jayson</t>
  </si>
  <si>
    <t>E.</t>
  </si>
  <si>
    <t>Pastoral</t>
  </si>
  <si>
    <t>Peña</t>
  </si>
  <si>
    <t>Nathaniel</t>
  </si>
  <si>
    <t>Pimentel</t>
  </si>
  <si>
    <t>Vincent</t>
  </si>
  <si>
    <t>Posada</t>
  </si>
  <si>
    <t>Jasmin</t>
  </si>
  <si>
    <t>Quiachon</t>
  </si>
  <si>
    <t>Willard</t>
  </si>
  <si>
    <t>Quimpo</t>
  </si>
  <si>
    <t>Dexer</t>
  </si>
  <si>
    <t>Ragasa</t>
  </si>
  <si>
    <t>Rodolfo Jr.</t>
  </si>
  <si>
    <t>Rapay</t>
  </si>
  <si>
    <t>Ruaya</t>
  </si>
  <si>
    <t>Fitz Jerald</t>
  </si>
  <si>
    <t>Sanchez</t>
  </si>
  <si>
    <t>Rocel</t>
  </si>
  <si>
    <t>Sano</t>
  </si>
  <si>
    <t>Kurt Adrianne</t>
  </si>
  <si>
    <t>Sayson Jr.</t>
  </si>
  <si>
    <t>Rolando</t>
  </si>
  <si>
    <t>Siaron</t>
  </si>
  <si>
    <t>Jeffrey</t>
  </si>
  <si>
    <t>Sison</t>
  </si>
  <si>
    <t>Ailyn</t>
  </si>
  <si>
    <t>Surtida</t>
  </si>
  <si>
    <t>Shawn Kairi</t>
  </si>
  <si>
    <t>Tabuzo</t>
  </si>
  <si>
    <t>David</t>
  </si>
  <si>
    <t>Tamo</t>
  </si>
  <si>
    <t>John Cyrus</t>
  </si>
  <si>
    <t>A.</t>
  </si>
  <si>
    <t>Tigno</t>
  </si>
  <si>
    <t>Joshua</t>
  </si>
  <si>
    <t>Valdez</t>
  </si>
  <si>
    <t>Carl John</t>
  </si>
  <si>
    <t>Vayakaril</t>
  </si>
  <si>
    <t>Kevin</t>
  </si>
  <si>
    <t>Yolola</t>
  </si>
  <si>
    <t>Kenneth Arvin</t>
  </si>
  <si>
    <t>Zapata</t>
  </si>
  <si>
    <t>Jerom</t>
  </si>
  <si>
    <t>04-16-0077</t>
  </si>
  <si>
    <t>04-18-0125</t>
  </si>
  <si>
    <t>04-15-0073</t>
  </si>
  <si>
    <t>04-15-0074</t>
  </si>
  <si>
    <t>04-16-0052</t>
  </si>
  <si>
    <t>04-18-0080</t>
  </si>
  <si>
    <t>04-16-0030</t>
  </si>
  <si>
    <t>04-18-0043</t>
  </si>
  <si>
    <t>04-18-0064</t>
  </si>
  <si>
    <t>04-16-0004</t>
  </si>
  <si>
    <t>04-15-0061</t>
  </si>
  <si>
    <t>04-15-0072</t>
  </si>
  <si>
    <t>04-18-0004</t>
  </si>
  <si>
    <t>04-18-0119</t>
  </si>
  <si>
    <t>04-18-0054</t>
  </si>
  <si>
    <t>04-15-0077</t>
  </si>
  <si>
    <t>04-18-0071</t>
  </si>
  <si>
    <t>04-17-0042</t>
  </si>
  <si>
    <t>04-16-0024</t>
  </si>
  <si>
    <t>04-17-0077</t>
  </si>
  <si>
    <t>04-18-0049</t>
  </si>
  <si>
    <t>04-17-0043</t>
  </si>
  <si>
    <t>04-15-0040</t>
  </si>
  <si>
    <t>04-18-0016</t>
  </si>
  <si>
    <t>04-15-0018</t>
  </si>
  <si>
    <t>04-15-0025</t>
  </si>
  <si>
    <t>04-16-0055</t>
  </si>
  <si>
    <t>04-16-0020</t>
  </si>
  <si>
    <t>04-18-0114</t>
  </si>
  <si>
    <t>04-15-0047</t>
  </si>
  <si>
    <t>04-17-0044</t>
  </si>
  <si>
    <t>04-17-0028</t>
  </si>
  <si>
    <t>04-15-0076</t>
  </si>
  <si>
    <t>04-18-0113</t>
  </si>
  <si>
    <t>04-17-0070</t>
  </si>
  <si>
    <t>04-18-0127</t>
  </si>
  <si>
    <t>04-14-0040</t>
  </si>
  <si>
    <t>04-15-0079</t>
  </si>
  <si>
    <t>04-17-0020</t>
  </si>
  <si>
    <t>04-16-0031</t>
  </si>
  <si>
    <t>04-17-0079</t>
  </si>
  <si>
    <t>04-15-0034</t>
  </si>
  <si>
    <t>04-15-0028</t>
  </si>
  <si>
    <t>04-18-0068</t>
  </si>
  <si>
    <t>04-18-0138</t>
  </si>
  <si>
    <t>04-16-0070</t>
  </si>
  <si>
    <t>04-16-0051</t>
  </si>
  <si>
    <t>04-17-0009</t>
  </si>
  <si>
    <t>04-18-0038</t>
  </si>
  <si>
    <t>04-17-0017</t>
  </si>
  <si>
    <t>04-16-0014</t>
  </si>
  <si>
    <t>04-18-0073</t>
  </si>
  <si>
    <t>04-18-0040</t>
  </si>
  <si>
    <t>04-16-0046</t>
  </si>
  <si>
    <t>04-17-0092</t>
  </si>
  <si>
    <t>04-16-0043</t>
  </si>
  <si>
    <t>04-15-0092</t>
  </si>
  <si>
    <t>04-18-0007</t>
  </si>
  <si>
    <t>04-18-0025</t>
  </si>
  <si>
    <t>04-18-0069</t>
  </si>
  <si>
    <t>04-18-0002</t>
  </si>
  <si>
    <t>04-17-0061</t>
  </si>
  <si>
    <t>04-18-0041</t>
  </si>
  <si>
    <t>04-17-0002</t>
  </si>
  <si>
    <t>04-18-0103</t>
  </si>
  <si>
    <t>04-18-0081</t>
  </si>
  <si>
    <t>04-15-0046</t>
  </si>
  <si>
    <t>04-15-0001</t>
  </si>
  <si>
    <t>04-14-0070</t>
  </si>
  <si>
    <t>04-13-0029</t>
  </si>
  <si>
    <t>Male</t>
  </si>
  <si>
    <t>Female</t>
  </si>
  <si>
    <t>Bachelor of Science in Computer Engineering</t>
  </si>
  <si>
    <t>BSCpE</t>
  </si>
  <si>
    <t>Bachelor of Science in Information Technology</t>
  </si>
  <si>
    <t>BSIT</t>
  </si>
  <si>
    <t>ENG 111</t>
  </si>
  <si>
    <t>Communication Skills 1</t>
  </si>
  <si>
    <t>MAT 111</t>
  </si>
  <si>
    <t>College Algebra</t>
  </si>
  <si>
    <t>MAT 112</t>
  </si>
  <si>
    <t>Plane &amp; Spherical Trigonometry</t>
  </si>
  <si>
    <t>CPE 111</t>
  </si>
  <si>
    <t>General Inorganic Chemistry</t>
  </si>
  <si>
    <t>DFT 111</t>
  </si>
  <si>
    <t>Engineering Drawing 1</t>
  </si>
  <si>
    <t>COM 111</t>
  </si>
  <si>
    <t>Computer Fundamentals &amp; Programming</t>
  </si>
  <si>
    <t>FIL 111</t>
  </si>
  <si>
    <t>Sining ng Pakikipagtalastasan</t>
  </si>
  <si>
    <t>PED 111</t>
  </si>
  <si>
    <t>Physical Fitness / Gymnastics</t>
  </si>
  <si>
    <t>NSTP 111</t>
  </si>
  <si>
    <t>National Service Training Program 1</t>
  </si>
  <si>
    <t>ENG 112</t>
  </si>
  <si>
    <t>Communication Skills 2</t>
  </si>
  <si>
    <t>MAT 123</t>
  </si>
  <si>
    <t>Analytic Geometry</t>
  </si>
  <si>
    <t>FIL 122</t>
  </si>
  <si>
    <t>Gamiting Filipino</t>
  </si>
  <si>
    <t>MAT 125</t>
  </si>
  <si>
    <t>Advance Algebra</t>
  </si>
  <si>
    <t>MAT 124</t>
  </si>
  <si>
    <t>Solid Mensuration</t>
  </si>
  <si>
    <t>RIZ 125</t>
  </si>
  <si>
    <t>Rizal's Life, Works &amp; Writings</t>
  </si>
  <si>
    <t>Computer Aided Drafting</t>
  </si>
  <si>
    <t>PED 122</t>
  </si>
  <si>
    <t>Rhythmic Activities</t>
  </si>
  <si>
    <t>NSTP 122</t>
  </si>
  <si>
    <t>National Service Training Program 2</t>
  </si>
  <si>
    <t>HUM 121</t>
  </si>
  <si>
    <t>Philosophy of Man</t>
  </si>
  <si>
    <t>ENG 213</t>
  </si>
  <si>
    <t>Technical Communications</t>
  </si>
  <si>
    <t>MAT 216</t>
  </si>
  <si>
    <t>Differential Calculus</t>
  </si>
  <si>
    <t>PHY 211</t>
  </si>
  <si>
    <t>General Physics 1</t>
  </si>
  <si>
    <t>SS 212</t>
  </si>
  <si>
    <t>Economics w/ Land Reform and Taxation</t>
  </si>
  <si>
    <t>SS 211</t>
  </si>
  <si>
    <t>Philippine History &amp; Culture</t>
  </si>
  <si>
    <t>CPE 211</t>
  </si>
  <si>
    <t>Computer Hardware Fundamentals</t>
  </si>
  <si>
    <t>PED 223</t>
  </si>
  <si>
    <t>Specialized Athletics</t>
  </si>
  <si>
    <t>HUM 212</t>
  </si>
  <si>
    <t>Art Appreciation</t>
  </si>
  <si>
    <t>MAT 228</t>
  </si>
  <si>
    <t>Statistics and Probabilities</t>
  </si>
  <si>
    <t>MAT 227</t>
  </si>
  <si>
    <t>Integral Calculus</t>
  </si>
  <si>
    <t>PHY 222</t>
  </si>
  <si>
    <t>General Physics 2</t>
  </si>
  <si>
    <t>COM 222</t>
  </si>
  <si>
    <t>Data Structure &amp; Algorithm Analysis</t>
  </si>
  <si>
    <t>SS 222</t>
  </si>
  <si>
    <t>General Psychology</t>
  </si>
  <si>
    <t>HUM 223</t>
  </si>
  <si>
    <t>Philippine Literature</t>
  </si>
  <si>
    <t>PED 224</t>
  </si>
  <si>
    <t>Group Games</t>
  </si>
  <si>
    <t>3rd</t>
  </si>
  <si>
    <t>MAT 310</t>
  </si>
  <si>
    <t>Engineering Economy</t>
  </si>
  <si>
    <t>MAT 319</t>
  </si>
  <si>
    <t>Different Equations</t>
  </si>
  <si>
    <t>EGR 311</t>
  </si>
  <si>
    <t>Statics of Rigid Bodies</t>
  </si>
  <si>
    <t>ECA 311</t>
  </si>
  <si>
    <t>Circuit Analysis 1</t>
  </si>
  <si>
    <t>EGR 312</t>
  </si>
  <si>
    <t>Electromagnetics</t>
  </si>
  <si>
    <t>ECE 311</t>
  </si>
  <si>
    <t>Electronics 1</t>
  </si>
  <si>
    <t>CPE 312</t>
  </si>
  <si>
    <t>Computer Systems Organization w/ Assembly Language</t>
  </si>
  <si>
    <t>MAT 311</t>
  </si>
  <si>
    <t>MAT 322</t>
  </si>
  <si>
    <t>Advance Engineering Mathematics</t>
  </si>
  <si>
    <t>EGR 322</t>
  </si>
  <si>
    <t>Dynamics of Rigid Bodies</t>
  </si>
  <si>
    <t>EGR 323</t>
  </si>
  <si>
    <t>Engineering Materials</t>
  </si>
  <si>
    <t>NT 321</t>
  </si>
  <si>
    <t>CISCO 1</t>
  </si>
  <si>
    <t>ECE 322</t>
  </si>
  <si>
    <t>Electronics 2</t>
  </si>
  <si>
    <t>ECA 322</t>
  </si>
  <si>
    <t>Circuit Analysis 2</t>
  </si>
  <si>
    <t>CPE 323</t>
  </si>
  <si>
    <t>Logic Circuit &amp; Switching Theory</t>
  </si>
  <si>
    <t>CPE 324</t>
  </si>
  <si>
    <t>Operating System</t>
  </si>
  <si>
    <t>MAT 413</t>
  </si>
  <si>
    <t>Numerical Analysis w/ Computer Application</t>
  </si>
  <si>
    <t>NT 412</t>
  </si>
  <si>
    <t>CISCO 2</t>
  </si>
  <si>
    <t>ECM 411</t>
  </si>
  <si>
    <t>Principles of Communication</t>
  </si>
  <si>
    <t>CPE 416</t>
  </si>
  <si>
    <t>Advance Logic Circuit &amp; Switching Theory</t>
  </si>
  <si>
    <t>EGR 414</t>
  </si>
  <si>
    <t>Control Systems</t>
  </si>
  <si>
    <t>EGR 415</t>
  </si>
  <si>
    <t>Mechanics of Deformable Bodies</t>
  </si>
  <si>
    <t>CPE 415</t>
  </si>
  <si>
    <t>Digital Signal Processing</t>
  </si>
  <si>
    <t>CPE 417</t>
  </si>
  <si>
    <t>Computer Engineering Drafting and Design</t>
  </si>
  <si>
    <t>SS 524</t>
  </si>
  <si>
    <t>Society &amp; Culture w/ HIV Aids Education</t>
  </si>
  <si>
    <t>CPE 427</t>
  </si>
  <si>
    <t>Microprocessor &amp; Microcontroller Systems</t>
  </si>
  <si>
    <t>CPE 428</t>
  </si>
  <si>
    <t>Data Communications</t>
  </si>
  <si>
    <t>CPE 424</t>
  </si>
  <si>
    <t>Computer System Architecture</t>
  </si>
  <si>
    <t>ENV 421</t>
  </si>
  <si>
    <t>Environmental Engineering</t>
  </si>
  <si>
    <t>FEL 322</t>
  </si>
  <si>
    <t>EL 421</t>
  </si>
  <si>
    <t>Elective 1</t>
  </si>
  <si>
    <t>OJT 231</t>
  </si>
  <si>
    <t>Practicum</t>
  </si>
  <si>
    <t>5th</t>
  </si>
  <si>
    <t>COM 515</t>
  </si>
  <si>
    <t>System Analysis &amp; Design</t>
  </si>
  <si>
    <t>COM 516</t>
  </si>
  <si>
    <t>Object Oriented Programming</t>
  </si>
  <si>
    <t>ETH 511</t>
  </si>
  <si>
    <t>Engineering Ethics and Computer Laws</t>
  </si>
  <si>
    <t>CPE 510</t>
  </si>
  <si>
    <t>Computer Networks</t>
  </si>
  <si>
    <t>EEL 512</t>
  </si>
  <si>
    <t>Elective 2</t>
  </si>
  <si>
    <t>SAF 521</t>
  </si>
  <si>
    <t>Safety Engineering</t>
  </si>
  <si>
    <t>EDR 511</t>
  </si>
  <si>
    <t>Engineering Design, Research &amp; Dev't 1</t>
  </si>
  <si>
    <t>NT 423</t>
  </si>
  <si>
    <t>CISCO 3</t>
  </si>
  <si>
    <t>EGR 528</t>
  </si>
  <si>
    <t>Engineering Management</t>
  </si>
  <si>
    <t>COM 527</t>
  </si>
  <si>
    <t>Software Engineering</t>
  </si>
  <si>
    <t>ENT 521</t>
  </si>
  <si>
    <t>Entrepreneurship</t>
  </si>
  <si>
    <t>EDR 522</t>
  </si>
  <si>
    <t>Engineering Design, Research &amp; Dev't 2</t>
  </si>
  <si>
    <t>WWL 523</t>
  </si>
  <si>
    <t>Elective 3</t>
  </si>
  <si>
    <t>SFT 521</t>
  </si>
  <si>
    <t>Seminars &amp; Field Trip</t>
  </si>
  <si>
    <t>Komunikasyon sa Akademikong Filipino</t>
  </si>
  <si>
    <t>IT 110</t>
  </si>
  <si>
    <t>IT Fundamentals</t>
  </si>
  <si>
    <t>IT 111</t>
  </si>
  <si>
    <t>Programming 1 (C+)</t>
  </si>
  <si>
    <t>TVET 111</t>
  </si>
  <si>
    <t>Office Productivity</t>
  </si>
  <si>
    <t>SS 111</t>
  </si>
  <si>
    <t>NS 111</t>
  </si>
  <si>
    <t>PE 111</t>
  </si>
  <si>
    <t>Gymnastics</t>
  </si>
  <si>
    <t>Pagbasa at Pagsulat Tungo sa Pananaliksik</t>
  </si>
  <si>
    <t>Trigonometry</t>
  </si>
  <si>
    <t>IT 122</t>
  </si>
  <si>
    <t>Programming 2 (C++)</t>
  </si>
  <si>
    <t>IT 223</t>
  </si>
  <si>
    <t>Applied Operating System</t>
  </si>
  <si>
    <t>TVET 122</t>
  </si>
  <si>
    <t>Quality Consciousness, Habits and Processes</t>
  </si>
  <si>
    <t>DFT 122</t>
  </si>
  <si>
    <t>NS 212</t>
  </si>
  <si>
    <t>PE 122</t>
  </si>
  <si>
    <t>FIL 213</t>
  </si>
  <si>
    <t>Masining na Pagpapahayag</t>
  </si>
  <si>
    <t>IT 214</t>
  </si>
  <si>
    <t>Computer System Organization</t>
  </si>
  <si>
    <t>IT 211</t>
  </si>
  <si>
    <t>Object Oriented Programming (Visual Basic)</t>
  </si>
  <si>
    <t>IT 212</t>
  </si>
  <si>
    <t>ACC 211</t>
  </si>
  <si>
    <t>Fundamentals of Accounting</t>
  </si>
  <si>
    <t>PE 213</t>
  </si>
  <si>
    <t>IT 225</t>
  </si>
  <si>
    <t>Database Management System</t>
  </si>
  <si>
    <t>IT 226</t>
  </si>
  <si>
    <t>IT 227</t>
  </si>
  <si>
    <t>Network Management</t>
  </si>
  <si>
    <t>LDS 121</t>
  </si>
  <si>
    <t>Logic Design and Switching Theory</t>
  </si>
  <si>
    <t>FEL 221</t>
  </si>
  <si>
    <t>Free Elective (SAP)</t>
  </si>
  <si>
    <t>MAT 223</t>
  </si>
  <si>
    <t>Probability &amp; Statistics</t>
  </si>
  <si>
    <t>NS 222</t>
  </si>
  <si>
    <t>SS 223</t>
  </si>
  <si>
    <t>Philippine History</t>
  </si>
  <si>
    <t>PE 224</t>
  </si>
  <si>
    <t>IT 317</t>
  </si>
  <si>
    <t>Web Development</t>
  </si>
  <si>
    <t>IT 318</t>
  </si>
  <si>
    <t>EEL 311</t>
  </si>
  <si>
    <t>IT Elective 1 (MIS)</t>
  </si>
  <si>
    <t>FEL 312</t>
  </si>
  <si>
    <t>RIZ 311</t>
  </si>
  <si>
    <t>SS 313</t>
  </si>
  <si>
    <t>Philippine Government &amp; Constitution</t>
  </si>
  <si>
    <t>HUM 314</t>
  </si>
  <si>
    <t>MAT 314</t>
  </si>
  <si>
    <t>IT 323</t>
  </si>
  <si>
    <t>IT 324</t>
  </si>
  <si>
    <t>Multimedia System</t>
  </si>
  <si>
    <t>IT 322</t>
  </si>
  <si>
    <t>Advance Database Management Systems</t>
  </si>
  <si>
    <t>TEC 311</t>
  </si>
  <si>
    <t>Technopreneurship</t>
  </si>
  <si>
    <t>FEL 414</t>
  </si>
  <si>
    <t>SS 325</t>
  </si>
  <si>
    <t>EEL 322</t>
  </si>
  <si>
    <t>IT Elective 2 (Network Administration)</t>
  </si>
  <si>
    <t>OJT 411</t>
  </si>
  <si>
    <t>SS 415</t>
  </si>
  <si>
    <t>Professional Ethics in IT</t>
  </si>
  <si>
    <t>IT 415</t>
  </si>
  <si>
    <t>Database Administration</t>
  </si>
  <si>
    <t>IT 417</t>
  </si>
  <si>
    <t>IT 418</t>
  </si>
  <si>
    <t>Information Technology Design 1 (Thesis 1)</t>
  </si>
  <si>
    <t>EEL 423</t>
  </si>
  <si>
    <t>IT Elective 3 (E-Business)</t>
  </si>
  <si>
    <t>NT 514</t>
  </si>
  <si>
    <t>CISCO 4</t>
  </si>
  <si>
    <t>IT 428</t>
  </si>
  <si>
    <t>Information Technology Design 2 (Thesis 2)</t>
  </si>
  <si>
    <t>EEL 424</t>
  </si>
  <si>
    <t>IT Elective 4 (IT Project Management)</t>
  </si>
  <si>
    <t>TVET 423</t>
  </si>
  <si>
    <t>Contact Center</t>
  </si>
  <si>
    <t>FEL 425</t>
  </si>
  <si>
    <t>SFT 421</t>
  </si>
  <si>
    <t>S.Y. 2008-2009</t>
  </si>
  <si>
    <t>S.Y. 2018-2019</t>
  </si>
  <si>
    <t>asd</t>
  </si>
  <si>
    <t>NULL</t>
  </si>
  <si>
    <t>GE 111</t>
  </si>
  <si>
    <t>GE 112</t>
  </si>
  <si>
    <t>GE 113</t>
  </si>
  <si>
    <t>NSTP 1</t>
  </si>
  <si>
    <t>GE 124</t>
  </si>
  <si>
    <t>GE 125</t>
  </si>
  <si>
    <t>GE 126</t>
  </si>
  <si>
    <t>MAT 122</t>
  </si>
  <si>
    <t>NS 122</t>
  </si>
  <si>
    <t>NSTP 2</t>
  </si>
  <si>
    <t>RIZ 211</t>
  </si>
  <si>
    <t>GE 217</t>
  </si>
  <si>
    <t>GE 218</t>
  </si>
  <si>
    <t>MAT 214</t>
  </si>
  <si>
    <t>CPE 212</t>
  </si>
  <si>
    <t>IT 213</t>
  </si>
  <si>
    <t>TECH 211</t>
  </si>
  <si>
    <t>DFT 211</t>
  </si>
  <si>
    <t>CPE 213</t>
  </si>
  <si>
    <t>IT 224</t>
  </si>
  <si>
    <t>MAT 225</t>
  </si>
  <si>
    <t>TECH 222</t>
  </si>
  <si>
    <t>DFT 222</t>
  </si>
  <si>
    <t>CIS 01</t>
  </si>
  <si>
    <t>TECH 313</t>
  </si>
  <si>
    <t>GEE 311</t>
  </si>
  <si>
    <t>DDC 311</t>
  </si>
  <si>
    <t>HDL 311</t>
  </si>
  <si>
    <t>FCS 311</t>
  </si>
  <si>
    <t>MSS 311</t>
  </si>
  <si>
    <t>GEE 312</t>
  </si>
  <si>
    <t>CIS 02</t>
  </si>
  <si>
    <t>OHS 321</t>
  </si>
  <si>
    <t>IT 326</t>
  </si>
  <si>
    <t>TECH 324</t>
  </si>
  <si>
    <t>RES 321</t>
  </si>
  <si>
    <t>ENT 321</t>
  </si>
  <si>
    <t>FEL 321</t>
  </si>
  <si>
    <t>GEE 323</t>
  </si>
  <si>
    <t>CIS 03</t>
  </si>
  <si>
    <t>EMB 411</t>
  </si>
  <si>
    <t>DSP 411</t>
  </si>
  <si>
    <t>FEL 412</t>
  </si>
  <si>
    <t>CIS 04</t>
  </si>
  <si>
    <t>FEL 423</t>
  </si>
  <si>
    <t>SF 421</t>
  </si>
  <si>
    <t>PROG 111</t>
  </si>
  <si>
    <t>IT 112</t>
  </si>
  <si>
    <t>PROG 122</t>
  </si>
  <si>
    <t>IT 123</t>
  </si>
  <si>
    <t>MAT 121</t>
  </si>
  <si>
    <t>ELE 211</t>
  </si>
  <si>
    <t>IT 215</t>
  </si>
  <si>
    <t>IAS 211</t>
  </si>
  <si>
    <t>NET 221</t>
  </si>
  <si>
    <t>IAS 222</t>
  </si>
  <si>
    <t>DBS 221</t>
  </si>
  <si>
    <t>SAD 221</t>
  </si>
  <si>
    <t>TVET 221</t>
  </si>
  <si>
    <t>NET 312</t>
  </si>
  <si>
    <t>IM 311</t>
  </si>
  <si>
    <t>ELE</t>
  </si>
  <si>
    <t>SIA 311</t>
  </si>
  <si>
    <t>IPT 311</t>
  </si>
  <si>
    <t>GEE 313</t>
  </si>
  <si>
    <t>THESIS 1</t>
  </si>
  <si>
    <t>IT 327</t>
  </si>
  <si>
    <t>SS</t>
  </si>
  <si>
    <t>IT 328</t>
  </si>
  <si>
    <t>CAD 321</t>
  </si>
  <si>
    <t>SAP 01</t>
  </si>
  <si>
    <t>THESIS 2</t>
  </si>
  <si>
    <t>TVET 412</t>
  </si>
  <si>
    <t>GE 410</t>
  </si>
  <si>
    <t>TEC 411</t>
  </si>
  <si>
    <t>SAP 02</t>
  </si>
  <si>
    <t xml:space="preserve">Understanding The Self </t>
  </si>
  <si>
    <t>Mathematics In The Modern World</t>
  </si>
  <si>
    <t>Science, Technology And Society</t>
  </si>
  <si>
    <t>Calculus 1</t>
  </si>
  <si>
    <t>Chemistry For Engineers</t>
  </si>
  <si>
    <t xml:space="preserve">Computer Engineering As A Discipline </t>
  </si>
  <si>
    <t>Programming Logic And Design</t>
  </si>
  <si>
    <t>Physical Fitness/Gymnastics</t>
  </si>
  <si>
    <t>Cwts 1</t>
  </si>
  <si>
    <t>Purposive Communication</t>
  </si>
  <si>
    <t>Readings In The Philippines</t>
  </si>
  <si>
    <t>Arts Appreciation</t>
  </si>
  <si>
    <t>Calculus 2</t>
  </si>
  <si>
    <t>Discrete Mathematics</t>
  </si>
  <si>
    <t>Rhythmic Activities (Dance)</t>
  </si>
  <si>
    <t>Cwts 2</t>
  </si>
  <si>
    <t>Rizal'S Life, Works And Writing</t>
  </si>
  <si>
    <t xml:space="preserve">The Contemporary World </t>
  </si>
  <si>
    <t>Ethics</t>
  </si>
  <si>
    <t>Differential Equations</t>
  </si>
  <si>
    <t>Engineering Data Analysis</t>
  </si>
  <si>
    <t>Data Structures &amp; Algorithms</t>
  </si>
  <si>
    <t>Fundamentals Of Electrical Circuit</t>
  </si>
  <si>
    <t>Engineering Economics</t>
  </si>
  <si>
    <t>Specialized Atheletic</t>
  </si>
  <si>
    <t>Operating Systems</t>
  </si>
  <si>
    <t>Numerical Methods</t>
  </si>
  <si>
    <t>Software Design</t>
  </si>
  <si>
    <t>Fundamentals Of Electronic Circuits</t>
  </si>
  <si>
    <t>Computer Eng'G Drafting &amp; Design</t>
  </si>
  <si>
    <t>Logic Circuit And Design</t>
  </si>
  <si>
    <t>Human Behavior In Organization</t>
  </si>
  <si>
    <t>Data &amp; Digital Communications</t>
  </si>
  <si>
    <t xml:space="preserve">Introduction To Hdl </t>
  </si>
  <si>
    <t>Feedback &amp; Control Systems</t>
  </si>
  <si>
    <t>Fundamentals Of Mixed Signals &amp; Sensors</t>
  </si>
  <si>
    <t>Retorika</t>
  </si>
  <si>
    <t>Basic Occupational Health &amp; Safety</t>
  </si>
  <si>
    <t>Computer Networks &amp; Security</t>
  </si>
  <si>
    <t>Microprocessors</t>
  </si>
  <si>
    <t>Methods Of Research</t>
  </si>
  <si>
    <t>Cpe Laws &amp; Professional Practice</t>
  </si>
  <si>
    <t>Software Development 1</t>
  </si>
  <si>
    <t>Cisco 3</t>
  </si>
  <si>
    <t>Embedded Systems</t>
  </si>
  <si>
    <t>Computer Architecture &amp; Organization</t>
  </si>
  <si>
    <t>Emerging Technologies In Cpe</t>
  </si>
  <si>
    <t>Cpe Practice And Design 1</t>
  </si>
  <si>
    <t>Software Development 2</t>
  </si>
  <si>
    <t>Cpe Practice &amp; Design</t>
  </si>
  <si>
    <t>Software Development 3</t>
  </si>
  <si>
    <t>Seminars &amp; Fieldtrip</t>
  </si>
  <si>
    <t>Understanding The Self</t>
  </si>
  <si>
    <t>Computer Concepts And Fundamentals</t>
  </si>
  <si>
    <t>Computer Programming 1 (C++)</t>
  </si>
  <si>
    <t>Introduction To Computing</t>
  </si>
  <si>
    <t>Computer Programming 2 (Java)</t>
  </si>
  <si>
    <t>Intro To Human Interaction</t>
  </si>
  <si>
    <t>The Contemporary World</t>
  </si>
  <si>
    <t>Data Structures And Algorithm</t>
  </si>
  <si>
    <t>Object Oriented Programming (Vb.Net)</t>
  </si>
  <si>
    <t>Application Development &amp; Emerging Technologies</t>
  </si>
  <si>
    <t>Information Assurance &amp; Security 1</t>
  </si>
  <si>
    <t>Specialized Athletic</t>
  </si>
  <si>
    <t>Networking 1</t>
  </si>
  <si>
    <t>Information Assurance &amp; Security 2</t>
  </si>
  <si>
    <t>Platform Technologies</t>
  </si>
  <si>
    <t>Fundamentals Of Database Systems</t>
  </si>
  <si>
    <t>Systems Analysis &amp; Design</t>
  </si>
  <si>
    <t>Computer Systems Servicing</t>
  </si>
  <si>
    <t>Networking 2</t>
  </si>
  <si>
    <t>Information Management</t>
  </si>
  <si>
    <t xml:space="preserve">Web Systems &amp; Technology </t>
  </si>
  <si>
    <t>Systems Integration &amp; Architecture 1</t>
  </si>
  <si>
    <t>Integrative Programming &amp; Technologies 1</t>
  </si>
  <si>
    <t>Capstone Project And Research 1</t>
  </si>
  <si>
    <t>System Administration &amp; Maintenance</t>
  </si>
  <si>
    <t>Social And Professional Issues</t>
  </si>
  <si>
    <t>Quantitative Methods (Inc. Modeling &amp; Simulation)</t>
  </si>
  <si>
    <t>Capstone Project And Research 2</t>
  </si>
  <si>
    <t>Contact Center Services</t>
  </si>
  <si>
    <t xml:space="preserve">Technical Writing </t>
  </si>
  <si>
    <t>Chicano</t>
  </si>
  <si>
    <t>Joshua Paolo</t>
  </si>
  <si>
    <t>Douglas</t>
  </si>
  <si>
    <t>Jemar</t>
  </si>
  <si>
    <t>Mariano</t>
  </si>
  <si>
    <t>Luzviminda</t>
  </si>
  <si>
    <t>Reyes</t>
  </si>
  <si>
    <t>Mc Joben</t>
  </si>
  <si>
    <t>Rodrigo</t>
  </si>
  <si>
    <t>1214-92</t>
  </si>
  <si>
    <t>1011-89</t>
  </si>
  <si>
    <t>1224-07</t>
  </si>
  <si>
    <t>0629-18</t>
  </si>
  <si>
    <t>System Analysis and Design</t>
  </si>
  <si>
    <t>Mon</t>
  </si>
  <si>
    <t>Tue</t>
  </si>
  <si>
    <t>Wed</t>
  </si>
  <si>
    <t>Thu</t>
  </si>
  <si>
    <t>Sat</t>
  </si>
  <si>
    <t>Arnold</t>
  </si>
  <si>
    <t>Duelas</t>
  </si>
  <si>
    <t>John Emil</t>
  </si>
  <si>
    <t>Palmes</t>
  </si>
  <si>
    <t>Liezel</t>
  </si>
  <si>
    <t>Macaraeg</t>
  </si>
  <si>
    <t>Maricar</t>
  </si>
  <si>
    <t>Laroya</t>
  </si>
  <si>
    <t>Abejar</t>
  </si>
  <si>
    <t>Nelia</t>
  </si>
  <si>
    <t>Cenia</t>
  </si>
  <si>
    <t>Randolp</t>
  </si>
  <si>
    <t>Dondoy</t>
  </si>
  <si>
    <t>Cristy</t>
  </si>
  <si>
    <t>Santiago</t>
  </si>
  <si>
    <t>Rowena</t>
  </si>
  <si>
    <t>Allan Raniel</t>
  </si>
  <si>
    <t>Zulueta</t>
  </si>
  <si>
    <t>Juniper</t>
  </si>
  <si>
    <t>Recto</t>
  </si>
  <si>
    <t>Juan</t>
  </si>
  <si>
    <t>Ty</t>
  </si>
  <si>
    <t>Gregorgio William</t>
  </si>
  <si>
    <t>Visda</t>
  </si>
  <si>
    <t>Rizhelle Ann</t>
  </si>
  <si>
    <t>Mary Ann</t>
  </si>
  <si>
    <t>0001-18</t>
  </si>
  <si>
    <t>0002-18</t>
  </si>
  <si>
    <t>0003-18</t>
  </si>
  <si>
    <t>0004-18</t>
  </si>
  <si>
    <t>0005-18</t>
  </si>
  <si>
    <t>0006-18</t>
  </si>
  <si>
    <t>0007-18</t>
  </si>
  <si>
    <t>0008-18</t>
  </si>
  <si>
    <t>0009-18</t>
  </si>
  <si>
    <t>0010-18</t>
  </si>
  <si>
    <t>0011-18</t>
  </si>
  <si>
    <t>0012-18</t>
  </si>
  <si>
    <t>0013-18</t>
  </si>
  <si>
    <t>0014-18</t>
  </si>
  <si>
    <t>0015-18</t>
  </si>
  <si>
    <t>Physics For Engineers</t>
  </si>
  <si>
    <t>Fri</t>
  </si>
  <si>
    <t>Title</t>
  </si>
  <si>
    <t>Sun</t>
  </si>
  <si>
    <t>TextDay</t>
  </si>
  <si>
    <t>Practicum - CpE</t>
  </si>
  <si>
    <t>Practicum - IT</t>
  </si>
  <si>
    <t>Comp Aided Dft</t>
  </si>
  <si>
    <t>Data Struc</t>
  </si>
  <si>
    <t>Engineering Ethics &amp; Computer Laws</t>
  </si>
  <si>
    <t>Engg Mat</t>
  </si>
  <si>
    <t>Engg Ethics</t>
  </si>
  <si>
    <t>Gen Psy</t>
  </si>
  <si>
    <t>Economics W/ Land Reform &amp; Taxation</t>
  </si>
  <si>
    <t>Masining Na Pagpapahayag</t>
  </si>
  <si>
    <t>Computer System Osrganization</t>
  </si>
  <si>
    <t>Data Structures &amp; Algorithm Analysis</t>
  </si>
  <si>
    <t>Fundamentals Of Accounting</t>
  </si>
  <si>
    <t xml:space="preserve">Engineering Economy </t>
  </si>
  <si>
    <t>Statics Of Rgid Bodies</t>
  </si>
  <si>
    <t>Computer Systems Organization W/ Assembly Lang.</t>
  </si>
  <si>
    <t>It Elective 1 (Mis)</t>
  </si>
  <si>
    <t>Numerical Anaysis W/ Computer Pp.</t>
  </si>
  <si>
    <t xml:space="preserve">Principles Of Communication </t>
  </si>
  <si>
    <t>Advanced Logic Design &amp; Switching Theory</t>
  </si>
  <si>
    <t>Mechanics Deformable Bodies</t>
  </si>
  <si>
    <t xml:space="preserve">Digital Signal Processing </t>
  </si>
  <si>
    <t>Computer Engineering Drafting And Design</t>
  </si>
  <si>
    <t>Professional Ethics In It</t>
  </si>
  <si>
    <t>Information Technology Design 1</t>
  </si>
  <si>
    <t>It Elective 3(E-Business)</t>
  </si>
  <si>
    <t>Object Orriented Programming</t>
  </si>
  <si>
    <t>Engineering Ethics And Computer Laws</t>
  </si>
  <si>
    <t>Elevtive 2</t>
  </si>
  <si>
    <t>Eng'G Design, Research &amp; Dev'T 1</t>
  </si>
  <si>
    <t>S.Y. 2017-2018</t>
  </si>
  <si>
    <t>S.Y. 2016-2017</t>
  </si>
  <si>
    <t>S.Y. 2015-2016</t>
  </si>
  <si>
    <t>S.Y. 2014-2015</t>
  </si>
  <si>
    <t>marc</t>
  </si>
  <si>
    <t>som</t>
  </si>
  <si>
    <t>jay ar</t>
  </si>
  <si>
    <t>don</t>
  </si>
  <si>
    <t>josh</t>
  </si>
  <si>
    <t>rom</t>
  </si>
  <si>
    <t>shane</t>
  </si>
  <si>
    <t>Advanced Algebra</t>
  </si>
  <si>
    <t>Rhytmic Activities (Dances)</t>
  </si>
  <si>
    <t>Philosophy Of Man</t>
  </si>
  <si>
    <t>Pagbasa At Pagsulat Tungo Sa Pananaliksik</t>
  </si>
  <si>
    <t>Quality, Conciousness, Habits And Processes</t>
  </si>
  <si>
    <t>Statistics And Probabilities</t>
  </si>
  <si>
    <t>System Analysis And Design</t>
  </si>
  <si>
    <t>Logic Design &amp; Switching Theory</t>
  </si>
  <si>
    <t>Dynamics Of Rigid Bodies</t>
  </si>
  <si>
    <t>Software Enginnering</t>
  </si>
  <si>
    <t>Multimedia Systems</t>
  </si>
  <si>
    <t>Society &amp; Culture W/ Hiv Aids Education</t>
  </si>
  <si>
    <t>It Elective 2 (Network Administration)</t>
  </si>
  <si>
    <t>Information Technology Design 2</t>
  </si>
  <si>
    <t>It Elective 4 (It Project Management)</t>
  </si>
  <si>
    <t>Seminar And Fieldtrip</t>
  </si>
  <si>
    <t>Entreperneurship</t>
  </si>
  <si>
    <t>Eng'G Design, Research &amp; Dev'T</t>
  </si>
  <si>
    <t>Seminar &amp; Field Trip</t>
  </si>
  <si>
    <t>Plane And Sperical Trigonometry</t>
  </si>
  <si>
    <t>Sining Ng Pakikipagtalastasan</t>
  </si>
  <si>
    <t>Physical Fitness/ Gymnastics</t>
  </si>
  <si>
    <t>National Service Traning Program 1</t>
  </si>
  <si>
    <t>It Fundamentals</t>
  </si>
  <si>
    <t>AddLine1</t>
  </si>
  <si>
    <t>AddLine2</t>
  </si>
  <si>
    <t>MuniCity</t>
  </si>
  <si>
    <t>Province</t>
  </si>
  <si>
    <t>PostalCode</t>
  </si>
  <si>
    <t>RoleID</t>
  </si>
  <si>
    <t>StatusID</t>
  </si>
  <si>
    <t>Admin</t>
  </si>
  <si>
    <t>ProfilePic</t>
  </si>
  <si>
    <t>San Pedro, Laguna</t>
  </si>
  <si>
    <t>#23 Maharlika St.</t>
  </si>
  <si>
    <t>Brgy. Magsaysay</t>
  </si>
  <si>
    <t>City of San Pedro</t>
  </si>
  <si>
    <t>Laguna</t>
  </si>
  <si>
    <t>sad@gmail.com</t>
  </si>
  <si>
    <t>09123123321</t>
  </si>
  <si>
    <t>SemesterID</t>
  </si>
  <si>
    <t>YearLevelID</t>
  </si>
  <si>
    <t>SubjectCode</t>
  </si>
  <si>
    <t>SAP 1</t>
  </si>
  <si>
    <t>SAP 2</t>
  </si>
  <si>
    <t>OJT</t>
  </si>
  <si>
    <t>Practicum/OJT</t>
  </si>
  <si>
    <t>TypeID</t>
  </si>
  <si>
    <t>DateOfStart</t>
  </si>
  <si>
    <t>DateOfEnd</t>
  </si>
  <si>
    <t>SchoolIDNo</t>
  </si>
  <si>
    <t>AdmissionStatusID</t>
  </si>
  <si>
    <t>ScholasticStatusID</t>
  </si>
  <si>
    <t>DateEnrolled</t>
  </si>
  <si>
    <t>CWTS 2</t>
  </si>
  <si>
    <t>CWTS 1</t>
  </si>
  <si>
    <t>1st Year</t>
  </si>
  <si>
    <t>2nd Year</t>
  </si>
  <si>
    <t>3rd Year</t>
  </si>
  <si>
    <t>4th Year</t>
  </si>
  <si>
    <t>5th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</si>
</sst>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1" fillId="0" borderId="0">
      <protection locked="0"/>
    </xf>
    <xf numFmtId="0" fontId="4" fillId="0" borderId="0"/>
  </cellStyleXfs>
  <cellXfs count="37">
    <xf numFmtId="0" fontId="0" fillId="0" borderId="0" xfId="0"/>
    <xf numFmtId="0" fontId="0" fillId="0" borderId="1" xfId="0" applyBorder="1" applyAlignment="1"/>
    <xf numFmtId="0" fontId="0" fillId="0" borderId="1" xfId="0" applyNumberFormat="1" applyBorder="1" applyAlignment="1"/>
    <xf numFmtId="0" fontId="0" fillId="0" borderId="2" xfId="0" applyBorder="1"/>
    <xf numFmtId="0" fontId="0" fillId="0" borderId="0" xfId="0" applyBorder="1"/>
    <xf numFmtId="0" fontId="2" fillId="0" borderId="0" xfId="0" applyFont="1"/>
    <xf numFmtId="0" fontId="0" fillId="0" borderId="1" xfId="0" applyBorder="1"/>
    <xf numFmtId="0" fontId="0" fillId="0" borderId="1" xfId="0" applyFill="1" applyBorder="1"/>
    <xf numFmtId="0" fontId="0" fillId="0" borderId="3" xfId="0" applyFill="1" applyBorder="1"/>
    <xf numFmtId="0" fontId="3" fillId="0" borderId="1" xfId="0" applyFont="1" applyBorder="1"/>
    <xf numFmtId="0" fontId="3" fillId="0" borderId="1" xfId="0" applyFont="1" applyFill="1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4" fillId="0" borderId="0" xfId="2" applyFill="1" applyAlignment="1"/>
    <xf numFmtId="0" fontId="0" fillId="0" borderId="0" xfId="0" applyAlignment="1">
      <alignment wrapText="1"/>
    </xf>
    <xf numFmtId="0" fontId="4" fillId="0" borderId="0" xfId="2" applyFill="1" applyAlignment="1"/>
    <xf numFmtId="0" fontId="4" fillId="0" borderId="0" xfId="2" applyFill="1" applyAlignment="1"/>
    <xf numFmtId="20" fontId="0" fillId="0" borderId="0" xfId="0" applyNumberFormat="1"/>
    <xf numFmtId="0" fontId="0" fillId="0" borderId="5" xfId="0" applyFont="1" applyBorder="1"/>
    <xf numFmtId="0" fontId="0" fillId="0" borderId="4" xfId="0" applyFont="1" applyBorder="1"/>
    <xf numFmtId="0" fontId="0" fillId="0" borderId="0" xfId="0" applyFont="1" applyBorder="1"/>
    <xf numFmtId="0" fontId="0" fillId="0" borderId="6" xfId="0" applyFont="1" applyBorder="1"/>
    <xf numFmtId="0" fontId="0" fillId="0" borderId="7" xfId="0" applyFont="1" applyBorder="1"/>
    <xf numFmtId="0" fontId="5" fillId="2" borderId="0" xfId="0" applyFont="1" applyFill="1" applyBorder="1"/>
    <xf numFmtId="0" fontId="0" fillId="0" borderId="8" xfId="0" applyFont="1" applyBorder="1"/>
    <xf numFmtId="0" fontId="0" fillId="0" borderId="1" xfId="0" applyFill="1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Font="1" applyBorder="1"/>
    <xf numFmtId="164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0" xfId="0" applyAlignment="1">
      <alignment vertical="center" wrapText="1"/>
    </xf>
  </cellXfs>
  <cellStyles count="3">
    <cellStyle name="Normal" xfId="0" builtinId="0"/>
    <cellStyle name="Normal 2" xfId="1"/>
    <cellStyle name="Normal 3" xfId="2"/>
  </cellStyles>
  <dxfs count="10">
    <dxf>
      <numFmt numFmtId="0" formatCode="General"/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164" formatCode="yyyy\-mm\-dd"/>
    </dxf>
    <dxf>
      <numFmt numFmtId="164" formatCode="yyyy\-mm\-dd"/>
    </dxf>
    <dxf>
      <numFmt numFmtId="164" formatCode="yyyy\-mm\-dd"/>
    </dxf>
    <dxf>
      <numFmt numFmtId="164" formatCode="yyyy\-mm\-dd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" name="tblPersons" displayName="tblPersons" ref="B2:P92" totalsRowShown="0">
  <autoFilter ref="B2:P92">
    <filterColumn colId="0">
      <filters>
        <filter val="11"/>
        <filter val="12"/>
        <filter val="37"/>
        <filter val="47"/>
        <filter val="67"/>
        <filter val="70"/>
        <filter val="71"/>
      </filters>
    </filterColumn>
  </autoFilter>
  <tableColumns count="15">
    <tableColumn id="1" name="PersonID"/>
    <tableColumn id="15" name="Title" dataDxfId="9">
      <calculatedColumnFormula>IF(tblPersons[[#This Row],[Sex]]="Male","Mr.","Ms.")</calculatedColumnFormula>
    </tableColumn>
    <tableColumn id="2" name="LastName"/>
    <tableColumn id="3" name="FirstName"/>
    <tableColumn id="4" name="MiddleName"/>
    <tableColumn id="5" name="Sex"/>
    <tableColumn id="6" name="Birthday"/>
    <tableColumn id="7" name="BirthPlace"/>
    <tableColumn id="8" name="AddLine1"/>
    <tableColumn id="9" name="AddLine2"/>
    <tableColumn id="12" name="MuniCity"/>
    <tableColumn id="10" name="Province"/>
    <tableColumn id="11" name="PostalCode"/>
    <tableColumn id="13" name="Email"/>
    <tableColumn id="14" name="ContactN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6" name="tblUsers" displayName="tblUsers" ref="B2:G93" totalsRowShown="0">
  <autoFilter ref="B2:G93"/>
  <tableColumns count="6">
    <tableColumn id="1" name="UserID"/>
    <tableColumn id="2" name="RoleID"/>
    <tableColumn id="6" name="StatusID"/>
    <tableColumn id="3" name="Username"/>
    <tableColumn id="5" name="Password" dataDxfId="8">
      <calculatedColumnFormula>LOWER(MD5_string(tblUsers[[#This Row],[Username]]))</calculatedColumnFormula>
    </tableColumn>
    <tableColumn id="4" name="ProfilePic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7" name="tblCourses" displayName="tblCourses" ref="B2:F6" totalsRowShown="0">
  <autoFilter ref="B2:F6"/>
  <tableColumns count="5">
    <tableColumn id="1" name="CourseID"/>
    <tableColumn id="2" name="Description"/>
    <tableColumn id="3" name="Acronym"/>
    <tableColumn id="4" name="TotalYrs"/>
    <tableColumn id="5" name="CurriculumYear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8" name="tblCourseSubjs" displayName="tblCourseSubjs" ref="B2:J268" totalsRowShown="0">
  <autoFilter ref="B2:J268"/>
  <tableColumns count="9">
    <tableColumn id="1" name="SubjectID"/>
    <tableColumn id="2" name="CourseID"/>
    <tableColumn id="4" name="SemesterID"/>
    <tableColumn id="3" name="YearLevelID"/>
    <tableColumn id="5" name="SubjectCode"/>
    <tableColumn id="6" name="Description"/>
    <tableColumn id="7" name="Units"/>
    <tableColumn id="8" name="LecHrs"/>
    <tableColumn id="9" name="LabHrs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9" name="tblSubjPrerequisites" displayName="tblSubjPrerequisites" ref="B2:F164" totalsRowShown="0">
  <autoFilter ref="B2:F164"/>
  <sortState ref="B27:F141">
    <sortCondition ref="F2:F164"/>
  </sortState>
  <tableColumns count="5">
    <tableColumn id="1" name="PrerequisiteID"/>
    <tableColumn id="2" name="SubjectID"/>
    <tableColumn id="3" name="TypeID" dataDxfId="7"/>
    <tableColumn id="4" name="PSubjectID"/>
    <tableColumn id="5" name="YearLevelID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17" name="tblSchoolTerms" displayName="tblSchoolTerms" ref="B2:F12" totalsRowShown="0">
  <autoFilter ref="B2:F12"/>
  <tableColumns count="5">
    <tableColumn id="1" name="STermID"/>
    <tableColumn id="7" name="SemesterID"/>
    <tableColumn id="2" name="SchoolYear"/>
    <tableColumn id="3" name="DateOfStart" dataDxfId="6"/>
    <tableColumn id="5" name="DateOfEnd" dataDxfId="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2" name="tblStudents" displayName="tblStudents" ref="B2:F73" totalsRowShown="0">
  <autoFilter ref="B2:F73"/>
  <tableColumns count="5">
    <tableColumn id="1" name="StudID"/>
    <tableColumn id="5" name="SchoolIDNo"/>
    <tableColumn id="4" name="UserID"/>
    <tableColumn id="2" name="PersonID"/>
    <tableColumn id="3" name="CourseID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5" name="tblFaculty" displayName="tblFaculty" ref="B2:E21" totalsRowShown="0">
  <autoFilter ref="B2:E21"/>
  <tableColumns count="4">
    <tableColumn id="1" name="FacultyID"/>
    <tableColumn id="4" name="SchoolIDNo"/>
    <tableColumn id="3" name="UserID"/>
    <tableColumn id="2" name="PersonID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18" name="tblEnrolledStuds" displayName="tblEnrolledStuds" ref="B2:H204" totalsRowShown="0">
  <autoFilter ref="B2:H204">
    <filterColumn colId="2">
      <filters>
        <filter val="1"/>
      </filters>
    </filterColumn>
    <filterColumn colId="4">
      <filters>
        <filter val="5"/>
      </filters>
    </filterColumn>
  </autoFilter>
  <tableColumns count="7">
    <tableColumn id="1" name="EStudID"/>
    <tableColumn id="4" name="DateEnrolled" dataDxfId="4"/>
    <tableColumn id="5" name="STermID" dataDxfId="3"/>
    <tableColumn id="8" name="StudID"/>
    <tableColumn id="3" name="YearLevelID"/>
    <tableColumn id="2" name="AdmissionStatusID"/>
    <tableColumn id="9" name="ScholasticStatusID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4" name="tblHiredFaculty5" displayName="tblHiredFaculty5" ref="B2:D30" totalsRowShown="0">
  <autoFilter ref="B2:D30"/>
  <tableColumns count="3">
    <tableColumn id="1" name="HFacultyID"/>
    <tableColumn id="2" name="STermID"/>
    <tableColumn id="3" name="FacultyID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16" name="tblClasses" displayName="tblClasses" ref="B2:F614" totalsRowShown="0" headerRowDxfId="2" tableBorderDxfId="1">
  <autoFilter ref="B2:F614"/>
  <tableColumns count="5">
    <tableColumn id="1" name="ClassID"/>
    <tableColumn id="2" name="STermID"/>
    <tableColumn id="3" name="HFacultyID"/>
    <tableColumn id="5" name="TypeID"/>
    <tableColumn id="4" name="Description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20" name="tblClassSubjs" displayName="tblClassSubjs" ref="B2:D632" totalsRowShown="0">
  <autoFilter ref="B2:D632"/>
  <tableColumns count="3">
    <tableColumn id="1" name="CSubjID"/>
    <tableColumn id="2" name="ClassID"/>
    <tableColumn id="3" name="SubjectID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12" name="tblClassSchedules" displayName="tblClassSchedules" ref="B2:G40" totalsRowShown="0">
  <autoFilter ref="B2:G40"/>
  <sortState ref="C3:H29">
    <sortCondition ref="D2:D29"/>
  </sortState>
  <tableColumns count="6">
    <tableColumn id="3" name="TextDay"/>
    <tableColumn id="1" name="CSchedID"/>
    <tableColumn id="2" name="ClassID"/>
    <tableColumn id="6" name="Day" dataDxfId="0">
      <calculatedColumnFormula>LOOKUP(tblClassSchedules[[#This Row],[TextDay]],$M$3:$M$9,$L$3:$L$9)</calculatedColumnFormula>
    </tableColumn>
    <tableColumn id="4" name="TimeStart"/>
    <tableColumn id="5" name="TimeEnd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3" name="tblEnrolledSubjs" displayName="tblEnrolledSubjs" ref="B2:D1484" totalsRowShown="0">
  <autoFilter ref="B2:D1484"/>
  <sortState ref="B12:D111">
    <sortCondition ref="C2:C102"/>
  </sortState>
  <tableColumns count="3">
    <tableColumn id="1" name="ESubjID"/>
    <tableColumn id="2" name="CSubjID"/>
    <tableColumn id="3" name="EStudI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W92"/>
  <sheetViews>
    <sheetView workbookViewId="0">
      <selection activeCell="G73" sqref="G73"/>
    </sheetView>
  </sheetViews>
  <sheetFormatPr defaultRowHeight="15" x14ac:dyDescent="0.25"/>
  <cols>
    <col min="1" max="1" width="0.85546875" customWidth="1"/>
    <col min="2" max="3" width="11.140625" customWidth="1"/>
    <col min="4" max="6" width="25.7109375" customWidth="1"/>
    <col min="7" max="7" width="10.7109375" customWidth="1"/>
    <col min="8" max="8" width="11.85546875" customWidth="1"/>
    <col min="9" max="9" width="17.28515625" bestFit="1" customWidth="1"/>
    <col min="10" max="14" width="15.7109375" customWidth="1"/>
    <col min="15" max="15" width="10" customWidth="1"/>
    <col min="16" max="16" width="12.42578125" customWidth="1"/>
    <col min="17" max="17" width="0.85546875" customWidth="1"/>
    <col min="18" max="18" width="167.5703125" hidden="1" customWidth="1"/>
    <col min="19" max="19" width="0" hidden="1" customWidth="1"/>
    <col min="20" max="20" width="10.42578125" bestFit="1" customWidth="1"/>
    <col min="21" max="21" width="0.85546875" customWidth="1"/>
    <col min="22" max="22" width="27.5703125" bestFit="1" customWidth="1"/>
  </cols>
  <sheetData>
    <row r="1" spans="2:23" ht="5.0999999999999996" customHeight="1" x14ac:dyDescent="0.25"/>
    <row r="2" spans="2:23" x14ac:dyDescent="0.25">
      <c r="B2" t="s">
        <v>5</v>
      </c>
      <c r="C2" t="s">
        <v>741</v>
      </c>
      <c r="D2" t="s">
        <v>0</v>
      </c>
      <c r="E2" t="s">
        <v>1</v>
      </c>
      <c r="F2" t="s">
        <v>3</v>
      </c>
      <c r="G2" t="s">
        <v>2</v>
      </c>
      <c r="H2" t="s">
        <v>4</v>
      </c>
      <c r="I2" t="s">
        <v>6</v>
      </c>
      <c r="J2" t="s">
        <v>809</v>
      </c>
      <c r="K2" t="s">
        <v>810</v>
      </c>
      <c r="L2" t="s">
        <v>811</v>
      </c>
      <c r="M2" t="s">
        <v>812</v>
      </c>
      <c r="N2" t="s">
        <v>813</v>
      </c>
      <c r="O2" t="s">
        <v>8</v>
      </c>
      <c r="P2" t="s">
        <v>7</v>
      </c>
      <c r="R2" t="e">
        <f>"INSERT INTO tblPersons("&amp;S2&amp;") VALUES"</f>
        <v>#REF!</v>
      </c>
      <c r="S2" t="e">
        <f>B2&amp;","&amp;D2&amp;","&amp;E2&amp;","&amp;F2&amp;","&amp;G2&amp;","&amp;H2&amp;","&amp;I2&amp;","&amp;J2&amp;","&amp;K2&amp;","&amp;#REF!&amp;","&amp;#REF!&amp;","&amp;L2&amp;","&amp;O2&amp;","&amp;P2</f>
        <v>#REF!</v>
      </c>
    </row>
    <row r="3" spans="2:23" hidden="1" x14ac:dyDescent="0.25">
      <c r="B3">
        <v>1</v>
      </c>
      <c r="C3" t="str">
        <f>IF(tblPersons[[#This Row],[Sex]]="Male","Mr.","Ms.")</f>
        <v>Mr.</v>
      </c>
      <c r="D3" t="s">
        <v>36</v>
      </c>
      <c r="E3" t="s">
        <v>37</v>
      </c>
      <c r="F3" t="s">
        <v>38</v>
      </c>
      <c r="G3" t="s">
        <v>263</v>
      </c>
      <c r="H3" s="32">
        <v>35521</v>
      </c>
      <c r="I3" t="s">
        <v>818</v>
      </c>
      <c r="J3" t="s">
        <v>819</v>
      </c>
      <c r="K3" t="s">
        <v>820</v>
      </c>
      <c r="L3" t="s">
        <v>821</v>
      </c>
      <c r="M3" t="s">
        <v>822</v>
      </c>
      <c r="N3">
        <v>4023</v>
      </c>
      <c r="O3" t="s">
        <v>823</v>
      </c>
      <c r="P3" s="33" t="s">
        <v>824</v>
      </c>
      <c r="R3" t="e">
        <f t="shared" ref="R3:R34" si="0">"("&amp;S3&amp;")"&amp;IF(B4&lt;&gt;"",",",";")</f>
        <v>#REF!</v>
      </c>
      <c r="S3" t="e">
        <f>"'"&amp;B3&amp;"','"&amp;D3&amp;"','"&amp;E3&amp;"','"&amp;F3&amp;"','"&amp;G3&amp;"','"&amp;H3&amp;"','"&amp;I3&amp;"','"&amp;J3&amp;"','"&amp;K3&amp;"','"&amp;#REF!&amp;"','"&amp;#REF!&amp;"','"&amp;L3&amp;"','"&amp;O3&amp;"','"&amp;P3&amp;"'"</f>
        <v>#REF!</v>
      </c>
      <c r="T3" t="s">
        <v>193</v>
      </c>
      <c r="V3" t="str">
        <f>"(NULL,"&amp;W3&amp;")" &amp; IF(V4&lt;&gt;"",",",";")</f>
        <v>(NULL,"Mr.","Abejo","Jay-R","R.","Male","1997-04-01","San Pedro, Laguna","#23 Maharlika St.","Brgy. Magsaysay","City of San Pedro","Laguna","4023","sad@gmail.com","09123123321"),</v>
      </c>
      <c r="W3" t="str">
        <f>TextJoin(tblPersons[[#This Row],[Title]:[ContactNo]],"Value")</f>
        <v>"Mr.","Abejo","Jay-R","R.","Male","1997-04-01","San Pedro, Laguna","#23 Maharlika St.","Brgy. Magsaysay","City of San Pedro","Laguna","4023","sad@gmail.com","09123123321"</v>
      </c>
    </row>
    <row r="4" spans="2:23" hidden="1" x14ac:dyDescent="0.25">
      <c r="B4">
        <v>2</v>
      </c>
      <c r="C4" t="str">
        <f>IF(tblPersons[[#This Row],[Sex]]="Male","Mr.","Ms.")</f>
        <v>Ms.</v>
      </c>
      <c r="D4" t="s">
        <v>39</v>
      </c>
      <c r="E4" t="s">
        <v>40</v>
      </c>
      <c r="G4" t="s">
        <v>264</v>
      </c>
      <c r="H4" s="32">
        <v>35522</v>
      </c>
      <c r="I4" t="s">
        <v>818</v>
      </c>
      <c r="J4" t="s">
        <v>819</v>
      </c>
      <c r="K4" t="s">
        <v>820</v>
      </c>
      <c r="L4" t="s">
        <v>821</v>
      </c>
      <c r="M4" t="s">
        <v>822</v>
      </c>
      <c r="N4">
        <v>4024</v>
      </c>
      <c r="O4" t="s">
        <v>823</v>
      </c>
      <c r="P4" s="33" t="s">
        <v>824</v>
      </c>
      <c r="R4" t="e">
        <f t="shared" si="0"/>
        <v>#REF!</v>
      </c>
      <c r="S4" t="e">
        <f>"'"&amp;B4&amp;"','"&amp;D4&amp;"','"&amp;E4&amp;"','"&amp;F4&amp;"','"&amp;G4&amp;"','"&amp;H4&amp;"','"&amp;I4&amp;"','"&amp;J4&amp;"','"&amp;K4&amp;"','"&amp;#REF!&amp;"','"&amp;#REF!&amp;"','"&amp;L4&amp;"','"&amp;O4&amp;"','"&amp;P4&amp;"'"</f>
        <v>#REF!</v>
      </c>
      <c r="T4" t="s">
        <v>194</v>
      </c>
      <c r="V4" t="str">
        <f t="shared" ref="V4:V67" si="1">"(NULL,"&amp;W4&amp;")" &amp; IF(V5&lt;&gt;"",",",";")</f>
        <v>(NULL,"Ms.","Advincula","Alice Jean Rin","","Female","1997-04-02","San Pedro, Laguna","#23 Maharlika St.","Brgy. Magsaysay","City of San Pedro","Laguna","4024","sad@gmail.com","09123123321"),</v>
      </c>
      <c r="W4" t="str">
        <f>TextJoin(tblPersons[[#This Row],[Title]:[ContactNo]],"Value")</f>
        <v>"Ms.","Advincula","Alice Jean Rin","","Female","1997-04-02","San Pedro, Laguna","#23 Maharlika St.","Brgy. Magsaysay","City of San Pedro","Laguna","4024","sad@gmail.com","09123123321"</v>
      </c>
    </row>
    <row r="5" spans="2:23" hidden="1" x14ac:dyDescent="0.25">
      <c r="B5">
        <v>3</v>
      </c>
      <c r="C5" t="str">
        <f>IF(tblPersons[[#This Row],[Sex]]="Male","Mr.","Ms.")</f>
        <v>Ms.</v>
      </c>
      <c r="D5" t="s">
        <v>41</v>
      </c>
      <c r="E5" t="s">
        <v>42</v>
      </c>
      <c r="F5" t="s">
        <v>43</v>
      </c>
      <c r="G5" t="s">
        <v>264</v>
      </c>
      <c r="H5" s="32">
        <v>35523</v>
      </c>
      <c r="I5" t="s">
        <v>818</v>
      </c>
      <c r="J5" t="s">
        <v>819</v>
      </c>
      <c r="K5" t="s">
        <v>820</v>
      </c>
      <c r="L5" t="s">
        <v>821</v>
      </c>
      <c r="M5" t="s">
        <v>822</v>
      </c>
      <c r="N5">
        <v>4025</v>
      </c>
      <c r="O5" t="s">
        <v>823</v>
      </c>
      <c r="P5" s="33" t="s">
        <v>824</v>
      </c>
      <c r="R5" t="e">
        <f t="shared" si="0"/>
        <v>#REF!</v>
      </c>
      <c r="S5" t="e">
        <f>"'"&amp;B5&amp;"','"&amp;D5&amp;"','"&amp;E5&amp;"','"&amp;F5&amp;"','"&amp;G5&amp;"','"&amp;H5&amp;"','"&amp;I5&amp;"','"&amp;J5&amp;"','"&amp;K5&amp;"','"&amp;#REF!&amp;"','"&amp;#REF!&amp;"','"&amp;L5&amp;"','"&amp;O5&amp;"','"&amp;P5&amp;"'"</f>
        <v>#REF!</v>
      </c>
      <c r="T5" t="s">
        <v>195</v>
      </c>
      <c r="V5" t="str">
        <f t="shared" si="1"/>
        <v>(NULL,"Ms.","Aguilo","Christian Joy","M.","Female","1997-04-03","San Pedro, Laguna","#23 Maharlika St.","Brgy. Magsaysay","City of San Pedro","Laguna","4025","sad@gmail.com","09123123321"),</v>
      </c>
      <c r="W5" t="str">
        <f>TextJoin(tblPersons[[#This Row],[Title]:[ContactNo]],"Value")</f>
        <v>"Ms.","Aguilo","Christian Joy","M.","Female","1997-04-03","San Pedro, Laguna","#23 Maharlika St.","Brgy. Magsaysay","City of San Pedro","Laguna","4025","sad@gmail.com","09123123321"</v>
      </c>
    </row>
    <row r="6" spans="2:23" hidden="1" x14ac:dyDescent="0.25">
      <c r="B6">
        <v>4</v>
      </c>
      <c r="C6" t="str">
        <f>IF(tblPersons[[#This Row],[Sex]]="Male","Mr.","Ms.")</f>
        <v>Ms.</v>
      </c>
      <c r="D6" t="s">
        <v>41</v>
      </c>
      <c r="E6" t="s">
        <v>44</v>
      </c>
      <c r="G6" t="s">
        <v>264</v>
      </c>
      <c r="H6" s="32">
        <v>35524</v>
      </c>
      <c r="I6" t="s">
        <v>818</v>
      </c>
      <c r="J6" t="s">
        <v>819</v>
      </c>
      <c r="K6" t="s">
        <v>820</v>
      </c>
      <c r="L6" t="s">
        <v>821</v>
      </c>
      <c r="M6" t="s">
        <v>822</v>
      </c>
      <c r="N6">
        <v>4026</v>
      </c>
      <c r="O6" t="s">
        <v>823</v>
      </c>
      <c r="P6" s="33" t="s">
        <v>824</v>
      </c>
      <c r="R6" t="e">
        <f t="shared" si="0"/>
        <v>#REF!</v>
      </c>
      <c r="S6" t="e">
        <f>"'"&amp;B6&amp;"','"&amp;D6&amp;"','"&amp;E6&amp;"','"&amp;F6&amp;"','"&amp;G6&amp;"','"&amp;H6&amp;"','"&amp;I6&amp;"','"&amp;J6&amp;"','"&amp;K6&amp;"','"&amp;#REF!&amp;"','"&amp;#REF!&amp;"','"&amp;L6&amp;"','"&amp;O6&amp;"','"&amp;P6&amp;"'"</f>
        <v>#REF!</v>
      </c>
      <c r="T6" t="s">
        <v>196</v>
      </c>
      <c r="V6" t="str">
        <f t="shared" si="1"/>
        <v>(NULL,"Ms.","Aguilo","Maria Cloe Mojedo","","Female","1997-04-04","San Pedro, Laguna","#23 Maharlika St.","Brgy. Magsaysay","City of San Pedro","Laguna","4026","sad@gmail.com","09123123321"),</v>
      </c>
      <c r="W6" t="str">
        <f>TextJoin(tblPersons[[#This Row],[Title]:[ContactNo]],"Value")</f>
        <v>"Ms.","Aguilo","Maria Cloe Mojedo","","Female","1997-04-04","San Pedro, Laguna","#23 Maharlika St.","Brgy. Magsaysay","City of San Pedro","Laguna","4026","sad@gmail.com","09123123321"</v>
      </c>
    </row>
    <row r="7" spans="2:23" hidden="1" x14ac:dyDescent="0.25">
      <c r="B7">
        <v>5</v>
      </c>
      <c r="C7" t="str">
        <f>IF(tblPersons[[#This Row],[Sex]]="Male","Mr.","Ms.")</f>
        <v>Ms.</v>
      </c>
      <c r="D7" t="s">
        <v>45</v>
      </c>
      <c r="E7" t="s">
        <v>46</v>
      </c>
      <c r="F7" t="s">
        <v>47</v>
      </c>
      <c r="G7" t="s">
        <v>264</v>
      </c>
      <c r="H7" s="32">
        <v>35525</v>
      </c>
      <c r="I7" t="s">
        <v>818</v>
      </c>
      <c r="J7" t="s">
        <v>819</v>
      </c>
      <c r="K7" t="s">
        <v>820</v>
      </c>
      <c r="L7" t="s">
        <v>821</v>
      </c>
      <c r="M7" t="s">
        <v>822</v>
      </c>
      <c r="N7">
        <v>4027</v>
      </c>
      <c r="O7" t="s">
        <v>823</v>
      </c>
      <c r="P7" s="33" t="s">
        <v>824</v>
      </c>
      <c r="R7" t="e">
        <f t="shared" si="0"/>
        <v>#REF!</v>
      </c>
      <c r="S7" t="e">
        <f>"'"&amp;B7&amp;"','"&amp;D7&amp;"','"&amp;E7&amp;"','"&amp;F7&amp;"','"&amp;G7&amp;"','"&amp;H7&amp;"','"&amp;I7&amp;"','"&amp;J7&amp;"','"&amp;K7&amp;"','"&amp;#REF!&amp;"','"&amp;#REF!&amp;"','"&amp;L7&amp;"','"&amp;O7&amp;"','"&amp;P7&amp;"'"</f>
        <v>#REF!</v>
      </c>
      <c r="T7" t="s">
        <v>197</v>
      </c>
      <c r="V7" t="str">
        <f t="shared" si="1"/>
        <v>(NULL,"Ms.","Alfonso","Raida Dee","J.","Female","1997-04-05","San Pedro, Laguna","#23 Maharlika St.","Brgy. Magsaysay","City of San Pedro","Laguna","4027","sad@gmail.com","09123123321"),</v>
      </c>
      <c r="W7" t="str">
        <f>TextJoin(tblPersons[[#This Row],[Title]:[ContactNo]],"Value")</f>
        <v>"Ms.","Alfonso","Raida Dee","J.","Female","1997-04-05","San Pedro, Laguna","#23 Maharlika St.","Brgy. Magsaysay","City of San Pedro","Laguna","4027","sad@gmail.com","09123123321"</v>
      </c>
    </row>
    <row r="8" spans="2:23" hidden="1" x14ac:dyDescent="0.25">
      <c r="B8">
        <v>6</v>
      </c>
      <c r="C8" t="str">
        <f>IF(tblPersons[[#This Row],[Sex]]="Male","Mr.","Ms.")</f>
        <v>Mr.</v>
      </c>
      <c r="D8" t="s">
        <v>48</v>
      </c>
      <c r="E8" t="s">
        <v>49</v>
      </c>
      <c r="G8" t="s">
        <v>263</v>
      </c>
      <c r="H8" s="32">
        <v>35526</v>
      </c>
      <c r="I8" t="s">
        <v>818</v>
      </c>
      <c r="J8" t="s">
        <v>819</v>
      </c>
      <c r="K8" t="s">
        <v>820</v>
      </c>
      <c r="L8" t="s">
        <v>821</v>
      </c>
      <c r="M8" t="s">
        <v>822</v>
      </c>
      <c r="N8">
        <v>4028</v>
      </c>
      <c r="O8" t="s">
        <v>823</v>
      </c>
      <c r="P8" s="33" t="s">
        <v>824</v>
      </c>
      <c r="R8" t="e">
        <f t="shared" si="0"/>
        <v>#REF!</v>
      </c>
      <c r="S8" t="e">
        <f>"'"&amp;B8&amp;"','"&amp;D8&amp;"','"&amp;E8&amp;"','"&amp;F8&amp;"','"&amp;G8&amp;"','"&amp;H8&amp;"','"&amp;I8&amp;"','"&amp;J8&amp;"','"&amp;K8&amp;"','"&amp;#REF!&amp;"','"&amp;#REF!&amp;"','"&amp;L8&amp;"','"&amp;O8&amp;"','"&amp;P8&amp;"'"</f>
        <v>#REF!</v>
      </c>
      <c r="T8" t="s">
        <v>198</v>
      </c>
      <c r="V8" t="str">
        <f t="shared" si="1"/>
        <v>(NULL,"Mr.","Alonzo","Mark Vincent Nalitan","","Male","1997-04-06","San Pedro, Laguna","#23 Maharlika St.","Brgy. Magsaysay","City of San Pedro","Laguna","4028","sad@gmail.com","09123123321"),</v>
      </c>
      <c r="W8" t="str">
        <f>TextJoin(tblPersons[[#This Row],[Title]:[ContactNo]],"Value")</f>
        <v>"Mr.","Alonzo","Mark Vincent Nalitan","","Male","1997-04-06","San Pedro, Laguna","#23 Maharlika St.","Brgy. Magsaysay","City of San Pedro","Laguna","4028","sad@gmail.com","09123123321"</v>
      </c>
    </row>
    <row r="9" spans="2:23" hidden="1" x14ac:dyDescent="0.25">
      <c r="B9">
        <v>7</v>
      </c>
      <c r="C9" t="str">
        <f>IF(tblPersons[[#This Row],[Sex]]="Male","Mr.","Ms.")</f>
        <v>Mr.</v>
      </c>
      <c r="D9" t="s">
        <v>50</v>
      </c>
      <c r="E9" t="s">
        <v>51</v>
      </c>
      <c r="F9" t="s">
        <v>52</v>
      </c>
      <c r="G9" t="s">
        <v>263</v>
      </c>
      <c r="H9" s="32">
        <v>35527</v>
      </c>
      <c r="I9" t="s">
        <v>818</v>
      </c>
      <c r="J9" t="s">
        <v>819</v>
      </c>
      <c r="K9" t="s">
        <v>820</v>
      </c>
      <c r="L9" t="s">
        <v>821</v>
      </c>
      <c r="M9" t="s">
        <v>822</v>
      </c>
      <c r="N9">
        <v>4029</v>
      </c>
      <c r="O9" t="s">
        <v>823</v>
      </c>
      <c r="P9" s="33" t="s">
        <v>824</v>
      </c>
      <c r="R9" t="e">
        <f t="shared" si="0"/>
        <v>#REF!</v>
      </c>
      <c r="S9" t="e">
        <f>"'"&amp;B9&amp;"','"&amp;D9&amp;"','"&amp;E9&amp;"','"&amp;F9&amp;"','"&amp;G9&amp;"','"&amp;H9&amp;"','"&amp;I9&amp;"','"&amp;J9&amp;"','"&amp;K9&amp;"','"&amp;#REF!&amp;"','"&amp;#REF!&amp;"','"&amp;L9&amp;"','"&amp;O9&amp;"','"&amp;P9&amp;"'"</f>
        <v>#REF!</v>
      </c>
      <c r="T9" t="s">
        <v>199</v>
      </c>
      <c r="V9" t="str">
        <f t="shared" si="1"/>
        <v>(NULL,"Mr.","Apanay","Abraham","D.","Male","1997-04-07","San Pedro, Laguna","#23 Maharlika St.","Brgy. Magsaysay","City of San Pedro","Laguna","4029","sad@gmail.com","09123123321"),</v>
      </c>
      <c r="W9" t="str">
        <f>TextJoin(tblPersons[[#This Row],[Title]:[ContactNo]],"Value")</f>
        <v>"Mr.","Apanay","Abraham","D.","Male","1997-04-07","San Pedro, Laguna","#23 Maharlika St.","Brgy. Magsaysay","City of San Pedro","Laguna","4029","sad@gmail.com","09123123321"</v>
      </c>
    </row>
    <row r="10" spans="2:23" hidden="1" x14ac:dyDescent="0.25">
      <c r="B10">
        <v>8</v>
      </c>
      <c r="C10" t="str">
        <f>IF(tblPersons[[#This Row],[Sex]]="Male","Mr.","Ms.")</f>
        <v>Mr.</v>
      </c>
      <c r="D10" t="s">
        <v>53</v>
      </c>
      <c r="E10" t="s">
        <v>54</v>
      </c>
      <c r="G10" t="s">
        <v>263</v>
      </c>
      <c r="H10" s="32">
        <v>35528</v>
      </c>
      <c r="I10" t="s">
        <v>818</v>
      </c>
      <c r="J10" t="s">
        <v>819</v>
      </c>
      <c r="K10" t="s">
        <v>820</v>
      </c>
      <c r="L10" t="s">
        <v>821</v>
      </c>
      <c r="M10" t="s">
        <v>822</v>
      </c>
      <c r="N10">
        <v>4030</v>
      </c>
      <c r="O10" t="s">
        <v>823</v>
      </c>
      <c r="P10" s="33" t="s">
        <v>824</v>
      </c>
      <c r="R10" t="e">
        <f t="shared" si="0"/>
        <v>#REF!</v>
      </c>
      <c r="S10" t="e">
        <f>"'"&amp;B10&amp;"','"&amp;D10&amp;"','"&amp;E10&amp;"','"&amp;F10&amp;"','"&amp;G10&amp;"','"&amp;H10&amp;"','"&amp;I10&amp;"','"&amp;J10&amp;"','"&amp;K10&amp;"','"&amp;#REF!&amp;"','"&amp;#REF!&amp;"','"&amp;L10&amp;"','"&amp;O10&amp;"','"&amp;P10&amp;"'"</f>
        <v>#REF!</v>
      </c>
      <c r="T10" t="s">
        <v>200</v>
      </c>
      <c r="V10" t="str">
        <f t="shared" si="1"/>
        <v>(NULL,"Mr.","Avecilla","Rannie Bergado","","Male","1997-04-08","San Pedro, Laguna","#23 Maharlika St.","Brgy. Magsaysay","City of San Pedro","Laguna","4030","sad@gmail.com","09123123321"),</v>
      </c>
      <c r="W10" t="str">
        <f>TextJoin(tblPersons[[#This Row],[Title]:[ContactNo]],"Value")</f>
        <v>"Mr.","Avecilla","Rannie Bergado","","Male","1997-04-08","San Pedro, Laguna","#23 Maharlika St.","Brgy. Magsaysay","City of San Pedro","Laguna","4030","sad@gmail.com","09123123321"</v>
      </c>
    </row>
    <row r="11" spans="2:23" hidden="1" x14ac:dyDescent="0.25">
      <c r="B11">
        <v>9</v>
      </c>
      <c r="C11" t="str">
        <f>IF(tblPersons[[#This Row],[Sex]]="Male","Mr.","Ms.")</f>
        <v>Mr.</v>
      </c>
      <c r="D11" t="s">
        <v>55</v>
      </c>
      <c r="E11" t="s">
        <v>56</v>
      </c>
      <c r="G11" t="s">
        <v>263</v>
      </c>
      <c r="H11" s="32">
        <v>35529</v>
      </c>
      <c r="I11" t="s">
        <v>818</v>
      </c>
      <c r="J11" t="s">
        <v>819</v>
      </c>
      <c r="K11" t="s">
        <v>820</v>
      </c>
      <c r="L11" t="s">
        <v>821</v>
      </c>
      <c r="M11" t="s">
        <v>822</v>
      </c>
      <c r="N11">
        <v>4031</v>
      </c>
      <c r="O11" t="s">
        <v>823</v>
      </c>
      <c r="P11" s="33" t="s">
        <v>824</v>
      </c>
      <c r="R11" t="e">
        <f t="shared" si="0"/>
        <v>#REF!</v>
      </c>
      <c r="S11" t="e">
        <f>"'"&amp;B11&amp;"','"&amp;D11&amp;"','"&amp;E11&amp;"','"&amp;F11&amp;"','"&amp;G11&amp;"','"&amp;H11&amp;"','"&amp;I11&amp;"','"&amp;J11&amp;"','"&amp;K11&amp;"','"&amp;#REF!&amp;"','"&amp;#REF!&amp;"','"&amp;L11&amp;"','"&amp;O11&amp;"','"&amp;P11&amp;"'"</f>
        <v>#REF!</v>
      </c>
      <c r="T11" t="s">
        <v>201</v>
      </c>
      <c r="V11" t="str">
        <f t="shared" si="1"/>
        <v>(NULL,"Mr.","Ayuban","John Britz","","Male","1997-04-09","San Pedro, Laguna","#23 Maharlika St.","Brgy. Magsaysay","City of San Pedro","Laguna","4031","sad@gmail.com","09123123321"),</v>
      </c>
      <c r="W11" t="str">
        <f>TextJoin(tblPersons[[#This Row],[Title]:[ContactNo]],"Value")</f>
        <v>"Mr.","Ayuban","John Britz","","Male","1997-04-09","San Pedro, Laguna","#23 Maharlika St.","Brgy. Magsaysay","City of San Pedro","Laguna","4031","sad@gmail.com","09123123321"</v>
      </c>
    </row>
    <row r="12" spans="2:23" hidden="1" x14ac:dyDescent="0.25">
      <c r="B12">
        <v>10</v>
      </c>
      <c r="C12" t="str">
        <f>IF(tblPersons[[#This Row],[Sex]]="Male","Mr.","Ms.")</f>
        <v>Ms.</v>
      </c>
      <c r="D12" t="s">
        <v>57</v>
      </c>
      <c r="E12" t="s">
        <v>58</v>
      </c>
      <c r="G12" t="s">
        <v>264</v>
      </c>
      <c r="H12" s="32">
        <v>35530</v>
      </c>
      <c r="I12" t="s">
        <v>818</v>
      </c>
      <c r="J12" t="s">
        <v>819</v>
      </c>
      <c r="K12" t="s">
        <v>820</v>
      </c>
      <c r="L12" t="s">
        <v>821</v>
      </c>
      <c r="M12" t="s">
        <v>822</v>
      </c>
      <c r="N12">
        <v>4032</v>
      </c>
      <c r="O12" t="s">
        <v>823</v>
      </c>
      <c r="P12" s="33" t="s">
        <v>824</v>
      </c>
      <c r="R12" t="e">
        <f t="shared" si="0"/>
        <v>#REF!</v>
      </c>
      <c r="S12" t="e">
        <f>"'"&amp;B12&amp;"','"&amp;D12&amp;"','"&amp;E12&amp;"','"&amp;F12&amp;"','"&amp;G12&amp;"','"&amp;H12&amp;"','"&amp;I12&amp;"','"&amp;J12&amp;"','"&amp;K12&amp;"','"&amp;#REF!&amp;"','"&amp;#REF!&amp;"','"&amp;L12&amp;"','"&amp;O12&amp;"','"&amp;P12&amp;"'"</f>
        <v>#REF!</v>
      </c>
      <c r="T12" t="s">
        <v>202</v>
      </c>
      <c r="V12" t="str">
        <f t="shared" si="1"/>
        <v>(NULL,"Ms.","Bandola","Merry Jane Abelinde","","Female","1997-04-10","San Pedro, Laguna","#23 Maharlika St.","Brgy. Magsaysay","City of San Pedro","Laguna","4032","sad@gmail.com","09123123321"),</v>
      </c>
      <c r="W12" t="str">
        <f>TextJoin(tblPersons[[#This Row],[Title]:[ContactNo]],"Value")</f>
        <v>"Ms.","Bandola","Merry Jane Abelinde","","Female","1997-04-10","San Pedro, Laguna","#23 Maharlika St.","Brgy. Magsaysay","City of San Pedro","Laguna","4032","sad@gmail.com","09123123321"</v>
      </c>
    </row>
    <row r="13" spans="2:23" x14ac:dyDescent="0.25">
      <c r="B13">
        <v>11</v>
      </c>
      <c r="C13" t="str">
        <f>IF(tblPersons[[#This Row],[Sex]]="Male","Mr.","Ms.")</f>
        <v>Mr.</v>
      </c>
      <c r="D13" t="s">
        <v>59</v>
      </c>
      <c r="E13" t="s">
        <v>60</v>
      </c>
      <c r="G13" t="s">
        <v>263</v>
      </c>
      <c r="H13" s="32">
        <v>35531</v>
      </c>
      <c r="I13" t="s">
        <v>818</v>
      </c>
      <c r="J13" t="s">
        <v>819</v>
      </c>
      <c r="K13" t="s">
        <v>820</v>
      </c>
      <c r="L13" t="s">
        <v>821</v>
      </c>
      <c r="M13" t="s">
        <v>822</v>
      </c>
      <c r="N13">
        <v>4033</v>
      </c>
      <c r="O13" t="s">
        <v>823</v>
      </c>
      <c r="P13" s="33" t="s">
        <v>824</v>
      </c>
      <c r="R13" t="e">
        <f t="shared" si="0"/>
        <v>#REF!</v>
      </c>
      <c r="S13" t="e">
        <f>"'"&amp;B13&amp;"','"&amp;D13&amp;"','"&amp;E13&amp;"','"&amp;F13&amp;"','"&amp;G13&amp;"','"&amp;H13&amp;"','"&amp;I13&amp;"','"&amp;J13&amp;"','"&amp;K13&amp;"','"&amp;#REF!&amp;"','"&amp;#REF!&amp;"','"&amp;L13&amp;"','"&amp;O13&amp;"','"&amp;P13&amp;"'"</f>
        <v>#REF!</v>
      </c>
      <c r="T13" t="s">
        <v>203</v>
      </c>
      <c r="V13" t="str">
        <f t="shared" si="1"/>
        <v>(NULL,"Mr.","Bantiles","Mark Panelo","","Male","1997-04-11","San Pedro, Laguna","#23 Maharlika St.","Brgy. Magsaysay","City of San Pedro","Laguna","4033","sad@gmail.com","09123123321"),</v>
      </c>
      <c r="W13" t="str">
        <f>TextJoin(tblPersons[[#This Row],[Title]:[ContactNo]],"Value")</f>
        <v>"Mr.","Bantiles","Mark Panelo","","Male","1997-04-11","San Pedro, Laguna","#23 Maharlika St.","Brgy. Magsaysay","City of San Pedro","Laguna","4033","sad@gmail.com","09123123321"</v>
      </c>
    </row>
    <row r="14" spans="2:23" x14ac:dyDescent="0.25">
      <c r="B14">
        <v>12</v>
      </c>
      <c r="C14" t="str">
        <f>IF(tblPersons[[#This Row],[Sex]]="Male","Mr.","Ms.")</f>
        <v>Mr.</v>
      </c>
      <c r="D14" t="s">
        <v>61</v>
      </c>
      <c r="E14" t="s">
        <v>62</v>
      </c>
      <c r="F14" t="s">
        <v>63</v>
      </c>
      <c r="G14" t="s">
        <v>263</v>
      </c>
      <c r="H14" s="32">
        <v>35532</v>
      </c>
      <c r="I14" t="s">
        <v>818</v>
      </c>
      <c r="J14" t="s">
        <v>819</v>
      </c>
      <c r="K14" t="s">
        <v>820</v>
      </c>
      <c r="L14" t="s">
        <v>821</v>
      </c>
      <c r="M14" t="s">
        <v>822</v>
      </c>
      <c r="N14">
        <v>4034</v>
      </c>
      <c r="O14" t="s">
        <v>823</v>
      </c>
      <c r="P14" s="33" t="s">
        <v>824</v>
      </c>
      <c r="R14" t="e">
        <f t="shared" si="0"/>
        <v>#REF!</v>
      </c>
      <c r="S14" t="e">
        <f>"'"&amp;B14&amp;"','"&amp;D14&amp;"','"&amp;E14&amp;"','"&amp;F14&amp;"','"&amp;G14&amp;"','"&amp;H14&amp;"','"&amp;I14&amp;"','"&amp;J14&amp;"','"&amp;K14&amp;"','"&amp;#REF!&amp;"','"&amp;#REF!&amp;"','"&amp;L14&amp;"','"&amp;O14&amp;"','"&amp;P14&amp;"'"</f>
        <v>#REF!</v>
      </c>
      <c r="T14" t="s">
        <v>204</v>
      </c>
      <c r="V14" t="str">
        <f t="shared" si="1"/>
        <v>(NULL,"Mr.","Bonto","Marc Anthony","T.","Male","1997-04-12","San Pedro, Laguna","#23 Maharlika St.","Brgy. Magsaysay","City of San Pedro","Laguna","4034","sad@gmail.com","09123123321"),</v>
      </c>
      <c r="W14" t="str">
        <f>TextJoin(tblPersons[[#This Row],[Title]:[ContactNo]],"Value")</f>
        <v>"Mr.","Bonto","Marc Anthony","T.","Male","1997-04-12","San Pedro, Laguna","#23 Maharlika St.","Brgy. Magsaysay","City of San Pedro","Laguna","4034","sad@gmail.com","09123123321"</v>
      </c>
    </row>
    <row r="15" spans="2:23" hidden="1" x14ac:dyDescent="0.25">
      <c r="B15">
        <v>13</v>
      </c>
      <c r="C15" t="str">
        <f>IF(tblPersons[[#This Row],[Sex]]="Male","Mr.","Ms.")</f>
        <v>Mr.</v>
      </c>
      <c r="D15" t="s">
        <v>64</v>
      </c>
      <c r="E15" t="s">
        <v>65</v>
      </c>
      <c r="F15" t="s">
        <v>66</v>
      </c>
      <c r="G15" t="s">
        <v>263</v>
      </c>
      <c r="H15" s="32">
        <v>35533</v>
      </c>
      <c r="I15" t="s">
        <v>818</v>
      </c>
      <c r="J15" t="s">
        <v>819</v>
      </c>
      <c r="K15" t="s">
        <v>820</v>
      </c>
      <c r="L15" t="s">
        <v>821</v>
      </c>
      <c r="M15" t="s">
        <v>822</v>
      </c>
      <c r="N15">
        <v>4035</v>
      </c>
      <c r="O15" t="s">
        <v>823</v>
      </c>
      <c r="P15" s="33" t="s">
        <v>824</v>
      </c>
      <c r="R15" t="e">
        <f t="shared" si="0"/>
        <v>#REF!</v>
      </c>
      <c r="S15" t="e">
        <f>"'"&amp;B15&amp;"','"&amp;D15&amp;"','"&amp;E15&amp;"','"&amp;F15&amp;"','"&amp;G15&amp;"','"&amp;H15&amp;"','"&amp;I15&amp;"','"&amp;J15&amp;"','"&amp;K15&amp;"','"&amp;#REF!&amp;"','"&amp;#REF!&amp;"','"&amp;L15&amp;"','"&amp;O15&amp;"','"&amp;P15&amp;"'"</f>
        <v>#REF!</v>
      </c>
      <c r="T15" t="s">
        <v>205</v>
      </c>
      <c r="V15" t="str">
        <f t="shared" si="1"/>
        <v>(NULL,"Mr.","Bonus","John Kristoffer","P.","Male","1997-04-13","San Pedro, Laguna","#23 Maharlika St.","Brgy. Magsaysay","City of San Pedro","Laguna","4035","sad@gmail.com","09123123321"),</v>
      </c>
      <c r="W15" t="str">
        <f>TextJoin(tblPersons[[#This Row],[Title]:[ContactNo]],"Value")</f>
        <v>"Mr.","Bonus","John Kristoffer","P.","Male","1997-04-13","San Pedro, Laguna","#23 Maharlika St.","Brgy. Magsaysay","City of San Pedro","Laguna","4035","sad@gmail.com","09123123321"</v>
      </c>
    </row>
    <row r="16" spans="2:23" hidden="1" x14ac:dyDescent="0.25">
      <c r="B16">
        <v>14</v>
      </c>
      <c r="C16" t="str">
        <f>IF(tblPersons[[#This Row],[Sex]]="Male","Mr.","Ms.")</f>
        <v>Ms.</v>
      </c>
      <c r="D16" t="s">
        <v>67</v>
      </c>
      <c r="E16" t="s">
        <v>68</v>
      </c>
      <c r="F16" t="s">
        <v>69</v>
      </c>
      <c r="G16" t="s">
        <v>264</v>
      </c>
      <c r="H16" s="32">
        <v>35534</v>
      </c>
      <c r="I16" t="s">
        <v>818</v>
      </c>
      <c r="J16" t="s">
        <v>819</v>
      </c>
      <c r="K16" t="s">
        <v>820</v>
      </c>
      <c r="L16" t="s">
        <v>821</v>
      </c>
      <c r="M16" t="s">
        <v>822</v>
      </c>
      <c r="N16">
        <v>4036</v>
      </c>
      <c r="O16" t="s">
        <v>823</v>
      </c>
      <c r="P16" s="33" t="s">
        <v>824</v>
      </c>
      <c r="R16" t="e">
        <f t="shared" si="0"/>
        <v>#REF!</v>
      </c>
      <c r="S16" t="e">
        <f>"'"&amp;B16&amp;"','"&amp;D16&amp;"','"&amp;E16&amp;"','"&amp;F16&amp;"','"&amp;G16&amp;"','"&amp;H16&amp;"','"&amp;I16&amp;"','"&amp;J16&amp;"','"&amp;K16&amp;"','"&amp;#REF!&amp;"','"&amp;#REF!&amp;"','"&amp;L16&amp;"','"&amp;O16&amp;"','"&amp;P16&amp;"'"</f>
        <v>#REF!</v>
      </c>
      <c r="T16" t="s">
        <v>206</v>
      </c>
      <c r="V16" t="str">
        <f t="shared" si="1"/>
        <v>(NULL,"Ms.","Buenviaje","Meghan","I.","Female","1997-04-14","San Pedro, Laguna","#23 Maharlika St.","Brgy. Magsaysay","City of San Pedro","Laguna","4036","sad@gmail.com","09123123321"),</v>
      </c>
      <c r="W16" t="str">
        <f>TextJoin(tblPersons[[#This Row],[Title]:[ContactNo]],"Value")</f>
        <v>"Ms.","Buenviaje","Meghan","I.","Female","1997-04-14","San Pedro, Laguna","#23 Maharlika St.","Brgy. Magsaysay","City of San Pedro","Laguna","4036","sad@gmail.com","09123123321"</v>
      </c>
    </row>
    <row r="17" spans="2:23" hidden="1" x14ac:dyDescent="0.25">
      <c r="B17">
        <v>15</v>
      </c>
      <c r="C17" t="str">
        <f>IF(tblPersons[[#This Row],[Sex]]="Male","Mr.","Ms.")</f>
        <v>Mr.</v>
      </c>
      <c r="D17" t="s">
        <v>70</v>
      </c>
      <c r="E17" t="s">
        <v>71</v>
      </c>
      <c r="F17" t="s">
        <v>72</v>
      </c>
      <c r="G17" t="s">
        <v>263</v>
      </c>
      <c r="H17" s="32">
        <v>35535</v>
      </c>
      <c r="I17" t="s">
        <v>818</v>
      </c>
      <c r="J17" t="s">
        <v>819</v>
      </c>
      <c r="K17" t="s">
        <v>820</v>
      </c>
      <c r="L17" t="s">
        <v>821</v>
      </c>
      <c r="M17" t="s">
        <v>822</v>
      </c>
      <c r="N17">
        <v>4037</v>
      </c>
      <c r="O17" t="s">
        <v>823</v>
      </c>
      <c r="P17" s="33" t="s">
        <v>824</v>
      </c>
      <c r="R17" t="e">
        <f t="shared" si="0"/>
        <v>#REF!</v>
      </c>
      <c r="S17" t="e">
        <f>"'"&amp;B17&amp;"','"&amp;D17&amp;"','"&amp;E17&amp;"','"&amp;F17&amp;"','"&amp;G17&amp;"','"&amp;H17&amp;"','"&amp;I17&amp;"','"&amp;J17&amp;"','"&amp;K17&amp;"','"&amp;#REF!&amp;"','"&amp;#REF!&amp;"','"&amp;L17&amp;"','"&amp;O17&amp;"','"&amp;P17&amp;"'"</f>
        <v>#REF!</v>
      </c>
      <c r="T17" t="s">
        <v>207</v>
      </c>
      <c r="V17" t="str">
        <f t="shared" si="1"/>
        <v>(NULL,"Mr.","Bustamante","Jetro","S.","Male","1997-04-15","San Pedro, Laguna","#23 Maharlika St.","Brgy. Magsaysay","City of San Pedro","Laguna","4037","sad@gmail.com","09123123321"),</v>
      </c>
      <c r="W17" t="str">
        <f>TextJoin(tblPersons[[#This Row],[Title]:[ContactNo]],"Value")</f>
        <v>"Mr.","Bustamante","Jetro","S.","Male","1997-04-15","San Pedro, Laguna","#23 Maharlika St.","Brgy. Magsaysay","City of San Pedro","Laguna","4037","sad@gmail.com","09123123321"</v>
      </c>
    </row>
    <row r="18" spans="2:23" hidden="1" x14ac:dyDescent="0.25">
      <c r="B18">
        <v>16</v>
      </c>
      <c r="C18" t="str">
        <f>IF(tblPersons[[#This Row],[Sex]]="Male","Mr.","Ms.")</f>
        <v>Ms.</v>
      </c>
      <c r="D18" t="s">
        <v>73</v>
      </c>
      <c r="E18" t="s">
        <v>74</v>
      </c>
      <c r="F18" t="s">
        <v>75</v>
      </c>
      <c r="G18" t="s">
        <v>264</v>
      </c>
      <c r="H18" s="32">
        <v>35536</v>
      </c>
      <c r="I18" t="s">
        <v>818</v>
      </c>
      <c r="J18" t="s">
        <v>819</v>
      </c>
      <c r="K18" t="s">
        <v>820</v>
      </c>
      <c r="L18" t="s">
        <v>821</v>
      </c>
      <c r="M18" t="s">
        <v>822</v>
      </c>
      <c r="N18">
        <v>4038</v>
      </c>
      <c r="O18" t="s">
        <v>823</v>
      </c>
      <c r="P18" s="33" t="s">
        <v>824</v>
      </c>
      <c r="R18" t="e">
        <f t="shared" si="0"/>
        <v>#REF!</v>
      </c>
      <c r="S18" t="e">
        <f>"'"&amp;B18&amp;"','"&amp;D18&amp;"','"&amp;E18&amp;"','"&amp;F18&amp;"','"&amp;G18&amp;"','"&amp;H18&amp;"','"&amp;I18&amp;"','"&amp;J18&amp;"','"&amp;K18&amp;"','"&amp;#REF!&amp;"','"&amp;#REF!&amp;"','"&amp;L18&amp;"','"&amp;O18&amp;"','"&amp;P18&amp;"'"</f>
        <v>#REF!</v>
      </c>
      <c r="T18" t="s">
        <v>208</v>
      </c>
      <c r="V18" t="str">
        <f t="shared" si="1"/>
        <v>(NULL,"Ms.","Calsado","Kem Diobeth","L.","Female","1997-04-16","San Pedro, Laguna","#23 Maharlika St.","Brgy. Magsaysay","City of San Pedro","Laguna","4038","sad@gmail.com","09123123321"),</v>
      </c>
      <c r="W18" t="str">
        <f>TextJoin(tblPersons[[#This Row],[Title]:[ContactNo]],"Value")</f>
        <v>"Ms.","Calsado","Kem Diobeth","L.","Female","1997-04-16","San Pedro, Laguna","#23 Maharlika St.","Brgy. Magsaysay","City of San Pedro","Laguna","4038","sad@gmail.com","09123123321"</v>
      </c>
    </row>
    <row r="19" spans="2:23" hidden="1" x14ac:dyDescent="0.25">
      <c r="B19">
        <v>17</v>
      </c>
      <c r="C19" t="str">
        <f>IF(tblPersons[[#This Row],[Sex]]="Male","Mr.","Ms.")</f>
        <v>Ms.</v>
      </c>
      <c r="D19" t="s">
        <v>76</v>
      </c>
      <c r="E19" t="s">
        <v>77</v>
      </c>
      <c r="F19" t="s">
        <v>78</v>
      </c>
      <c r="G19" t="s">
        <v>264</v>
      </c>
      <c r="H19" s="32">
        <v>35537</v>
      </c>
      <c r="I19" t="s">
        <v>818</v>
      </c>
      <c r="J19" t="s">
        <v>819</v>
      </c>
      <c r="K19" t="s">
        <v>820</v>
      </c>
      <c r="L19" t="s">
        <v>821</v>
      </c>
      <c r="M19" t="s">
        <v>822</v>
      </c>
      <c r="N19">
        <v>4039</v>
      </c>
      <c r="O19" t="s">
        <v>823</v>
      </c>
      <c r="P19" s="33" t="s">
        <v>824</v>
      </c>
      <c r="R19" t="e">
        <f t="shared" si="0"/>
        <v>#REF!</v>
      </c>
      <c r="S19" t="e">
        <f>"'"&amp;B19&amp;"','"&amp;D19&amp;"','"&amp;E19&amp;"','"&amp;F19&amp;"','"&amp;G19&amp;"','"&amp;H19&amp;"','"&amp;I19&amp;"','"&amp;J19&amp;"','"&amp;K19&amp;"','"&amp;#REF!&amp;"','"&amp;#REF!&amp;"','"&amp;L19&amp;"','"&amp;O19&amp;"','"&amp;P19&amp;"'"</f>
        <v>#REF!</v>
      </c>
      <c r="T19" t="s">
        <v>209</v>
      </c>
      <c r="V19" t="str">
        <f t="shared" si="1"/>
        <v>(NULL,"Ms.","Cantores","Maria Jenica","V.","Female","1997-04-17","San Pedro, Laguna","#23 Maharlika St.","Brgy. Magsaysay","City of San Pedro","Laguna","4039","sad@gmail.com","09123123321"),</v>
      </c>
      <c r="W19" t="str">
        <f>TextJoin(tblPersons[[#This Row],[Title]:[ContactNo]],"Value")</f>
        <v>"Ms.","Cantores","Maria Jenica","V.","Female","1997-04-17","San Pedro, Laguna","#23 Maharlika St.","Brgy. Magsaysay","City of San Pedro","Laguna","4039","sad@gmail.com","09123123321"</v>
      </c>
    </row>
    <row r="20" spans="2:23" hidden="1" x14ac:dyDescent="0.25">
      <c r="B20">
        <v>18</v>
      </c>
      <c r="C20" t="str">
        <f>IF(tblPersons[[#This Row],[Sex]]="Male","Mr.","Ms.")</f>
        <v>Mr.</v>
      </c>
      <c r="D20" t="s">
        <v>79</v>
      </c>
      <c r="E20" t="s">
        <v>80</v>
      </c>
      <c r="F20" t="s">
        <v>81</v>
      </c>
      <c r="G20" t="s">
        <v>263</v>
      </c>
      <c r="H20" s="32">
        <v>35538</v>
      </c>
      <c r="I20" t="s">
        <v>818</v>
      </c>
      <c r="J20" t="s">
        <v>819</v>
      </c>
      <c r="K20" t="s">
        <v>820</v>
      </c>
      <c r="L20" t="s">
        <v>821</v>
      </c>
      <c r="M20" t="s">
        <v>822</v>
      </c>
      <c r="N20">
        <v>4040</v>
      </c>
      <c r="O20" t="s">
        <v>823</v>
      </c>
      <c r="P20" s="33" t="s">
        <v>824</v>
      </c>
      <c r="R20" t="e">
        <f t="shared" si="0"/>
        <v>#REF!</v>
      </c>
      <c r="S20" t="e">
        <f>"'"&amp;B20&amp;"','"&amp;D20&amp;"','"&amp;E20&amp;"','"&amp;F20&amp;"','"&amp;G20&amp;"','"&amp;H20&amp;"','"&amp;I20&amp;"','"&amp;J20&amp;"','"&amp;K20&amp;"','"&amp;#REF!&amp;"','"&amp;#REF!&amp;"','"&amp;L20&amp;"','"&amp;O20&amp;"','"&amp;P20&amp;"'"</f>
        <v>#REF!</v>
      </c>
      <c r="T20" t="s">
        <v>210</v>
      </c>
      <c r="V20" t="str">
        <f t="shared" si="1"/>
        <v>(NULL,"Mr.","Catalan","Ronan","C.","Male","1997-04-18","San Pedro, Laguna","#23 Maharlika St.","Brgy. Magsaysay","City of San Pedro","Laguna","4040","sad@gmail.com","09123123321"),</v>
      </c>
      <c r="W20" t="str">
        <f>TextJoin(tblPersons[[#This Row],[Title]:[ContactNo]],"Value")</f>
        <v>"Mr.","Catalan","Ronan","C.","Male","1997-04-18","San Pedro, Laguna","#23 Maharlika St.","Brgy. Magsaysay","City of San Pedro","Laguna","4040","sad@gmail.com","09123123321"</v>
      </c>
    </row>
    <row r="21" spans="2:23" hidden="1" x14ac:dyDescent="0.25">
      <c r="B21">
        <v>19</v>
      </c>
      <c r="C21" t="str">
        <f>IF(tblPersons[[#This Row],[Sex]]="Male","Mr.","Ms.")</f>
        <v>Mr.</v>
      </c>
      <c r="D21" t="s">
        <v>82</v>
      </c>
      <c r="E21" t="s">
        <v>83</v>
      </c>
      <c r="F21" t="s">
        <v>84</v>
      </c>
      <c r="G21" t="s">
        <v>263</v>
      </c>
      <c r="H21" s="32">
        <v>35539</v>
      </c>
      <c r="I21" t="s">
        <v>818</v>
      </c>
      <c r="J21" t="s">
        <v>819</v>
      </c>
      <c r="K21" t="s">
        <v>820</v>
      </c>
      <c r="L21" t="s">
        <v>821</v>
      </c>
      <c r="M21" t="s">
        <v>822</v>
      </c>
      <c r="N21">
        <v>4041</v>
      </c>
      <c r="O21" t="s">
        <v>823</v>
      </c>
      <c r="P21" s="33" t="s">
        <v>824</v>
      </c>
      <c r="R21" t="e">
        <f t="shared" si="0"/>
        <v>#REF!</v>
      </c>
      <c r="S21" t="e">
        <f>"'"&amp;B21&amp;"','"&amp;D21&amp;"','"&amp;E21&amp;"','"&amp;F21&amp;"','"&amp;G21&amp;"','"&amp;H21&amp;"','"&amp;I21&amp;"','"&amp;J21&amp;"','"&amp;K21&amp;"','"&amp;#REF!&amp;"','"&amp;#REF!&amp;"','"&amp;L21&amp;"','"&amp;O21&amp;"','"&amp;P21&amp;"'"</f>
        <v>#REF!</v>
      </c>
      <c r="T21" t="s">
        <v>211</v>
      </c>
      <c r="V21" t="str">
        <f t="shared" si="1"/>
        <v>(NULL,"Mr.","Chua","Alexander Jr.","B.","Male","1997-04-19","San Pedro, Laguna","#23 Maharlika St.","Brgy. Magsaysay","City of San Pedro","Laguna","4041","sad@gmail.com","09123123321"),</v>
      </c>
      <c r="W21" t="str">
        <f>TextJoin(tblPersons[[#This Row],[Title]:[ContactNo]],"Value")</f>
        <v>"Mr.","Chua","Alexander Jr.","B.","Male","1997-04-19","San Pedro, Laguna","#23 Maharlika St.","Brgy. Magsaysay","City of San Pedro","Laguna","4041","sad@gmail.com","09123123321"</v>
      </c>
    </row>
    <row r="22" spans="2:23" hidden="1" x14ac:dyDescent="0.25">
      <c r="B22">
        <v>20</v>
      </c>
      <c r="C22" t="str">
        <f>IF(tblPersons[[#This Row],[Sex]]="Male","Mr.","Ms.")</f>
        <v>Ms.</v>
      </c>
      <c r="D22" t="s">
        <v>85</v>
      </c>
      <c r="E22" t="s">
        <v>86</v>
      </c>
      <c r="F22" t="s">
        <v>81</v>
      </c>
      <c r="G22" t="s">
        <v>264</v>
      </c>
      <c r="H22" s="32">
        <v>35540</v>
      </c>
      <c r="I22" t="s">
        <v>818</v>
      </c>
      <c r="J22" t="s">
        <v>819</v>
      </c>
      <c r="K22" t="s">
        <v>820</v>
      </c>
      <c r="L22" t="s">
        <v>821</v>
      </c>
      <c r="M22" t="s">
        <v>822</v>
      </c>
      <c r="N22">
        <v>4042</v>
      </c>
      <c r="O22" t="s">
        <v>823</v>
      </c>
      <c r="P22" s="33" t="s">
        <v>824</v>
      </c>
      <c r="R22" t="e">
        <f t="shared" si="0"/>
        <v>#REF!</v>
      </c>
      <c r="S22" t="e">
        <f>"'"&amp;B22&amp;"','"&amp;D22&amp;"','"&amp;E22&amp;"','"&amp;F22&amp;"','"&amp;G22&amp;"','"&amp;H22&amp;"','"&amp;I22&amp;"','"&amp;J22&amp;"','"&amp;K22&amp;"','"&amp;#REF!&amp;"','"&amp;#REF!&amp;"','"&amp;L22&amp;"','"&amp;O22&amp;"','"&amp;P22&amp;"'"</f>
        <v>#REF!</v>
      </c>
      <c r="T22" t="s">
        <v>212</v>
      </c>
      <c r="V22" t="str">
        <f t="shared" si="1"/>
        <v>(NULL,"Ms.","Coloma","Angelica","C.","Female","1997-04-20","San Pedro, Laguna","#23 Maharlika St.","Brgy. Magsaysay","City of San Pedro","Laguna","4042","sad@gmail.com","09123123321"),</v>
      </c>
      <c r="W22" t="str">
        <f>TextJoin(tblPersons[[#This Row],[Title]:[ContactNo]],"Value")</f>
        <v>"Ms.","Coloma","Angelica","C.","Female","1997-04-20","San Pedro, Laguna","#23 Maharlika St.","Brgy. Magsaysay","City of San Pedro","Laguna","4042","sad@gmail.com","09123123321"</v>
      </c>
    </row>
    <row r="23" spans="2:23" hidden="1" x14ac:dyDescent="0.25">
      <c r="B23">
        <v>21</v>
      </c>
      <c r="C23" t="str">
        <f>IF(tblPersons[[#This Row],[Sex]]="Male","Mr.","Ms.")</f>
        <v>Ms.</v>
      </c>
      <c r="D23" t="s">
        <v>87</v>
      </c>
      <c r="E23" t="s">
        <v>88</v>
      </c>
      <c r="G23" t="s">
        <v>264</v>
      </c>
      <c r="H23" s="32">
        <v>35541</v>
      </c>
      <c r="I23" t="s">
        <v>818</v>
      </c>
      <c r="J23" t="s">
        <v>819</v>
      </c>
      <c r="K23" t="s">
        <v>820</v>
      </c>
      <c r="L23" t="s">
        <v>821</v>
      </c>
      <c r="M23" t="s">
        <v>822</v>
      </c>
      <c r="N23">
        <v>4043</v>
      </c>
      <c r="O23" t="s">
        <v>823</v>
      </c>
      <c r="P23" s="33" t="s">
        <v>824</v>
      </c>
      <c r="R23" t="e">
        <f t="shared" si="0"/>
        <v>#REF!</v>
      </c>
      <c r="S23" t="e">
        <f>"'"&amp;B23&amp;"','"&amp;D23&amp;"','"&amp;E23&amp;"','"&amp;F23&amp;"','"&amp;G23&amp;"','"&amp;H23&amp;"','"&amp;I23&amp;"','"&amp;J23&amp;"','"&amp;K23&amp;"','"&amp;#REF!&amp;"','"&amp;#REF!&amp;"','"&amp;L23&amp;"','"&amp;O23&amp;"','"&amp;P23&amp;"'"</f>
        <v>#REF!</v>
      </c>
      <c r="T23" t="s">
        <v>213</v>
      </c>
      <c r="V23" t="str">
        <f t="shared" si="1"/>
        <v>(NULL,"Ms.","Combes","Roxanne","","Female","1997-04-21","San Pedro, Laguna","#23 Maharlika St.","Brgy. Magsaysay","City of San Pedro","Laguna","4043","sad@gmail.com","09123123321"),</v>
      </c>
      <c r="W23" t="str">
        <f>TextJoin(tblPersons[[#This Row],[Title]:[ContactNo]],"Value")</f>
        <v>"Ms.","Combes","Roxanne","","Female","1997-04-21","San Pedro, Laguna","#23 Maharlika St.","Brgy. Magsaysay","City of San Pedro","Laguna","4043","sad@gmail.com","09123123321"</v>
      </c>
    </row>
    <row r="24" spans="2:23" hidden="1" x14ac:dyDescent="0.25">
      <c r="B24">
        <v>22</v>
      </c>
      <c r="C24" t="str">
        <f>IF(tblPersons[[#This Row],[Sex]]="Male","Mr.","Ms.")</f>
        <v>Mr.</v>
      </c>
      <c r="D24" t="s">
        <v>89</v>
      </c>
      <c r="E24" t="s">
        <v>90</v>
      </c>
      <c r="F24" t="s">
        <v>81</v>
      </c>
      <c r="G24" t="s">
        <v>263</v>
      </c>
      <c r="H24" s="32">
        <v>35542</v>
      </c>
      <c r="I24" t="s">
        <v>818</v>
      </c>
      <c r="J24" t="s">
        <v>819</v>
      </c>
      <c r="K24" t="s">
        <v>820</v>
      </c>
      <c r="L24" t="s">
        <v>821</v>
      </c>
      <c r="M24" t="s">
        <v>822</v>
      </c>
      <c r="N24">
        <v>4044</v>
      </c>
      <c r="O24" t="s">
        <v>823</v>
      </c>
      <c r="P24" s="33" t="s">
        <v>824</v>
      </c>
      <c r="R24" t="e">
        <f t="shared" si="0"/>
        <v>#REF!</v>
      </c>
      <c r="S24" t="e">
        <f>"'"&amp;B24&amp;"','"&amp;D24&amp;"','"&amp;E24&amp;"','"&amp;F24&amp;"','"&amp;G24&amp;"','"&amp;H24&amp;"','"&amp;I24&amp;"','"&amp;J24&amp;"','"&amp;K24&amp;"','"&amp;#REF!&amp;"','"&amp;#REF!&amp;"','"&amp;L24&amp;"','"&amp;O24&amp;"','"&amp;P24&amp;"'"</f>
        <v>#REF!</v>
      </c>
      <c r="T24" t="s">
        <v>214</v>
      </c>
      <c r="V24" t="str">
        <f t="shared" si="1"/>
        <v>(NULL,"Mr.","Culla","Archie","C.","Male","1997-04-22","San Pedro, Laguna","#23 Maharlika St.","Brgy. Magsaysay","City of San Pedro","Laguna","4044","sad@gmail.com","09123123321"),</v>
      </c>
      <c r="W24" t="str">
        <f>TextJoin(tblPersons[[#This Row],[Title]:[ContactNo]],"Value")</f>
        <v>"Mr.","Culla","Archie","C.","Male","1997-04-22","San Pedro, Laguna","#23 Maharlika St.","Brgy. Magsaysay","City of San Pedro","Laguna","4044","sad@gmail.com","09123123321"</v>
      </c>
    </row>
    <row r="25" spans="2:23" hidden="1" x14ac:dyDescent="0.25">
      <c r="B25">
        <v>23</v>
      </c>
      <c r="C25" t="str">
        <f>IF(tblPersons[[#This Row],[Sex]]="Male","Mr.","Ms.")</f>
        <v>Mr.</v>
      </c>
      <c r="D25" t="s">
        <v>91</v>
      </c>
      <c r="E25" t="s">
        <v>92</v>
      </c>
      <c r="F25" t="s">
        <v>93</v>
      </c>
      <c r="G25" t="s">
        <v>263</v>
      </c>
      <c r="H25" s="32">
        <v>35543</v>
      </c>
      <c r="I25" t="s">
        <v>818</v>
      </c>
      <c r="J25" t="s">
        <v>819</v>
      </c>
      <c r="K25" t="s">
        <v>820</v>
      </c>
      <c r="L25" t="s">
        <v>821</v>
      </c>
      <c r="M25" t="s">
        <v>822</v>
      </c>
      <c r="N25">
        <v>4045</v>
      </c>
      <c r="O25" t="s">
        <v>823</v>
      </c>
      <c r="P25" s="33" t="s">
        <v>824</v>
      </c>
      <c r="R25" t="e">
        <f t="shared" si="0"/>
        <v>#REF!</v>
      </c>
      <c r="S25" t="e">
        <f>"'"&amp;B25&amp;"','"&amp;D25&amp;"','"&amp;E25&amp;"','"&amp;F25&amp;"','"&amp;G25&amp;"','"&amp;H25&amp;"','"&amp;I25&amp;"','"&amp;J25&amp;"','"&amp;K25&amp;"','"&amp;#REF!&amp;"','"&amp;#REF!&amp;"','"&amp;L25&amp;"','"&amp;O25&amp;"','"&amp;P25&amp;"'"</f>
        <v>#REF!</v>
      </c>
      <c r="T25" t="s">
        <v>215</v>
      </c>
      <c r="V25" t="str">
        <f t="shared" si="1"/>
        <v>(NULL,"Mr.","De Lumin","Al Christian Ross","F.","Male","1997-04-23","San Pedro, Laguna","#23 Maharlika St.","Brgy. Magsaysay","City of San Pedro","Laguna","4045","sad@gmail.com","09123123321"),</v>
      </c>
      <c r="W25" t="str">
        <f>TextJoin(tblPersons[[#This Row],[Title]:[ContactNo]],"Value")</f>
        <v>"Mr.","De Lumin","Al Christian Ross","F.","Male","1997-04-23","San Pedro, Laguna","#23 Maharlika St.","Brgy. Magsaysay","City of San Pedro","Laguna","4045","sad@gmail.com","09123123321"</v>
      </c>
    </row>
    <row r="26" spans="2:23" hidden="1" x14ac:dyDescent="0.25">
      <c r="B26">
        <v>24</v>
      </c>
      <c r="C26" t="str">
        <f>IF(tblPersons[[#This Row],[Sex]]="Male","Mr.","Ms.")</f>
        <v>Mr.</v>
      </c>
      <c r="D26" t="s">
        <v>94</v>
      </c>
      <c r="E26" t="s">
        <v>95</v>
      </c>
      <c r="F26" t="s">
        <v>81</v>
      </c>
      <c r="G26" t="s">
        <v>263</v>
      </c>
      <c r="H26" s="32">
        <v>35544</v>
      </c>
      <c r="I26" t="s">
        <v>818</v>
      </c>
      <c r="J26" t="s">
        <v>819</v>
      </c>
      <c r="K26" t="s">
        <v>820</v>
      </c>
      <c r="L26" t="s">
        <v>821</v>
      </c>
      <c r="M26" t="s">
        <v>822</v>
      </c>
      <c r="N26">
        <v>4046</v>
      </c>
      <c r="O26" t="s">
        <v>823</v>
      </c>
      <c r="P26" s="33" t="s">
        <v>824</v>
      </c>
      <c r="R26" t="e">
        <f t="shared" si="0"/>
        <v>#REF!</v>
      </c>
      <c r="S26" t="e">
        <f>"'"&amp;B26&amp;"','"&amp;D26&amp;"','"&amp;E26&amp;"','"&amp;F26&amp;"','"&amp;G26&amp;"','"&amp;H26&amp;"','"&amp;I26&amp;"','"&amp;J26&amp;"','"&amp;K26&amp;"','"&amp;#REF!&amp;"','"&amp;#REF!&amp;"','"&amp;L26&amp;"','"&amp;O26&amp;"','"&amp;P26&amp;"'"</f>
        <v>#REF!</v>
      </c>
      <c r="T26" t="s">
        <v>216</v>
      </c>
      <c r="V26" t="str">
        <f t="shared" si="1"/>
        <v>(NULL,"Mr.","Dela Paz","Billy Joe","C.","Male","1997-04-24","San Pedro, Laguna","#23 Maharlika St.","Brgy. Magsaysay","City of San Pedro","Laguna","4046","sad@gmail.com","09123123321"),</v>
      </c>
      <c r="W26" t="str">
        <f>TextJoin(tblPersons[[#This Row],[Title]:[ContactNo]],"Value")</f>
        <v>"Mr.","Dela Paz","Billy Joe","C.","Male","1997-04-24","San Pedro, Laguna","#23 Maharlika St.","Brgy. Magsaysay","City of San Pedro","Laguna","4046","sad@gmail.com","09123123321"</v>
      </c>
    </row>
    <row r="27" spans="2:23" hidden="1" x14ac:dyDescent="0.25">
      <c r="B27">
        <v>25</v>
      </c>
      <c r="C27" t="str">
        <f>IF(tblPersons[[#This Row],[Sex]]="Male","Mr.","Ms.")</f>
        <v>Ms.</v>
      </c>
      <c r="D27" t="s">
        <v>96</v>
      </c>
      <c r="E27" t="s">
        <v>97</v>
      </c>
      <c r="F27" t="s">
        <v>43</v>
      </c>
      <c r="G27" t="s">
        <v>264</v>
      </c>
      <c r="H27" s="32">
        <v>35545</v>
      </c>
      <c r="I27" t="s">
        <v>818</v>
      </c>
      <c r="J27" t="s">
        <v>819</v>
      </c>
      <c r="K27" t="s">
        <v>820</v>
      </c>
      <c r="L27" t="s">
        <v>821</v>
      </c>
      <c r="M27" t="s">
        <v>822</v>
      </c>
      <c r="N27">
        <v>4047</v>
      </c>
      <c r="O27" t="s">
        <v>823</v>
      </c>
      <c r="P27" s="33" t="s">
        <v>824</v>
      </c>
      <c r="R27" t="e">
        <f t="shared" si="0"/>
        <v>#REF!</v>
      </c>
      <c r="S27" t="e">
        <f>"'"&amp;B27&amp;"','"&amp;D27&amp;"','"&amp;E27&amp;"','"&amp;F27&amp;"','"&amp;G27&amp;"','"&amp;H27&amp;"','"&amp;I27&amp;"','"&amp;J27&amp;"','"&amp;K27&amp;"','"&amp;#REF!&amp;"','"&amp;#REF!&amp;"','"&amp;L27&amp;"','"&amp;O27&amp;"','"&amp;P27&amp;"'"</f>
        <v>#REF!</v>
      </c>
      <c r="T27" t="s">
        <v>217</v>
      </c>
      <c r="V27" t="str">
        <f t="shared" si="1"/>
        <v>(NULL,"Ms.","Dimamay","Mayabelle","M.","Female","1997-04-25","San Pedro, Laguna","#23 Maharlika St.","Brgy. Magsaysay","City of San Pedro","Laguna","4047","sad@gmail.com","09123123321"),</v>
      </c>
      <c r="W27" t="str">
        <f>TextJoin(tblPersons[[#This Row],[Title]:[ContactNo]],"Value")</f>
        <v>"Ms.","Dimamay","Mayabelle","M.","Female","1997-04-25","San Pedro, Laguna","#23 Maharlika St.","Brgy. Magsaysay","City of San Pedro","Laguna","4047","sad@gmail.com","09123123321"</v>
      </c>
    </row>
    <row r="28" spans="2:23" hidden="1" x14ac:dyDescent="0.25">
      <c r="B28">
        <v>26</v>
      </c>
      <c r="C28" t="str">
        <f>IF(tblPersons[[#This Row],[Sex]]="Male","Mr.","Ms.")</f>
        <v>Ms.</v>
      </c>
      <c r="D28" t="s">
        <v>98</v>
      </c>
      <c r="E28" t="s">
        <v>99</v>
      </c>
      <c r="F28" t="s">
        <v>75</v>
      </c>
      <c r="G28" t="s">
        <v>264</v>
      </c>
      <c r="H28" s="32">
        <v>35546</v>
      </c>
      <c r="I28" t="s">
        <v>818</v>
      </c>
      <c r="J28" t="s">
        <v>819</v>
      </c>
      <c r="K28" t="s">
        <v>820</v>
      </c>
      <c r="L28" t="s">
        <v>821</v>
      </c>
      <c r="M28" t="s">
        <v>822</v>
      </c>
      <c r="N28">
        <v>4048</v>
      </c>
      <c r="O28" t="s">
        <v>823</v>
      </c>
      <c r="P28" s="33" t="s">
        <v>824</v>
      </c>
      <c r="R28" t="e">
        <f t="shared" si="0"/>
        <v>#REF!</v>
      </c>
      <c r="S28" t="e">
        <f>"'"&amp;B28&amp;"','"&amp;D28&amp;"','"&amp;E28&amp;"','"&amp;F28&amp;"','"&amp;G28&amp;"','"&amp;H28&amp;"','"&amp;I28&amp;"','"&amp;J28&amp;"','"&amp;K28&amp;"','"&amp;#REF!&amp;"','"&amp;#REF!&amp;"','"&amp;L28&amp;"','"&amp;O28&amp;"','"&amp;P28&amp;"'"</f>
        <v>#REF!</v>
      </c>
      <c r="T28" t="s">
        <v>218</v>
      </c>
      <c r="V28" t="str">
        <f t="shared" si="1"/>
        <v>(NULL,"Ms.","Erese","Mary Joy Christelle","L.","Female","1997-04-26","San Pedro, Laguna","#23 Maharlika St.","Brgy. Magsaysay","City of San Pedro","Laguna","4048","sad@gmail.com","09123123321"),</v>
      </c>
      <c r="W28" t="str">
        <f>TextJoin(tblPersons[[#This Row],[Title]:[ContactNo]],"Value")</f>
        <v>"Ms.","Erese","Mary Joy Christelle","L.","Female","1997-04-26","San Pedro, Laguna","#23 Maharlika St.","Brgy. Magsaysay","City of San Pedro","Laguna","4048","sad@gmail.com","09123123321"</v>
      </c>
    </row>
    <row r="29" spans="2:23" hidden="1" x14ac:dyDescent="0.25">
      <c r="B29">
        <v>27</v>
      </c>
      <c r="C29" t="str">
        <f>IF(tblPersons[[#This Row],[Sex]]="Male","Mr.","Ms.")</f>
        <v>Mr.</v>
      </c>
      <c r="D29" t="s">
        <v>100</v>
      </c>
      <c r="E29" t="s">
        <v>101</v>
      </c>
      <c r="F29" t="s">
        <v>72</v>
      </c>
      <c r="G29" t="s">
        <v>263</v>
      </c>
      <c r="H29" s="32">
        <v>35547</v>
      </c>
      <c r="I29" t="s">
        <v>818</v>
      </c>
      <c r="J29" t="s">
        <v>819</v>
      </c>
      <c r="K29" t="s">
        <v>820</v>
      </c>
      <c r="L29" t="s">
        <v>821</v>
      </c>
      <c r="M29" t="s">
        <v>822</v>
      </c>
      <c r="N29">
        <v>4049</v>
      </c>
      <c r="O29" t="s">
        <v>823</v>
      </c>
      <c r="P29" s="33" t="s">
        <v>824</v>
      </c>
      <c r="R29" t="e">
        <f t="shared" si="0"/>
        <v>#REF!</v>
      </c>
      <c r="S29" t="e">
        <f>"'"&amp;B29&amp;"','"&amp;D29&amp;"','"&amp;E29&amp;"','"&amp;F29&amp;"','"&amp;G29&amp;"','"&amp;H29&amp;"','"&amp;I29&amp;"','"&amp;J29&amp;"','"&amp;K29&amp;"','"&amp;#REF!&amp;"','"&amp;#REF!&amp;"','"&amp;L29&amp;"','"&amp;O29&amp;"','"&amp;P29&amp;"'"</f>
        <v>#REF!</v>
      </c>
      <c r="T29" t="s">
        <v>219</v>
      </c>
      <c r="V29" t="str">
        <f t="shared" si="1"/>
        <v>(NULL,"Mr.","Estacio","Mark Anthony","S.","Male","1997-04-27","San Pedro, Laguna","#23 Maharlika St.","Brgy. Magsaysay","City of San Pedro","Laguna","4049","sad@gmail.com","09123123321"),</v>
      </c>
      <c r="W29" t="str">
        <f>TextJoin(tblPersons[[#This Row],[Title]:[ContactNo]],"Value")</f>
        <v>"Mr.","Estacio","Mark Anthony","S.","Male","1997-04-27","San Pedro, Laguna","#23 Maharlika St.","Brgy. Magsaysay","City of San Pedro","Laguna","4049","sad@gmail.com","09123123321"</v>
      </c>
    </row>
    <row r="30" spans="2:23" hidden="1" x14ac:dyDescent="0.25">
      <c r="B30">
        <v>28</v>
      </c>
      <c r="C30" t="str">
        <f>IF(tblPersons[[#This Row],[Sex]]="Male","Mr.","Ms.")</f>
        <v>Ms.</v>
      </c>
      <c r="D30" t="s">
        <v>102</v>
      </c>
      <c r="E30" t="s">
        <v>103</v>
      </c>
      <c r="F30" t="s">
        <v>66</v>
      </c>
      <c r="G30" t="s">
        <v>264</v>
      </c>
      <c r="H30" s="32">
        <v>35548</v>
      </c>
      <c r="I30" t="s">
        <v>818</v>
      </c>
      <c r="J30" t="s">
        <v>819</v>
      </c>
      <c r="K30" t="s">
        <v>820</v>
      </c>
      <c r="L30" t="s">
        <v>821</v>
      </c>
      <c r="M30" t="s">
        <v>822</v>
      </c>
      <c r="N30">
        <v>4050</v>
      </c>
      <c r="O30" t="s">
        <v>823</v>
      </c>
      <c r="P30" s="33" t="s">
        <v>824</v>
      </c>
      <c r="R30" t="e">
        <f t="shared" si="0"/>
        <v>#REF!</v>
      </c>
      <c r="S30" t="e">
        <f>"'"&amp;B30&amp;"','"&amp;D30&amp;"','"&amp;E30&amp;"','"&amp;F30&amp;"','"&amp;G30&amp;"','"&amp;H30&amp;"','"&amp;I30&amp;"','"&amp;J30&amp;"','"&amp;K30&amp;"','"&amp;#REF!&amp;"','"&amp;#REF!&amp;"','"&amp;L30&amp;"','"&amp;O30&amp;"','"&amp;P30&amp;"'"</f>
        <v>#REF!</v>
      </c>
      <c r="T30" t="s">
        <v>220</v>
      </c>
      <c r="V30" t="str">
        <f t="shared" si="1"/>
        <v>(NULL,"Ms.","Fernandez","Johnna","P.","Female","1997-04-28","San Pedro, Laguna","#23 Maharlika St.","Brgy. Magsaysay","City of San Pedro","Laguna","4050","sad@gmail.com","09123123321"),</v>
      </c>
      <c r="W30" t="str">
        <f>TextJoin(tblPersons[[#This Row],[Title]:[ContactNo]],"Value")</f>
        <v>"Ms.","Fernandez","Johnna","P.","Female","1997-04-28","San Pedro, Laguna","#23 Maharlika St.","Brgy. Magsaysay","City of San Pedro","Laguna","4050","sad@gmail.com","09123123321"</v>
      </c>
    </row>
    <row r="31" spans="2:23" hidden="1" x14ac:dyDescent="0.25">
      <c r="B31">
        <v>29</v>
      </c>
      <c r="C31" t="str">
        <f>IF(tblPersons[[#This Row],[Sex]]="Male","Mr.","Ms.")</f>
        <v>Ms.</v>
      </c>
      <c r="D31" t="s">
        <v>104</v>
      </c>
      <c r="E31" t="s">
        <v>105</v>
      </c>
      <c r="F31" t="s">
        <v>52</v>
      </c>
      <c r="G31" t="s">
        <v>264</v>
      </c>
      <c r="H31" s="32">
        <v>35549</v>
      </c>
      <c r="I31" t="s">
        <v>818</v>
      </c>
      <c r="J31" t="s">
        <v>819</v>
      </c>
      <c r="K31" t="s">
        <v>820</v>
      </c>
      <c r="L31" t="s">
        <v>821</v>
      </c>
      <c r="M31" t="s">
        <v>822</v>
      </c>
      <c r="N31">
        <v>4051</v>
      </c>
      <c r="O31" t="s">
        <v>823</v>
      </c>
      <c r="P31" s="33" t="s">
        <v>824</v>
      </c>
      <c r="R31" t="e">
        <f t="shared" si="0"/>
        <v>#REF!</v>
      </c>
      <c r="S31" t="e">
        <f>"'"&amp;B31&amp;"','"&amp;D31&amp;"','"&amp;E31&amp;"','"&amp;F31&amp;"','"&amp;G31&amp;"','"&amp;H31&amp;"','"&amp;I31&amp;"','"&amp;J31&amp;"','"&amp;K31&amp;"','"&amp;#REF!&amp;"','"&amp;#REF!&amp;"','"&amp;L31&amp;"','"&amp;O31&amp;"','"&amp;P31&amp;"'"</f>
        <v>#REF!</v>
      </c>
      <c r="T31" t="s">
        <v>221</v>
      </c>
      <c r="V31" t="str">
        <f t="shared" si="1"/>
        <v>(NULL,"Ms.","Funtila","Jeremiah Ester","D.","Female","1997-04-29","San Pedro, Laguna","#23 Maharlika St.","Brgy. Magsaysay","City of San Pedro","Laguna","4051","sad@gmail.com","09123123321"),</v>
      </c>
      <c r="W31" t="str">
        <f>TextJoin(tblPersons[[#This Row],[Title]:[ContactNo]],"Value")</f>
        <v>"Ms.","Funtila","Jeremiah Ester","D.","Female","1997-04-29","San Pedro, Laguna","#23 Maharlika St.","Brgy. Magsaysay","City of San Pedro","Laguna","4051","sad@gmail.com","09123123321"</v>
      </c>
    </row>
    <row r="32" spans="2:23" hidden="1" x14ac:dyDescent="0.25">
      <c r="B32">
        <v>30</v>
      </c>
      <c r="C32" t="str">
        <f>IF(tblPersons[[#This Row],[Sex]]="Male","Mr.","Ms.")</f>
        <v>Mr.</v>
      </c>
      <c r="D32" t="s">
        <v>106</v>
      </c>
      <c r="E32" t="s">
        <v>107</v>
      </c>
      <c r="F32" t="s">
        <v>43</v>
      </c>
      <c r="G32" t="s">
        <v>263</v>
      </c>
      <c r="H32" s="32">
        <v>35550</v>
      </c>
      <c r="I32" t="s">
        <v>818</v>
      </c>
      <c r="J32" t="s">
        <v>819</v>
      </c>
      <c r="K32" t="s">
        <v>820</v>
      </c>
      <c r="L32" t="s">
        <v>821</v>
      </c>
      <c r="M32" t="s">
        <v>822</v>
      </c>
      <c r="N32">
        <v>4052</v>
      </c>
      <c r="O32" t="s">
        <v>823</v>
      </c>
      <c r="P32" s="33" t="s">
        <v>824</v>
      </c>
      <c r="R32" t="e">
        <f t="shared" si="0"/>
        <v>#REF!</v>
      </c>
      <c r="S32" t="e">
        <f>"'"&amp;B32&amp;"','"&amp;D32&amp;"','"&amp;E32&amp;"','"&amp;F32&amp;"','"&amp;G32&amp;"','"&amp;H32&amp;"','"&amp;I32&amp;"','"&amp;J32&amp;"','"&amp;K32&amp;"','"&amp;#REF!&amp;"','"&amp;#REF!&amp;"','"&amp;L32&amp;"','"&amp;O32&amp;"','"&amp;P32&amp;"'"</f>
        <v>#REF!</v>
      </c>
      <c r="T32" t="s">
        <v>222</v>
      </c>
      <c r="V32" t="str">
        <f t="shared" si="1"/>
        <v>(NULL,"Mr.","Genelza","Mark Joshua","M.","Male","1997-04-30","San Pedro, Laguna","#23 Maharlika St.","Brgy. Magsaysay","City of San Pedro","Laguna","4052","sad@gmail.com","09123123321"),</v>
      </c>
      <c r="W32" t="str">
        <f>TextJoin(tblPersons[[#This Row],[Title]:[ContactNo]],"Value")</f>
        <v>"Mr.","Genelza","Mark Joshua","M.","Male","1997-04-30","San Pedro, Laguna","#23 Maharlika St.","Brgy. Magsaysay","City of San Pedro","Laguna","4052","sad@gmail.com","09123123321"</v>
      </c>
    </row>
    <row r="33" spans="2:23" hidden="1" x14ac:dyDescent="0.25">
      <c r="B33">
        <v>31</v>
      </c>
      <c r="C33" t="str">
        <f>IF(tblPersons[[#This Row],[Sex]]="Male","Mr.","Ms.")</f>
        <v>Mr.</v>
      </c>
      <c r="D33" t="s">
        <v>108</v>
      </c>
      <c r="E33" t="s">
        <v>109</v>
      </c>
      <c r="F33" t="s">
        <v>84</v>
      </c>
      <c r="G33" t="s">
        <v>263</v>
      </c>
      <c r="H33" s="32">
        <v>35551</v>
      </c>
      <c r="I33" t="s">
        <v>818</v>
      </c>
      <c r="J33" t="s">
        <v>819</v>
      </c>
      <c r="K33" t="s">
        <v>820</v>
      </c>
      <c r="L33" t="s">
        <v>821</v>
      </c>
      <c r="M33" t="s">
        <v>822</v>
      </c>
      <c r="N33">
        <v>4053</v>
      </c>
      <c r="O33" t="s">
        <v>823</v>
      </c>
      <c r="P33" s="33" t="s">
        <v>824</v>
      </c>
      <c r="R33" t="e">
        <f t="shared" si="0"/>
        <v>#REF!</v>
      </c>
      <c r="S33" t="e">
        <f>"'"&amp;B33&amp;"','"&amp;D33&amp;"','"&amp;E33&amp;"','"&amp;F33&amp;"','"&amp;G33&amp;"','"&amp;H33&amp;"','"&amp;I33&amp;"','"&amp;J33&amp;"','"&amp;K33&amp;"','"&amp;#REF!&amp;"','"&amp;#REF!&amp;"','"&amp;L33&amp;"','"&amp;O33&amp;"','"&amp;P33&amp;"'"</f>
        <v>#REF!</v>
      </c>
      <c r="T33" t="s">
        <v>223</v>
      </c>
      <c r="V33" t="str">
        <f t="shared" si="1"/>
        <v>(NULL,"Mr.","Haucian","John Paul","B.","Male","1997-05-01","San Pedro, Laguna","#23 Maharlika St.","Brgy. Magsaysay","City of San Pedro","Laguna","4053","sad@gmail.com","09123123321"),</v>
      </c>
      <c r="W33" t="str">
        <f>TextJoin(tblPersons[[#This Row],[Title]:[ContactNo]],"Value")</f>
        <v>"Mr.","Haucian","John Paul","B.","Male","1997-05-01","San Pedro, Laguna","#23 Maharlika St.","Brgy. Magsaysay","City of San Pedro","Laguna","4053","sad@gmail.com","09123123321"</v>
      </c>
    </row>
    <row r="34" spans="2:23" hidden="1" x14ac:dyDescent="0.25">
      <c r="B34">
        <v>32</v>
      </c>
      <c r="C34" t="str">
        <f>IF(tblPersons[[#This Row],[Sex]]="Male","Mr.","Ms.")</f>
        <v>Mr.</v>
      </c>
      <c r="D34" t="s">
        <v>110</v>
      </c>
      <c r="E34" t="s">
        <v>111</v>
      </c>
      <c r="F34" t="s">
        <v>112</v>
      </c>
      <c r="G34" t="s">
        <v>263</v>
      </c>
      <c r="H34" s="32">
        <v>35552</v>
      </c>
      <c r="I34" t="s">
        <v>818</v>
      </c>
      <c r="J34" t="s">
        <v>819</v>
      </c>
      <c r="K34" t="s">
        <v>820</v>
      </c>
      <c r="L34" t="s">
        <v>821</v>
      </c>
      <c r="M34" t="s">
        <v>822</v>
      </c>
      <c r="N34">
        <v>4054</v>
      </c>
      <c r="O34" t="s">
        <v>823</v>
      </c>
      <c r="P34" s="33" t="s">
        <v>824</v>
      </c>
      <c r="R34" t="e">
        <f t="shared" si="0"/>
        <v>#REF!</v>
      </c>
      <c r="S34" t="e">
        <f>"'"&amp;B34&amp;"','"&amp;D34&amp;"','"&amp;E34&amp;"','"&amp;F34&amp;"','"&amp;G34&amp;"','"&amp;H34&amp;"','"&amp;I34&amp;"','"&amp;J34&amp;"','"&amp;K34&amp;"','"&amp;#REF!&amp;"','"&amp;#REF!&amp;"','"&amp;L34&amp;"','"&amp;O34&amp;"','"&amp;P34&amp;"'"</f>
        <v>#REF!</v>
      </c>
      <c r="T34" t="s">
        <v>224</v>
      </c>
      <c r="V34" t="str">
        <f t="shared" si="1"/>
        <v>(NULL,"Mr.","Hibi","Keisom","G.","Male","1997-05-02","San Pedro, Laguna","#23 Maharlika St.","Brgy. Magsaysay","City of San Pedro","Laguna","4054","sad@gmail.com","09123123321"),</v>
      </c>
      <c r="W34" t="str">
        <f>TextJoin(tblPersons[[#This Row],[Title]:[ContactNo]],"Value")</f>
        <v>"Mr.","Hibi","Keisom","G.","Male","1997-05-02","San Pedro, Laguna","#23 Maharlika St.","Brgy. Magsaysay","City of San Pedro","Laguna","4054","sad@gmail.com","09123123321"</v>
      </c>
    </row>
    <row r="35" spans="2:23" hidden="1" x14ac:dyDescent="0.25">
      <c r="B35">
        <v>33</v>
      </c>
      <c r="C35" t="str">
        <f>IF(tblPersons[[#This Row],[Sex]]="Male","Mr.","Ms.")</f>
        <v>Ms.</v>
      </c>
      <c r="D35" t="s">
        <v>113</v>
      </c>
      <c r="E35" t="s">
        <v>114</v>
      </c>
      <c r="F35" t="s">
        <v>66</v>
      </c>
      <c r="G35" t="s">
        <v>264</v>
      </c>
      <c r="H35" s="32">
        <v>35553</v>
      </c>
      <c r="I35" t="s">
        <v>818</v>
      </c>
      <c r="J35" t="s">
        <v>819</v>
      </c>
      <c r="K35" t="s">
        <v>820</v>
      </c>
      <c r="L35" t="s">
        <v>821</v>
      </c>
      <c r="M35" t="s">
        <v>822</v>
      </c>
      <c r="N35">
        <v>4055</v>
      </c>
      <c r="O35" t="s">
        <v>823</v>
      </c>
      <c r="P35" s="33" t="s">
        <v>824</v>
      </c>
      <c r="R35" t="e">
        <f t="shared" ref="R35:R66" si="2">"("&amp;S35&amp;")"&amp;IF(B36&lt;&gt;"",",",";")</f>
        <v>#REF!</v>
      </c>
      <c r="S35" t="e">
        <f>"'"&amp;B35&amp;"','"&amp;D35&amp;"','"&amp;E35&amp;"','"&amp;F35&amp;"','"&amp;G35&amp;"','"&amp;H35&amp;"','"&amp;I35&amp;"','"&amp;J35&amp;"','"&amp;K35&amp;"','"&amp;#REF!&amp;"','"&amp;#REF!&amp;"','"&amp;L35&amp;"','"&amp;O35&amp;"','"&amp;P35&amp;"'"</f>
        <v>#REF!</v>
      </c>
      <c r="T35" t="s">
        <v>225</v>
      </c>
      <c r="V35" t="str">
        <f t="shared" si="1"/>
        <v>(NULL,"Ms.","Isidoro","Christine Mae","P.","Female","1997-05-03","San Pedro, Laguna","#23 Maharlika St.","Brgy. Magsaysay","City of San Pedro","Laguna","4055","sad@gmail.com","09123123321"),</v>
      </c>
      <c r="W35" t="str">
        <f>TextJoin(tblPersons[[#This Row],[Title]:[ContactNo]],"Value")</f>
        <v>"Ms.","Isidoro","Christine Mae","P.","Female","1997-05-03","San Pedro, Laguna","#23 Maharlika St.","Brgy. Magsaysay","City of San Pedro","Laguna","4055","sad@gmail.com","09123123321"</v>
      </c>
    </row>
    <row r="36" spans="2:23" hidden="1" x14ac:dyDescent="0.25">
      <c r="B36">
        <v>34</v>
      </c>
      <c r="C36" t="str">
        <f>IF(tblPersons[[#This Row],[Sex]]="Male","Mr.","Ms.")</f>
        <v>Mr.</v>
      </c>
      <c r="D36" t="s">
        <v>115</v>
      </c>
      <c r="E36" t="s">
        <v>116</v>
      </c>
      <c r="F36" t="s">
        <v>66</v>
      </c>
      <c r="G36" t="s">
        <v>263</v>
      </c>
      <c r="H36" s="32">
        <v>35554</v>
      </c>
      <c r="I36" t="s">
        <v>818</v>
      </c>
      <c r="J36" t="s">
        <v>819</v>
      </c>
      <c r="K36" t="s">
        <v>820</v>
      </c>
      <c r="L36" t="s">
        <v>821</v>
      </c>
      <c r="M36" t="s">
        <v>822</v>
      </c>
      <c r="N36">
        <v>4056</v>
      </c>
      <c r="O36" t="s">
        <v>823</v>
      </c>
      <c r="P36" s="33" t="s">
        <v>824</v>
      </c>
      <c r="R36" t="e">
        <f t="shared" si="2"/>
        <v>#REF!</v>
      </c>
      <c r="S36" t="e">
        <f>"'"&amp;B36&amp;"','"&amp;D36&amp;"','"&amp;E36&amp;"','"&amp;F36&amp;"','"&amp;G36&amp;"','"&amp;H36&amp;"','"&amp;I36&amp;"','"&amp;J36&amp;"','"&amp;K36&amp;"','"&amp;#REF!&amp;"','"&amp;#REF!&amp;"','"&amp;L36&amp;"','"&amp;O36&amp;"','"&amp;P36&amp;"'"</f>
        <v>#REF!</v>
      </c>
      <c r="T36" t="s">
        <v>226</v>
      </c>
      <c r="V36" t="str">
        <f t="shared" si="1"/>
        <v>(NULL,"Mr.","Lagdaan","John Ardy","P.","Male","1997-05-04","San Pedro, Laguna","#23 Maharlika St.","Brgy. Magsaysay","City of San Pedro","Laguna","4056","sad@gmail.com","09123123321"),</v>
      </c>
      <c r="W36" t="str">
        <f>TextJoin(tblPersons[[#This Row],[Title]:[ContactNo]],"Value")</f>
        <v>"Mr.","Lagdaan","John Ardy","P.","Male","1997-05-04","San Pedro, Laguna","#23 Maharlika St.","Brgy. Magsaysay","City of San Pedro","Laguna","4056","sad@gmail.com","09123123321"</v>
      </c>
    </row>
    <row r="37" spans="2:23" hidden="1" x14ac:dyDescent="0.25">
      <c r="B37">
        <v>35</v>
      </c>
      <c r="C37" t="str">
        <f>IF(tblPersons[[#This Row],[Sex]]="Male","Mr.","Ms.")</f>
        <v>Ms.</v>
      </c>
      <c r="D37" t="s">
        <v>117</v>
      </c>
      <c r="E37" t="s">
        <v>118</v>
      </c>
      <c r="F37" t="s">
        <v>72</v>
      </c>
      <c r="G37" t="s">
        <v>264</v>
      </c>
      <c r="H37" s="32">
        <v>35555</v>
      </c>
      <c r="I37" t="s">
        <v>818</v>
      </c>
      <c r="J37" t="s">
        <v>819</v>
      </c>
      <c r="K37" t="s">
        <v>820</v>
      </c>
      <c r="L37" t="s">
        <v>821</v>
      </c>
      <c r="M37" t="s">
        <v>822</v>
      </c>
      <c r="N37">
        <v>4057</v>
      </c>
      <c r="O37" t="s">
        <v>823</v>
      </c>
      <c r="P37" s="33" t="s">
        <v>824</v>
      </c>
      <c r="R37" t="e">
        <f t="shared" si="2"/>
        <v>#REF!</v>
      </c>
      <c r="S37" t="e">
        <f>"'"&amp;B37&amp;"','"&amp;D37&amp;"','"&amp;E37&amp;"','"&amp;F37&amp;"','"&amp;G37&amp;"','"&amp;H37&amp;"','"&amp;I37&amp;"','"&amp;J37&amp;"','"&amp;K37&amp;"','"&amp;#REF!&amp;"','"&amp;#REF!&amp;"','"&amp;L37&amp;"','"&amp;O37&amp;"','"&amp;P37&amp;"'"</f>
        <v>#REF!</v>
      </c>
      <c r="T37" t="s">
        <v>227</v>
      </c>
      <c r="V37" t="str">
        <f t="shared" si="1"/>
        <v>(NULL,"Ms.","Latayan","Regina Shane","S.","Female","1997-05-05","San Pedro, Laguna","#23 Maharlika St.","Brgy. Magsaysay","City of San Pedro","Laguna","4057","sad@gmail.com","09123123321"),</v>
      </c>
      <c r="W37" t="str">
        <f>TextJoin(tblPersons[[#This Row],[Title]:[ContactNo]],"Value")</f>
        <v>"Ms.","Latayan","Regina Shane","S.","Female","1997-05-05","San Pedro, Laguna","#23 Maharlika St.","Brgy. Magsaysay","City of San Pedro","Laguna","4057","sad@gmail.com","09123123321"</v>
      </c>
    </row>
    <row r="38" spans="2:23" hidden="1" x14ac:dyDescent="0.25">
      <c r="B38">
        <v>36</v>
      </c>
      <c r="C38" t="str">
        <f>IF(tblPersons[[#This Row],[Sex]]="Male","Mr.","Ms.")</f>
        <v>Mr.</v>
      </c>
      <c r="D38" t="s">
        <v>119</v>
      </c>
      <c r="E38" t="s">
        <v>120</v>
      </c>
      <c r="F38" t="s">
        <v>75</v>
      </c>
      <c r="G38" t="s">
        <v>263</v>
      </c>
      <c r="H38" s="32">
        <v>35556</v>
      </c>
      <c r="I38" t="s">
        <v>818</v>
      </c>
      <c r="J38" t="s">
        <v>819</v>
      </c>
      <c r="K38" t="s">
        <v>820</v>
      </c>
      <c r="L38" t="s">
        <v>821</v>
      </c>
      <c r="M38" t="s">
        <v>822</v>
      </c>
      <c r="N38">
        <v>4058</v>
      </c>
      <c r="O38" t="s">
        <v>823</v>
      </c>
      <c r="P38" s="33" t="s">
        <v>824</v>
      </c>
      <c r="R38" t="e">
        <f t="shared" si="2"/>
        <v>#REF!</v>
      </c>
      <c r="S38" t="e">
        <f>"'"&amp;B38&amp;"','"&amp;D38&amp;"','"&amp;E38&amp;"','"&amp;F38&amp;"','"&amp;G38&amp;"','"&amp;H38&amp;"','"&amp;I38&amp;"','"&amp;J38&amp;"','"&amp;K38&amp;"','"&amp;#REF!&amp;"','"&amp;#REF!&amp;"','"&amp;L38&amp;"','"&amp;O38&amp;"','"&amp;P38&amp;"'"</f>
        <v>#REF!</v>
      </c>
      <c r="T38" t="s">
        <v>228</v>
      </c>
      <c r="V38" t="str">
        <f t="shared" si="1"/>
        <v>(NULL,"Mr.","Libutan","Johnvert","L.","Male","1997-05-06","San Pedro, Laguna","#23 Maharlika St.","Brgy. Magsaysay","City of San Pedro","Laguna","4058","sad@gmail.com","09123123321"),</v>
      </c>
      <c r="W38" t="str">
        <f>TextJoin(tblPersons[[#This Row],[Title]:[ContactNo]],"Value")</f>
        <v>"Mr.","Libutan","Johnvert","L.","Male","1997-05-06","San Pedro, Laguna","#23 Maharlika St.","Brgy. Magsaysay","City of San Pedro","Laguna","4058","sad@gmail.com","09123123321"</v>
      </c>
    </row>
    <row r="39" spans="2:23" x14ac:dyDescent="0.25">
      <c r="B39">
        <v>37</v>
      </c>
      <c r="C39" t="str">
        <f>IF(tblPersons[[#This Row],[Sex]]="Male","Mr.","Ms.")</f>
        <v>Ms.</v>
      </c>
      <c r="D39" t="s">
        <v>121</v>
      </c>
      <c r="E39" t="s">
        <v>122</v>
      </c>
      <c r="F39" t="s">
        <v>123</v>
      </c>
      <c r="G39" t="s">
        <v>264</v>
      </c>
      <c r="H39" s="32">
        <v>35557</v>
      </c>
      <c r="I39" t="s">
        <v>818</v>
      </c>
      <c r="J39" t="s">
        <v>819</v>
      </c>
      <c r="K39" t="s">
        <v>820</v>
      </c>
      <c r="L39" t="s">
        <v>821</v>
      </c>
      <c r="M39" t="s">
        <v>822</v>
      </c>
      <c r="N39">
        <v>4059</v>
      </c>
      <c r="O39" t="s">
        <v>823</v>
      </c>
      <c r="P39" s="33" t="s">
        <v>824</v>
      </c>
      <c r="R39" t="e">
        <f t="shared" si="2"/>
        <v>#REF!</v>
      </c>
      <c r="S39" t="e">
        <f>"'"&amp;B39&amp;"','"&amp;D39&amp;"','"&amp;E39&amp;"','"&amp;F39&amp;"','"&amp;G39&amp;"','"&amp;H39&amp;"','"&amp;I39&amp;"','"&amp;J39&amp;"','"&amp;K39&amp;"','"&amp;#REF!&amp;"','"&amp;#REF!&amp;"','"&amp;L39&amp;"','"&amp;O39&amp;"','"&amp;P39&amp;"'"</f>
        <v>#REF!</v>
      </c>
      <c r="T39" t="s">
        <v>229</v>
      </c>
      <c r="V39" t="str">
        <f t="shared" si="1"/>
        <v>(NULL,"Ms.","Manalili","AJ","O.","Female","1997-05-07","San Pedro, Laguna","#23 Maharlika St.","Brgy. Magsaysay","City of San Pedro","Laguna","4059","sad@gmail.com","09123123321"),</v>
      </c>
      <c r="W39" t="str">
        <f>TextJoin(tblPersons[[#This Row],[Title]:[ContactNo]],"Value")</f>
        <v>"Ms.","Manalili","AJ","O.","Female","1997-05-07","San Pedro, Laguna","#23 Maharlika St.","Brgy. Magsaysay","City of San Pedro","Laguna","4059","sad@gmail.com","09123123321"</v>
      </c>
    </row>
    <row r="40" spans="2:23" hidden="1" x14ac:dyDescent="0.25">
      <c r="B40">
        <v>38</v>
      </c>
      <c r="C40" t="str">
        <f>IF(tblPersons[[#This Row],[Sex]]="Male","Mr.","Ms.")</f>
        <v>Mr.</v>
      </c>
      <c r="D40" t="s">
        <v>124</v>
      </c>
      <c r="E40" t="s">
        <v>125</v>
      </c>
      <c r="F40" t="s">
        <v>84</v>
      </c>
      <c r="G40" t="s">
        <v>263</v>
      </c>
      <c r="H40" s="32">
        <v>35558</v>
      </c>
      <c r="I40" t="s">
        <v>818</v>
      </c>
      <c r="J40" t="s">
        <v>819</v>
      </c>
      <c r="K40" t="s">
        <v>820</v>
      </c>
      <c r="L40" t="s">
        <v>821</v>
      </c>
      <c r="M40" t="s">
        <v>822</v>
      </c>
      <c r="N40">
        <v>4060</v>
      </c>
      <c r="O40" t="s">
        <v>823</v>
      </c>
      <c r="P40" s="33" t="s">
        <v>824</v>
      </c>
      <c r="R40" t="e">
        <f t="shared" si="2"/>
        <v>#REF!</v>
      </c>
      <c r="S40" t="e">
        <f>"'"&amp;B40&amp;"','"&amp;D40&amp;"','"&amp;E40&amp;"','"&amp;F40&amp;"','"&amp;G40&amp;"','"&amp;H40&amp;"','"&amp;I40&amp;"','"&amp;J40&amp;"','"&amp;K40&amp;"','"&amp;#REF!&amp;"','"&amp;#REF!&amp;"','"&amp;L40&amp;"','"&amp;O40&amp;"','"&amp;P40&amp;"'"</f>
        <v>#REF!</v>
      </c>
      <c r="T40" t="s">
        <v>230</v>
      </c>
      <c r="V40" t="str">
        <f t="shared" si="1"/>
        <v>(NULL,"Mr.","Mancia","Edmar","B.","Male","1997-05-08","San Pedro, Laguna","#23 Maharlika St.","Brgy. Magsaysay","City of San Pedro","Laguna","4060","sad@gmail.com","09123123321"),</v>
      </c>
      <c r="W40" t="str">
        <f>TextJoin(tblPersons[[#This Row],[Title]:[ContactNo]],"Value")</f>
        <v>"Mr.","Mancia","Edmar","B.","Male","1997-05-08","San Pedro, Laguna","#23 Maharlika St.","Brgy. Magsaysay","City of San Pedro","Laguna","4060","sad@gmail.com","09123123321"</v>
      </c>
    </row>
    <row r="41" spans="2:23" hidden="1" x14ac:dyDescent="0.25">
      <c r="B41">
        <v>39</v>
      </c>
      <c r="C41" t="str">
        <f>IF(tblPersons[[#This Row],[Sex]]="Male","Mr.","Ms.")</f>
        <v>Mr.</v>
      </c>
      <c r="D41" t="s">
        <v>126</v>
      </c>
      <c r="E41" t="s">
        <v>127</v>
      </c>
      <c r="F41" t="s">
        <v>43</v>
      </c>
      <c r="G41" t="s">
        <v>263</v>
      </c>
      <c r="H41" s="32">
        <v>35559</v>
      </c>
      <c r="I41" t="s">
        <v>818</v>
      </c>
      <c r="J41" t="s">
        <v>819</v>
      </c>
      <c r="K41" t="s">
        <v>820</v>
      </c>
      <c r="L41" t="s">
        <v>821</v>
      </c>
      <c r="M41" t="s">
        <v>822</v>
      </c>
      <c r="N41">
        <v>4061</v>
      </c>
      <c r="O41" t="s">
        <v>823</v>
      </c>
      <c r="P41" s="33" t="s">
        <v>824</v>
      </c>
      <c r="R41" t="e">
        <f t="shared" si="2"/>
        <v>#REF!</v>
      </c>
      <c r="S41" t="e">
        <f>"'"&amp;B41&amp;"','"&amp;D41&amp;"','"&amp;E41&amp;"','"&amp;F41&amp;"','"&amp;G41&amp;"','"&amp;H41&amp;"','"&amp;I41&amp;"','"&amp;J41&amp;"','"&amp;K41&amp;"','"&amp;#REF!&amp;"','"&amp;#REF!&amp;"','"&amp;L41&amp;"','"&amp;O41&amp;"','"&amp;P41&amp;"'"</f>
        <v>#REF!</v>
      </c>
      <c r="T41" t="s">
        <v>231</v>
      </c>
      <c r="V41" t="str">
        <f t="shared" si="1"/>
        <v>(NULL,"Mr.","Medalla","Patrick Paul","M.","Male","1997-05-09","San Pedro, Laguna","#23 Maharlika St.","Brgy. Magsaysay","City of San Pedro","Laguna","4061","sad@gmail.com","09123123321"),</v>
      </c>
      <c r="W41" t="str">
        <f>TextJoin(tblPersons[[#This Row],[Title]:[ContactNo]],"Value")</f>
        <v>"Mr.","Medalla","Patrick Paul","M.","Male","1997-05-09","San Pedro, Laguna","#23 Maharlika St.","Brgy. Magsaysay","City of San Pedro","Laguna","4061","sad@gmail.com","09123123321"</v>
      </c>
    </row>
    <row r="42" spans="2:23" hidden="1" x14ac:dyDescent="0.25">
      <c r="B42">
        <v>40</v>
      </c>
      <c r="C42" t="str">
        <f>IF(tblPersons[[#This Row],[Sex]]="Male","Mr.","Ms.")</f>
        <v>Ms.</v>
      </c>
      <c r="D42" t="s">
        <v>128</v>
      </c>
      <c r="E42" t="s">
        <v>129</v>
      </c>
      <c r="F42" t="s">
        <v>130</v>
      </c>
      <c r="G42" t="s">
        <v>264</v>
      </c>
      <c r="H42" s="32">
        <v>35560</v>
      </c>
      <c r="I42" t="s">
        <v>818</v>
      </c>
      <c r="J42" t="s">
        <v>819</v>
      </c>
      <c r="K42" t="s">
        <v>820</v>
      </c>
      <c r="L42" t="s">
        <v>821</v>
      </c>
      <c r="M42" t="s">
        <v>822</v>
      </c>
      <c r="N42">
        <v>4062</v>
      </c>
      <c r="O42" t="s">
        <v>823</v>
      </c>
      <c r="P42" s="33" t="s">
        <v>824</v>
      </c>
      <c r="R42" t="e">
        <f t="shared" si="2"/>
        <v>#REF!</v>
      </c>
      <c r="S42" t="e">
        <f>"'"&amp;B42&amp;"','"&amp;D42&amp;"','"&amp;E42&amp;"','"&amp;F42&amp;"','"&amp;G42&amp;"','"&amp;H42&amp;"','"&amp;I42&amp;"','"&amp;J42&amp;"','"&amp;K42&amp;"','"&amp;#REF!&amp;"','"&amp;#REF!&amp;"','"&amp;L42&amp;"','"&amp;O42&amp;"','"&amp;P42&amp;"'"</f>
        <v>#REF!</v>
      </c>
      <c r="T42" t="s">
        <v>232</v>
      </c>
      <c r="V42" t="str">
        <f t="shared" si="1"/>
        <v>(NULL,"Ms.","Mendoza","Kyla Louisse","A","Female","1997-05-10","San Pedro, Laguna","#23 Maharlika St.","Brgy. Magsaysay","City of San Pedro","Laguna","4062","sad@gmail.com","09123123321"),</v>
      </c>
      <c r="W42" t="str">
        <f>TextJoin(tblPersons[[#This Row],[Title]:[ContactNo]],"Value")</f>
        <v>"Ms.","Mendoza","Kyla Louisse","A","Female","1997-05-10","San Pedro, Laguna","#23 Maharlika St.","Brgy. Magsaysay","City of San Pedro","Laguna","4062","sad@gmail.com","09123123321"</v>
      </c>
    </row>
    <row r="43" spans="2:23" hidden="1" x14ac:dyDescent="0.25">
      <c r="B43">
        <v>41</v>
      </c>
      <c r="C43" t="str">
        <f>IF(tblPersons[[#This Row],[Sex]]="Male","Mr.","Ms.")</f>
        <v>Mr.</v>
      </c>
      <c r="D43" t="s">
        <v>128</v>
      </c>
      <c r="E43" t="s">
        <v>131</v>
      </c>
      <c r="F43" t="s">
        <v>75</v>
      </c>
      <c r="G43" t="s">
        <v>263</v>
      </c>
      <c r="H43" s="32">
        <v>35561</v>
      </c>
      <c r="I43" t="s">
        <v>818</v>
      </c>
      <c r="J43" t="s">
        <v>819</v>
      </c>
      <c r="K43" t="s">
        <v>820</v>
      </c>
      <c r="L43" t="s">
        <v>821</v>
      </c>
      <c r="M43" t="s">
        <v>822</v>
      </c>
      <c r="N43">
        <v>4063</v>
      </c>
      <c r="O43" t="s">
        <v>823</v>
      </c>
      <c r="P43" s="33" t="s">
        <v>824</v>
      </c>
      <c r="R43" t="e">
        <f t="shared" si="2"/>
        <v>#REF!</v>
      </c>
      <c r="S43" t="e">
        <f>"'"&amp;B43&amp;"','"&amp;D43&amp;"','"&amp;E43&amp;"','"&amp;F43&amp;"','"&amp;G43&amp;"','"&amp;H43&amp;"','"&amp;I43&amp;"','"&amp;J43&amp;"','"&amp;K43&amp;"','"&amp;#REF!&amp;"','"&amp;#REF!&amp;"','"&amp;L43&amp;"','"&amp;O43&amp;"','"&amp;P43&amp;"'"</f>
        <v>#REF!</v>
      </c>
      <c r="T43" t="s">
        <v>233</v>
      </c>
      <c r="V43" t="str">
        <f t="shared" si="1"/>
        <v>(NULL,"Mr.","Mendoza","Nikko","L.","Male","1997-05-11","San Pedro, Laguna","#23 Maharlika St.","Brgy. Magsaysay","City of San Pedro","Laguna","4063","sad@gmail.com","09123123321"),</v>
      </c>
      <c r="W43" t="str">
        <f>TextJoin(tblPersons[[#This Row],[Title]:[ContactNo]],"Value")</f>
        <v>"Mr.","Mendoza","Nikko","L.","Male","1997-05-11","San Pedro, Laguna","#23 Maharlika St.","Brgy. Magsaysay","City of San Pedro","Laguna","4063","sad@gmail.com","09123123321"</v>
      </c>
    </row>
    <row r="44" spans="2:23" hidden="1" x14ac:dyDescent="0.25">
      <c r="B44">
        <v>42</v>
      </c>
      <c r="C44" t="str">
        <f>IF(tblPersons[[#This Row],[Sex]]="Male","Mr.","Ms.")</f>
        <v>Mr.</v>
      </c>
      <c r="D44" t="s">
        <v>132</v>
      </c>
      <c r="E44" t="s">
        <v>133</v>
      </c>
      <c r="F44" t="s">
        <v>134</v>
      </c>
      <c r="G44" t="s">
        <v>263</v>
      </c>
      <c r="H44" s="32">
        <v>35562</v>
      </c>
      <c r="I44" t="s">
        <v>818</v>
      </c>
      <c r="J44" t="s">
        <v>819</v>
      </c>
      <c r="K44" t="s">
        <v>820</v>
      </c>
      <c r="L44" t="s">
        <v>821</v>
      </c>
      <c r="M44" t="s">
        <v>822</v>
      </c>
      <c r="N44">
        <v>4064</v>
      </c>
      <c r="O44" t="s">
        <v>823</v>
      </c>
      <c r="P44" s="33" t="s">
        <v>824</v>
      </c>
      <c r="R44" t="e">
        <f t="shared" si="2"/>
        <v>#REF!</v>
      </c>
      <c r="S44" t="e">
        <f>"'"&amp;B44&amp;"','"&amp;D44&amp;"','"&amp;E44&amp;"','"&amp;F44&amp;"','"&amp;G44&amp;"','"&amp;H44&amp;"','"&amp;I44&amp;"','"&amp;J44&amp;"','"&amp;K44&amp;"','"&amp;#REF!&amp;"','"&amp;#REF!&amp;"','"&amp;L44&amp;"','"&amp;O44&amp;"','"&amp;P44&amp;"'"</f>
        <v>#REF!</v>
      </c>
      <c r="T44" t="s">
        <v>234</v>
      </c>
      <c r="V44" t="str">
        <f t="shared" si="1"/>
        <v>(NULL,"Mr.","Montaño Jr.","Oscar","Z.","Male","1997-05-12","San Pedro, Laguna","#23 Maharlika St.","Brgy. Magsaysay","City of San Pedro","Laguna","4064","sad@gmail.com","09123123321"),</v>
      </c>
      <c r="W44" t="str">
        <f>TextJoin(tblPersons[[#This Row],[Title]:[ContactNo]],"Value")</f>
        <v>"Mr.","Montaño Jr.","Oscar","Z.","Male","1997-05-12","San Pedro, Laguna","#23 Maharlika St.","Brgy. Magsaysay","City of San Pedro","Laguna","4064","sad@gmail.com","09123123321"</v>
      </c>
    </row>
    <row r="45" spans="2:23" hidden="1" x14ac:dyDescent="0.25">
      <c r="B45">
        <v>43</v>
      </c>
      <c r="C45" t="str">
        <f>IF(tblPersons[[#This Row],[Sex]]="Male","Mr.","Ms.")</f>
        <v>Ms.</v>
      </c>
      <c r="D45" t="s">
        <v>135</v>
      </c>
      <c r="E45" t="s">
        <v>136</v>
      </c>
      <c r="F45" t="s">
        <v>81</v>
      </c>
      <c r="G45" t="s">
        <v>264</v>
      </c>
      <c r="H45" s="32">
        <v>35563</v>
      </c>
      <c r="I45" t="s">
        <v>818</v>
      </c>
      <c r="J45" t="s">
        <v>819</v>
      </c>
      <c r="K45" t="s">
        <v>820</v>
      </c>
      <c r="L45" t="s">
        <v>821</v>
      </c>
      <c r="M45" t="s">
        <v>822</v>
      </c>
      <c r="N45">
        <v>4065</v>
      </c>
      <c r="O45" t="s">
        <v>823</v>
      </c>
      <c r="P45" s="33" t="s">
        <v>824</v>
      </c>
      <c r="R45" t="e">
        <f t="shared" si="2"/>
        <v>#REF!</v>
      </c>
      <c r="S45" t="e">
        <f>"'"&amp;B45&amp;"','"&amp;D45&amp;"','"&amp;E45&amp;"','"&amp;F45&amp;"','"&amp;G45&amp;"','"&amp;H45&amp;"','"&amp;I45&amp;"','"&amp;J45&amp;"','"&amp;K45&amp;"','"&amp;#REF!&amp;"','"&amp;#REF!&amp;"','"&amp;L45&amp;"','"&amp;O45&amp;"','"&amp;P45&amp;"'"</f>
        <v>#REF!</v>
      </c>
      <c r="T45" t="s">
        <v>235</v>
      </c>
      <c r="V45" t="str">
        <f t="shared" si="1"/>
        <v>(NULL,"Ms.","Nadong","April Ann","C.","Female","1997-05-13","San Pedro, Laguna","#23 Maharlika St.","Brgy. Magsaysay","City of San Pedro","Laguna","4065","sad@gmail.com","09123123321"),</v>
      </c>
      <c r="W45" t="str">
        <f>TextJoin(tblPersons[[#This Row],[Title]:[ContactNo]],"Value")</f>
        <v>"Ms.","Nadong","April Ann","C.","Female","1997-05-13","San Pedro, Laguna","#23 Maharlika St.","Brgy. Magsaysay","City of San Pedro","Laguna","4065","sad@gmail.com","09123123321"</v>
      </c>
    </row>
    <row r="46" spans="2:23" hidden="1" x14ac:dyDescent="0.25">
      <c r="B46">
        <v>44</v>
      </c>
      <c r="C46" t="str">
        <f>IF(tblPersons[[#This Row],[Sex]]="Male","Mr.","Ms.")</f>
        <v>Mr.</v>
      </c>
      <c r="D46" t="s">
        <v>137</v>
      </c>
      <c r="E46" t="s">
        <v>138</v>
      </c>
      <c r="F46" t="s">
        <v>123</v>
      </c>
      <c r="G46" t="s">
        <v>263</v>
      </c>
      <c r="H46" s="32">
        <v>35564</v>
      </c>
      <c r="I46" t="s">
        <v>818</v>
      </c>
      <c r="J46" t="s">
        <v>819</v>
      </c>
      <c r="K46" t="s">
        <v>820</v>
      </c>
      <c r="L46" t="s">
        <v>821</v>
      </c>
      <c r="M46" t="s">
        <v>822</v>
      </c>
      <c r="N46">
        <v>4066</v>
      </c>
      <c r="O46" t="s">
        <v>823</v>
      </c>
      <c r="P46" s="33" t="s">
        <v>824</v>
      </c>
      <c r="R46" t="e">
        <f t="shared" si="2"/>
        <v>#REF!</v>
      </c>
      <c r="S46" t="e">
        <f>"'"&amp;B46&amp;"','"&amp;D46&amp;"','"&amp;E46&amp;"','"&amp;F46&amp;"','"&amp;G46&amp;"','"&amp;H46&amp;"','"&amp;I46&amp;"','"&amp;J46&amp;"','"&amp;K46&amp;"','"&amp;#REF!&amp;"','"&amp;#REF!&amp;"','"&amp;L46&amp;"','"&amp;O46&amp;"','"&amp;P46&amp;"'"</f>
        <v>#REF!</v>
      </c>
      <c r="T46" t="s">
        <v>236</v>
      </c>
      <c r="V46" t="str">
        <f t="shared" si="1"/>
        <v>(NULL,"Mr.","Odicta","John Lester","O.","Male","1997-05-14","San Pedro, Laguna","#23 Maharlika St.","Brgy. Magsaysay","City of San Pedro","Laguna","4066","sad@gmail.com","09123123321"),</v>
      </c>
      <c r="W46" t="str">
        <f>TextJoin(tblPersons[[#This Row],[Title]:[ContactNo]],"Value")</f>
        <v>"Mr.","Odicta","John Lester","O.","Male","1997-05-14","San Pedro, Laguna","#23 Maharlika St.","Brgy. Magsaysay","City of San Pedro","Laguna","4066","sad@gmail.com","09123123321"</v>
      </c>
    </row>
    <row r="47" spans="2:23" hidden="1" x14ac:dyDescent="0.25">
      <c r="B47">
        <v>45</v>
      </c>
      <c r="C47" t="str">
        <f>IF(tblPersons[[#This Row],[Sex]]="Male","Mr.","Ms.")</f>
        <v>Ms.</v>
      </c>
      <c r="D47" t="s">
        <v>139</v>
      </c>
      <c r="E47" t="s">
        <v>140</v>
      </c>
      <c r="F47" t="s">
        <v>43</v>
      </c>
      <c r="G47" t="s">
        <v>264</v>
      </c>
      <c r="H47" s="32">
        <v>35565</v>
      </c>
      <c r="I47" t="s">
        <v>818</v>
      </c>
      <c r="J47" t="s">
        <v>819</v>
      </c>
      <c r="K47" t="s">
        <v>820</v>
      </c>
      <c r="L47" t="s">
        <v>821</v>
      </c>
      <c r="M47" t="s">
        <v>822</v>
      </c>
      <c r="N47">
        <v>4067</v>
      </c>
      <c r="O47" t="s">
        <v>823</v>
      </c>
      <c r="P47" s="33" t="s">
        <v>824</v>
      </c>
      <c r="R47" t="e">
        <f t="shared" si="2"/>
        <v>#REF!</v>
      </c>
      <c r="S47" t="e">
        <f>"'"&amp;B47&amp;"','"&amp;D47&amp;"','"&amp;E47&amp;"','"&amp;F47&amp;"','"&amp;G47&amp;"','"&amp;H47&amp;"','"&amp;I47&amp;"','"&amp;J47&amp;"','"&amp;K47&amp;"','"&amp;#REF!&amp;"','"&amp;#REF!&amp;"','"&amp;L47&amp;"','"&amp;O47&amp;"','"&amp;P47&amp;"'"</f>
        <v>#REF!</v>
      </c>
      <c r="T47" t="s">
        <v>237</v>
      </c>
      <c r="V47" t="str">
        <f t="shared" si="1"/>
        <v>(NULL,"Ms.","Olores","Jessa","M.","Female","1997-05-15","San Pedro, Laguna","#23 Maharlika St.","Brgy. Magsaysay","City of San Pedro","Laguna","4067","sad@gmail.com","09123123321"),</v>
      </c>
      <c r="W47" t="str">
        <f>TextJoin(tblPersons[[#This Row],[Title]:[ContactNo]],"Value")</f>
        <v>"Ms.","Olores","Jessa","M.","Female","1997-05-15","San Pedro, Laguna","#23 Maharlika St.","Brgy. Magsaysay","City of San Pedro","Laguna","4067","sad@gmail.com","09123123321"</v>
      </c>
    </row>
    <row r="48" spans="2:23" hidden="1" x14ac:dyDescent="0.25">
      <c r="B48">
        <v>46</v>
      </c>
      <c r="C48" t="str">
        <f>IF(tblPersons[[#This Row],[Sex]]="Male","Mr.","Ms.")</f>
        <v>Mr.</v>
      </c>
      <c r="D48" t="s">
        <v>141</v>
      </c>
      <c r="E48" t="s">
        <v>142</v>
      </c>
      <c r="F48" t="s">
        <v>93</v>
      </c>
      <c r="G48" t="s">
        <v>263</v>
      </c>
      <c r="H48" s="32">
        <v>35566</v>
      </c>
      <c r="I48" t="s">
        <v>818</v>
      </c>
      <c r="J48" t="s">
        <v>819</v>
      </c>
      <c r="K48" t="s">
        <v>820</v>
      </c>
      <c r="L48" t="s">
        <v>821</v>
      </c>
      <c r="M48" t="s">
        <v>822</v>
      </c>
      <c r="N48">
        <v>4068</v>
      </c>
      <c r="O48" t="s">
        <v>823</v>
      </c>
      <c r="P48" s="33" t="s">
        <v>824</v>
      </c>
      <c r="R48" t="e">
        <f t="shared" si="2"/>
        <v>#REF!</v>
      </c>
      <c r="S48" t="e">
        <f>"'"&amp;B48&amp;"','"&amp;D48&amp;"','"&amp;E48&amp;"','"&amp;F48&amp;"','"&amp;G48&amp;"','"&amp;H48&amp;"','"&amp;I48&amp;"','"&amp;J48&amp;"','"&amp;K48&amp;"','"&amp;#REF!&amp;"','"&amp;#REF!&amp;"','"&amp;L48&amp;"','"&amp;O48&amp;"','"&amp;P48&amp;"'"</f>
        <v>#REF!</v>
      </c>
      <c r="T48" t="s">
        <v>238</v>
      </c>
      <c r="V48" t="str">
        <f t="shared" si="1"/>
        <v>(NULL,"Mr.","Ones","Jonmarck","F.","Male","1997-05-16","San Pedro, Laguna","#23 Maharlika St.","Brgy. Magsaysay","City of San Pedro","Laguna","4068","sad@gmail.com","09123123321"),</v>
      </c>
      <c r="W48" t="str">
        <f>TextJoin(tblPersons[[#This Row],[Title]:[ContactNo]],"Value")</f>
        <v>"Mr.","Ones","Jonmarck","F.","Male","1997-05-16","San Pedro, Laguna","#23 Maharlika St.","Brgy. Magsaysay","City of San Pedro","Laguna","4068","sad@gmail.com","09123123321"</v>
      </c>
    </row>
    <row r="49" spans="2:23" x14ac:dyDescent="0.25">
      <c r="B49">
        <v>47</v>
      </c>
      <c r="C49" t="str">
        <f>IF(tblPersons[[#This Row],[Sex]]="Male","Mr.","Ms.")</f>
        <v>Mr.</v>
      </c>
      <c r="D49" t="s">
        <v>143</v>
      </c>
      <c r="E49" t="s">
        <v>144</v>
      </c>
      <c r="F49" t="s">
        <v>43</v>
      </c>
      <c r="G49" t="s">
        <v>263</v>
      </c>
      <c r="H49" s="32">
        <v>35567</v>
      </c>
      <c r="I49" t="s">
        <v>818</v>
      </c>
      <c r="J49" t="s">
        <v>819</v>
      </c>
      <c r="K49" t="s">
        <v>820</v>
      </c>
      <c r="L49" t="s">
        <v>821</v>
      </c>
      <c r="M49" t="s">
        <v>822</v>
      </c>
      <c r="N49">
        <v>4069</v>
      </c>
      <c r="O49" t="s">
        <v>823</v>
      </c>
      <c r="P49" s="33" t="s">
        <v>824</v>
      </c>
      <c r="R49" t="e">
        <f t="shared" si="2"/>
        <v>#REF!</v>
      </c>
      <c r="S49" t="e">
        <f>"'"&amp;B49&amp;"','"&amp;D49&amp;"','"&amp;E49&amp;"','"&amp;F49&amp;"','"&amp;G49&amp;"','"&amp;H49&amp;"','"&amp;I49&amp;"','"&amp;J49&amp;"','"&amp;K49&amp;"','"&amp;#REF!&amp;"','"&amp;#REF!&amp;"','"&amp;L49&amp;"','"&amp;O49&amp;"','"&amp;P49&amp;"'"</f>
        <v>#REF!</v>
      </c>
      <c r="T49" t="s">
        <v>239</v>
      </c>
      <c r="V49" t="str">
        <f t="shared" si="1"/>
        <v>(NULL,"Mr.","Ornos","Dondon","M.","Male","1997-05-17","San Pedro, Laguna","#23 Maharlika St.","Brgy. Magsaysay","City of San Pedro","Laguna","4069","sad@gmail.com","09123123321"),</v>
      </c>
      <c r="W49" t="str">
        <f>TextJoin(tblPersons[[#This Row],[Title]:[ContactNo]],"Value")</f>
        <v>"Mr.","Ornos","Dondon","M.","Male","1997-05-17","San Pedro, Laguna","#23 Maharlika St.","Brgy. Magsaysay","City of San Pedro","Laguna","4069","sad@gmail.com","09123123321"</v>
      </c>
    </row>
    <row r="50" spans="2:23" hidden="1" x14ac:dyDescent="0.25">
      <c r="B50">
        <v>48</v>
      </c>
      <c r="C50" t="str">
        <f>IF(tblPersons[[#This Row],[Sex]]="Male","Mr.","Ms.")</f>
        <v>Mr.</v>
      </c>
      <c r="D50" t="s">
        <v>145</v>
      </c>
      <c r="E50" t="s">
        <v>146</v>
      </c>
      <c r="F50" t="s">
        <v>123</v>
      </c>
      <c r="G50" t="s">
        <v>263</v>
      </c>
      <c r="H50" s="32">
        <v>35568</v>
      </c>
      <c r="I50" t="s">
        <v>818</v>
      </c>
      <c r="J50" t="s">
        <v>819</v>
      </c>
      <c r="K50" t="s">
        <v>820</v>
      </c>
      <c r="L50" t="s">
        <v>821</v>
      </c>
      <c r="M50" t="s">
        <v>822</v>
      </c>
      <c r="N50">
        <v>4070</v>
      </c>
      <c r="O50" t="s">
        <v>823</v>
      </c>
      <c r="P50" s="33" t="s">
        <v>824</v>
      </c>
      <c r="R50" t="e">
        <f t="shared" si="2"/>
        <v>#REF!</v>
      </c>
      <c r="S50" t="e">
        <f>"'"&amp;B50&amp;"','"&amp;D50&amp;"','"&amp;E50&amp;"','"&amp;F50&amp;"','"&amp;G50&amp;"','"&amp;H50&amp;"','"&amp;I50&amp;"','"&amp;J50&amp;"','"&amp;K50&amp;"','"&amp;#REF!&amp;"','"&amp;#REF!&amp;"','"&amp;L50&amp;"','"&amp;O50&amp;"','"&amp;P50&amp;"'"</f>
        <v>#REF!</v>
      </c>
      <c r="T50" t="s">
        <v>240</v>
      </c>
      <c r="V50" t="str">
        <f t="shared" si="1"/>
        <v>(NULL,"Mr.","Pante","Ezekiel","O.","Male","1997-05-18","San Pedro, Laguna","#23 Maharlika St.","Brgy. Magsaysay","City of San Pedro","Laguna","4070","sad@gmail.com","09123123321"),</v>
      </c>
      <c r="W50" t="str">
        <f>TextJoin(tblPersons[[#This Row],[Title]:[ContactNo]],"Value")</f>
        <v>"Mr.","Pante","Ezekiel","O.","Male","1997-05-18","San Pedro, Laguna","#23 Maharlika St.","Brgy. Magsaysay","City of San Pedro","Laguna","4070","sad@gmail.com","09123123321"</v>
      </c>
    </row>
    <row r="51" spans="2:23" hidden="1" x14ac:dyDescent="0.25">
      <c r="B51">
        <v>49</v>
      </c>
      <c r="C51" t="str">
        <f>IF(tblPersons[[#This Row],[Sex]]="Male","Mr.","Ms.")</f>
        <v>Mr.</v>
      </c>
      <c r="D51" t="s">
        <v>147</v>
      </c>
      <c r="E51" t="s">
        <v>148</v>
      </c>
      <c r="F51" t="s">
        <v>149</v>
      </c>
      <c r="G51" t="s">
        <v>263</v>
      </c>
      <c r="H51" s="32">
        <v>35569</v>
      </c>
      <c r="I51" t="s">
        <v>818</v>
      </c>
      <c r="J51" t="s">
        <v>819</v>
      </c>
      <c r="K51" t="s">
        <v>820</v>
      </c>
      <c r="L51" t="s">
        <v>821</v>
      </c>
      <c r="M51" t="s">
        <v>822</v>
      </c>
      <c r="N51">
        <v>4071</v>
      </c>
      <c r="O51" t="s">
        <v>823</v>
      </c>
      <c r="P51" s="33" t="s">
        <v>824</v>
      </c>
      <c r="R51" t="e">
        <f t="shared" si="2"/>
        <v>#REF!</v>
      </c>
      <c r="S51" t="e">
        <f>"'"&amp;B51&amp;"','"&amp;D51&amp;"','"&amp;E51&amp;"','"&amp;F51&amp;"','"&amp;G51&amp;"','"&amp;H51&amp;"','"&amp;I51&amp;"','"&amp;J51&amp;"','"&amp;K51&amp;"','"&amp;#REF!&amp;"','"&amp;#REF!&amp;"','"&amp;L51&amp;"','"&amp;O51&amp;"','"&amp;P51&amp;"'"</f>
        <v>#REF!</v>
      </c>
      <c r="T51" t="s">
        <v>241</v>
      </c>
      <c r="V51" t="str">
        <f t="shared" si="1"/>
        <v>(NULL,"Mr.","Parcon","Jayson","E.","Male","1997-05-19","San Pedro, Laguna","#23 Maharlika St.","Brgy. Magsaysay","City of San Pedro","Laguna","4071","sad@gmail.com","09123123321"),</v>
      </c>
      <c r="W51" t="str">
        <f>TextJoin(tblPersons[[#This Row],[Title]:[ContactNo]],"Value")</f>
        <v>"Mr.","Parcon","Jayson","E.","Male","1997-05-19","San Pedro, Laguna","#23 Maharlika St.","Brgy. Magsaysay","City of San Pedro","Laguna","4071","sad@gmail.com","09123123321"</v>
      </c>
    </row>
    <row r="52" spans="2:23" hidden="1" x14ac:dyDescent="0.25">
      <c r="B52">
        <v>50</v>
      </c>
      <c r="C52" t="str">
        <f>IF(tblPersons[[#This Row],[Sex]]="Male","Mr.","Ms.")</f>
        <v>Ms.</v>
      </c>
      <c r="D52" t="s">
        <v>150</v>
      </c>
      <c r="E52" t="s">
        <v>86</v>
      </c>
      <c r="F52" t="s">
        <v>38</v>
      </c>
      <c r="G52" t="s">
        <v>264</v>
      </c>
      <c r="H52" s="32">
        <v>35570</v>
      </c>
      <c r="I52" t="s">
        <v>818</v>
      </c>
      <c r="J52" t="s">
        <v>819</v>
      </c>
      <c r="K52" t="s">
        <v>820</v>
      </c>
      <c r="L52" t="s">
        <v>821</v>
      </c>
      <c r="M52" t="s">
        <v>822</v>
      </c>
      <c r="N52">
        <v>4072</v>
      </c>
      <c r="O52" t="s">
        <v>823</v>
      </c>
      <c r="P52" s="33" t="s">
        <v>824</v>
      </c>
      <c r="R52" t="e">
        <f t="shared" si="2"/>
        <v>#REF!</v>
      </c>
      <c r="S52" t="e">
        <f>"'"&amp;B52&amp;"','"&amp;D52&amp;"','"&amp;E52&amp;"','"&amp;F52&amp;"','"&amp;G52&amp;"','"&amp;H52&amp;"','"&amp;I52&amp;"','"&amp;J52&amp;"','"&amp;K52&amp;"','"&amp;#REF!&amp;"','"&amp;#REF!&amp;"','"&amp;L52&amp;"','"&amp;O52&amp;"','"&amp;P52&amp;"'"</f>
        <v>#REF!</v>
      </c>
      <c r="T52" t="s">
        <v>242</v>
      </c>
      <c r="V52" t="str">
        <f t="shared" si="1"/>
        <v>(NULL,"Ms.","Pastoral","Angelica","R.","Female","1997-05-20","San Pedro, Laguna","#23 Maharlika St.","Brgy. Magsaysay","City of San Pedro","Laguna","4072","sad@gmail.com","09123123321"),</v>
      </c>
      <c r="W52" t="str">
        <f>TextJoin(tblPersons[[#This Row],[Title]:[ContactNo]],"Value")</f>
        <v>"Ms.","Pastoral","Angelica","R.","Female","1997-05-20","San Pedro, Laguna","#23 Maharlika St.","Brgy. Magsaysay","City of San Pedro","Laguna","4072","sad@gmail.com","09123123321"</v>
      </c>
    </row>
    <row r="53" spans="2:23" hidden="1" x14ac:dyDescent="0.25">
      <c r="B53">
        <v>51</v>
      </c>
      <c r="C53" t="str">
        <f>IF(tblPersons[[#This Row],[Sex]]="Male","Mr.","Ms.")</f>
        <v>Mr.</v>
      </c>
      <c r="D53" t="s">
        <v>151</v>
      </c>
      <c r="E53" t="s">
        <v>152</v>
      </c>
      <c r="F53" t="s">
        <v>43</v>
      </c>
      <c r="G53" t="s">
        <v>263</v>
      </c>
      <c r="H53" s="32">
        <v>35571</v>
      </c>
      <c r="I53" t="s">
        <v>818</v>
      </c>
      <c r="J53" t="s">
        <v>819</v>
      </c>
      <c r="K53" t="s">
        <v>820</v>
      </c>
      <c r="L53" t="s">
        <v>821</v>
      </c>
      <c r="M53" t="s">
        <v>822</v>
      </c>
      <c r="N53">
        <v>4073</v>
      </c>
      <c r="O53" t="s">
        <v>823</v>
      </c>
      <c r="P53" s="33" t="s">
        <v>824</v>
      </c>
      <c r="R53" t="e">
        <f t="shared" si="2"/>
        <v>#REF!</v>
      </c>
      <c r="S53" t="e">
        <f>"'"&amp;B53&amp;"','"&amp;D53&amp;"','"&amp;E53&amp;"','"&amp;F53&amp;"','"&amp;G53&amp;"','"&amp;H53&amp;"','"&amp;I53&amp;"','"&amp;J53&amp;"','"&amp;K53&amp;"','"&amp;#REF!&amp;"','"&amp;#REF!&amp;"','"&amp;L53&amp;"','"&amp;O53&amp;"','"&amp;P53&amp;"'"</f>
        <v>#REF!</v>
      </c>
      <c r="T53" t="s">
        <v>243</v>
      </c>
      <c r="V53" t="str">
        <f t="shared" si="1"/>
        <v>(NULL,"Mr.","Peña","Nathaniel","M.","Male","1997-05-21","San Pedro, Laguna","#23 Maharlika St.","Brgy. Magsaysay","City of San Pedro","Laguna","4073","sad@gmail.com","09123123321"),</v>
      </c>
      <c r="W53" t="str">
        <f>TextJoin(tblPersons[[#This Row],[Title]:[ContactNo]],"Value")</f>
        <v>"Mr.","Peña","Nathaniel","M.","Male","1997-05-21","San Pedro, Laguna","#23 Maharlika St.","Brgy. Magsaysay","City of San Pedro","Laguna","4073","sad@gmail.com","09123123321"</v>
      </c>
    </row>
    <row r="54" spans="2:23" hidden="1" x14ac:dyDescent="0.25">
      <c r="B54">
        <v>52</v>
      </c>
      <c r="C54" t="str">
        <f>IF(tblPersons[[#This Row],[Sex]]="Male","Mr.","Ms.")</f>
        <v>Mr.</v>
      </c>
      <c r="D54" t="s">
        <v>153</v>
      </c>
      <c r="E54" t="s">
        <v>154</v>
      </c>
      <c r="F54" t="s">
        <v>69</v>
      </c>
      <c r="G54" t="s">
        <v>263</v>
      </c>
      <c r="H54" s="32">
        <v>35572</v>
      </c>
      <c r="I54" t="s">
        <v>818</v>
      </c>
      <c r="J54" t="s">
        <v>819</v>
      </c>
      <c r="K54" t="s">
        <v>820</v>
      </c>
      <c r="L54" t="s">
        <v>821</v>
      </c>
      <c r="M54" t="s">
        <v>822</v>
      </c>
      <c r="N54">
        <v>4074</v>
      </c>
      <c r="O54" t="s">
        <v>823</v>
      </c>
      <c r="P54" s="33" t="s">
        <v>824</v>
      </c>
      <c r="R54" t="e">
        <f t="shared" si="2"/>
        <v>#REF!</v>
      </c>
      <c r="S54" t="e">
        <f>"'"&amp;B54&amp;"','"&amp;D54&amp;"','"&amp;E54&amp;"','"&amp;F54&amp;"','"&amp;G54&amp;"','"&amp;H54&amp;"','"&amp;I54&amp;"','"&amp;J54&amp;"','"&amp;K54&amp;"','"&amp;#REF!&amp;"','"&amp;#REF!&amp;"','"&amp;L54&amp;"','"&amp;O54&amp;"','"&amp;P54&amp;"'"</f>
        <v>#REF!</v>
      </c>
      <c r="T54" t="s">
        <v>244</v>
      </c>
      <c r="V54" t="str">
        <f t="shared" si="1"/>
        <v>(NULL,"Mr.","Pimentel","Vincent","I.","Male","1997-05-22","San Pedro, Laguna","#23 Maharlika St.","Brgy. Magsaysay","City of San Pedro","Laguna","4074","sad@gmail.com","09123123321"),</v>
      </c>
      <c r="W54" t="str">
        <f>TextJoin(tblPersons[[#This Row],[Title]:[ContactNo]],"Value")</f>
        <v>"Mr.","Pimentel","Vincent","I.","Male","1997-05-22","San Pedro, Laguna","#23 Maharlika St.","Brgy. Magsaysay","City of San Pedro","Laguna","4074","sad@gmail.com","09123123321"</v>
      </c>
    </row>
    <row r="55" spans="2:23" hidden="1" x14ac:dyDescent="0.25">
      <c r="B55">
        <v>53</v>
      </c>
      <c r="C55" t="str">
        <f>IF(tblPersons[[#This Row],[Sex]]="Male","Mr.","Ms.")</f>
        <v>Ms.</v>
      </c>
      <c r="D55" t="s">
        <v>155</v>
      </c>
      <c r="E55" t="s">
        <v>156</v>
      </c>
      <c r="F55" t="s">
        <v>112</v>
      </c>
      <c r="G55" t="s">
        <v>264</v>
      </c>
      <c r="H55" s="32">
        <v>35573</v>
      </c>
      <c r="I55" t="s">
        <v>818</v>
      </c>
      <c r="J55" t="s">
        <v>819</v>
      </c>
      <c r="K55" t="s">
        <v>820</v>
      </c>
      <c r="L55" t="s">
        <v>821</v>
      </c>
      <c r="M55" t="s">
        <v>822</v>
      </c>
      <c r="N55">
        <v>4075</v>
      </c>
      <c r="O55" t="s">
        <v>823</v>
      </c>
      <c r="P55" s="33" t="s">
        <v>824</v>
      </c>
      <c r="R55" t="e">
        <f t="shared" si="2"/>
        <v>#REF!</v>
      </c>
      <c r="S55" t="e">
        <f>"'"&amp;B55&amp;"','"&amp;D55&amp;"','"&amp;E55&amp;"','"&amp;F55&amp;"','"&amp;G55&amp;"','"&amp;H55&amp;"','"&amp;I55&amp;"','"&amp;J55&amp;"','"&amp;K55&amp;"','"&amp;#REF!&amp;"','"&amp;#REF!&amp;"','"&amp;L55&amp;"','"&amp;O55&amp;"','"&amp;P55&amp;"'"</f>
        <v>#REF!</v>
      </c>
      <c r="T55" t="s">
        <v>245</v>
      </c>
      <c r="V55" t="str">
        <f t="shared" si="1"/>
        <v>(NULL,"Ms.","Posada","Jasmin","G.","Female","1997-05-23","San Pedro, Laguna","#23 Maharlika St.","Brgy. Magsaysay","City of San Pedro","Laguna","4075","sad@gmail.com","09123123321"),</v>
      </c>
      <c r="W55" t="str">
        <f>TextJoin(tblPersons[[#This Row],[Title]:[ContactNo]],"Value")</f>
        <v>"Ms.","Posada","Jasmin","G.","Female","1997-05-23","San Pedro, Laguna","#23 Maharlika St.","Brgy. Magsaysay","City of San Pedro","Laguna","4075","sad@gmail.com","09123123321"</v>
      </c>
    </row>
    <row r="56" spans="2:23" hidden="1" x14ac:dyDescent="0.25">
      <c r="B56">
        <v>54</v>
      </c>
      <c r="C56" t="str">
        <f>IF(tblPersons[[#This Row],[Sex]]="Male","Mr.","Ms.")</f>
        <v>Mr.</v>
      </c>
      <c r="D56" t="s">
        <v>157</v>
      </c>
      <c r="E56" t="s">
        <v>158</v>
      </c>
      <c r="F56" t="s">
        <v>52</v>
      </c>
      <c r="G56" t="s">
        <v>263</v>
      </c>
      <c r="H56" s="32">
        <v>35574</v>
      </c>
      <c r="I56" t="s">
        <v>818</v>
      </c>
      <c r="J56" t="s">
        <v>819</v>
      </c>
      <c r="K56" t="s">
        <v>820</v>
      </c>
      <c r="L56" t="s">
        <v>821</v>
      </c>
      <c r="M56" t="s">
        <v>822</v>
      </c>
      <c r="N56">
        <v>4076</v>
      </c>
      <c r="O56" t="s">
        <v>823</v>
      </c>
      <c r="P56" s="33" t="s">
        <v>824</v>
      </c>
      <c r="R56" t="e">
        <f t="shared" si="2"/>
        <v>#REF!</v>
      </c>
      <c r="S56" t="e">
        <f>"'"&amp;B56&amp;"','"&amp;D56&amp;"','"&amp;E56&amp;"','"&amp;F56&amp;"','"&amp;G56&amp;"','"&amp;H56&amp;"','"&amp;I56&amp;"','"&amp;J56&amp;"','"&amp;K56&amp;"','"&amp;#REF!&amp;"','"&amp;#REF!&amp;"','"&amp;L56&amp;"','"&amp;O56&amp;"','"&amp;P56&amp;"'"</f>
        <v>#REF!</v>
      </c>
      <c r="T56" t="s">
        <v>246</v>
      </c>
      <c r="V56" t="str">
        <f t="shared" si="1"/>
        <v>(NULL,"Mr.","Quiachon","Willard","D.","Male","1997-05-24","San Pedro, Laguna","#23 Maharlika St.","Brgy. Magsaysay","City of San Pedro","Laguna","4076","sad@gmail.com","09123123321"),</v>
      </c>
      <c r="W56" t="str">
        <f>TextJoin(tblPersons[[#This Row],[Title]:[ContactNo]],"Value")</f>
        <v>"Mr.","Quiachon","Willard","D.","Male","1997-05-24","San Pedro, Laguna","#23 Maharlika St.","Brgy. Magsaysay","City of San Pedro","Laguna","4076","sad@gmail.com","09123123321"</v>
      </c>
    </row>
    <row r="57" spans="2:23" hidden="1" x14ac:dyDescent="0.25">
      <c r="B57">
        <v>55</v>
      </c>
      <c r="C57" t="str">
        <f>IF(tblPersons[[#This Row],[Sex]]="Male","Mr.","Ms.")</f>
        <v>Mr.</v>
      </c>
      <c r="D57" t="s">
        <v>159</v>
      </c>
      <c r="E57" t="s">
        <v>160</v>
      </c>
      <c r="F57" t="s">
        <v>47</v>
      </c>
      <c r="G57" t="s">
        <v>263</v>
      </c>
      <c r="H57" s="32">
        <v>35575</v>
      </c>
      <c r="I57" t="s">
        <v>818</v>
      </c>
      <c r="J57" t="s">
        <v>819</v>
      </c>
      <c r="K57" t="s">
        <v>820</v>
      </c>
      <c r="L57" t="s">
        <v>821</v>
      </c>
      <c r="M57" t="s">
        <v>822</v>
      </c>
      <c r="N57">
        <v>4077</v>
      </c>
      <c r="O57" t="s">
        <v>823</v>
      </c>
      <c r="P57" s="33" t="s">
        <v>824</v>
      </c>
      <c r="R57" t="e">
        <f t="shared" si="2"/>
        <v>#REF!</v>
      </c>
      <c r="S57" t="e">
        <f>"'"&amp;B57&amp;"','"&amp;D57&amp;"','"&amp;E57&amp;"','"&amp;F57&amp;"','"&amp;G57&amp;"','"&amp;H57&amp;"','"&amp;I57&amp;"','"&amp;J57&amp;"','"&amp;K57&amp;"','"&amp;#REF!&amp;"','"&amp;#REF!&amp;"','"&amp;L57&amp;"','"&amp;O57&amp;"','"&amp;P57&amp;"'"</f>
        <v>#REF!</v>
      </c>
      <c r="T57" t="s">
        <v>247</v>
      </c>
      <c r="V57" t="str">
        <f t="shared" si="1"/>
        <v>(NULL,"Mr.","Quimpo","Dexer","J.","Male","1997-05-25","San Pedro, Laguna","#23 Maharlika St.","Brgy. Magsaysay","City of San Pedro","Laguna","4077","sad@gmail.com","09123123321"),</v>
      </c>
      <c r="W57" t="str">
        <f>TextJoin(tblPersons[[#This Row],[Title]:[ContactNo]],"Value")</f>
        <v>"Mr.","Quimpo","Dexer","J.","Male","1997-05-25","San Pedro, Laguna","#23 Maharlika St.","Brgy. Magsaysay","City of San Pedro","Laguna","4077","sad@gmail.com","09123123321"</v>
      </c>
    </row>
    <row r="58" spans="2:23" hidden="1" x14ac:dyDescent="0.25">
      <c r="B58">
        <v>56</v>
      </c>
      <c r="C58" t="str">
        <f>IF(tblPersons[[#This Row],[Sex]]="Male","Mr.","Ms.")</f>
        <v>Mr.</v>
      </c>
      <c r="D58" t="s">
        <v>161</v>
      </c>
      <c r="E58" t="s">
        <v>162</v>
      </c>
      <c r="F58" t="s">
        <v>84</v>
      </c>
      <c r="G58" t="s">
        <v>263</v>
      </c>
      <c r="H58" s="32">
        <v>35576</v>
      </c>
      <c r="I58" t="s">
        <v>818</v>
      </c>
      <c r="J58" t="s">
        <v>819</v>
      </c>
      <c r="K58" t="s">
        <v>820</v>
      </c>
      <c r="L58" t="s">
        <v>821</v>
      </c>
      <c r="M58" t="s">
        <v>822</v>
      </c>
      <c r="N58">
        <v>4078</v>
      </c>
      <c r="O58" t="s">
        <v>823</v>
      </c>
      <c r="P58" s="33" t="s">
        <v>824</v>
      </c>
      <c r="R58" t="e">
        <f t="shared" si="2"/>
        <v>#REF!</v>
      </c>
      <c r="S58" t="e">
        <f>"'"&amp;B58&amp;"','"&amp;D58&amp;"','"&amp;E58&amp;"','"&amp;F58&amp;"','"&amp;G58&amp;"','"&amp;H58&amp;"','"&amp;I58&amp;"','"&amp;J58&amp;"','"&amp;K58&amp;"','"&amp;#REF!&amp;"','"&amp;#REF!&amp;"','"&amp;L58&amp;"','"&amp;O58&amp;"','"&amp;P58&amp;"'"</f>
        <v>#REF!</v>
      </c>
      <c r="T58" t="s">
        <v>248</v>
      </c>
      <c r="V58" t="str">
        <f t="shared" si="1"/>
        <v>(NULL,"Mr.","Ragasa","Rodolfo Jr.","B.","Male","1997-05-26","San Pedro, Laguna","#23 Maharlika St.","Brgy. Magsaysay","City of San Pedro","Laguna","4078","sad@gmail.com","09123123321"),</v>
      </c>
      <c r="W58" t="str">
        <f>TextJoin(tblPersons[[#This Row],[Title]:[ContactNo]],"Value")</f>
        <v>"Mr.","Ragasa","Rodolfo Jr.","B.","Male","1997-05-26","San Pedro, Laguna","#23 Maharlika St.","Brgy. Magsaysay","City of San Pedro","Laguna","4078","sad@gmail.com","09123123321"</v>
      </c>
    </row>
    <row r="59" spans="2:23" hidden="1" x14ac:dyDescent="0.25">
      <c r="B59">
        <v>57</v>
      </c>
      <c r="C59" t="str">
        <f>IF(tblPersons[[#This Row],[Sex]]="Male","Mr.","Ms.")</f>
        <v>Mr.</v>
      </c>
      <c r="D59" t="s">
        <v>163</v>
      </c>
      <c r="E59" t="s">
        <v>109</v>
      </c>
      <c r="G59" t="s">
        <v>263</v>
      </c>
      <c r="H59" s="32">
        <v>35577</v>
      </c>
      <c r="I59" t="s">
        <v>818</v>
      </c>
      <c r="J59" t="s">
        <v>819</v>
      </c>
      <c r="K59" t="s">
        <v>820</v>
      </c>
      <c r="L59" t="s">
        <v>821</v>
      </c>
      <c r="M59" t="s">
        <v>822</v>
      </c>
      <c r="N59">
        <v>4079</v>
      </c>
      <c r="O59" t="s">
        <v>823</v>
      </c>
      <c r="P59" s="33" t="s">
        <v>824</v>
      </c>
      <c r="R59" t="e">
        <f t="shared" si="2"/>
        <v>#REF!</v>
      </c>
      <c r="S59" t="e">
        <f>"'"&amp;B59&amp;"','"&amp;D59&amp;"','"&amp;E59&amp;"','"&amp;F59&amp;"','"&amp;G59&amp;"','"&amp;H59&amp;"','"&amp;I59&amp;"','"&amp;J59&amp;"','"&amp;K59&amp;"','"&amp;#REF!&amp;"','"&amp;#REF!&amp;"','"&amp;L59&amp;"','"&amp;O59&amp;"','"&amp;P59&amp;"'"</f>
        <v>#REF!</v>
      </c>
      <c r="T59" t="s">
        <v>249</v>
      </c>
      <c r="V59" t="str">
        <f t="shared" si="1"/>
        <v>(NULL,"Mr.","Rapay","John Paul","","Male","1997-05-27","San Pedro, Laguna","#23 Maharlika St.","Brgy. Magsaysay","City of San Pedro","Laguna","4079","sad@gmail.com","09123123321"),</v>
      </c>
      <c r="W59" t="str">
        <f>TextJoin(tblPersons[[#This Row],[Title]:[ContactNo]],"Value")</f>
        <v>"Mr.","Rapay","John Paul","","Male","1997-05-27","San Pedro, Laguna","#23 Maharlika St.","Brgy. Magsaysay","City of San Pedro","Laguna","4079","sad@gmail.com","09123123321"</v>
      </c>
    </row>
    <row r="60" spans="2:23" hidden="1" x14ac:dyDescent="0.25">
      <c r="B60">
        <v>58</v>
      </c>
      <c r="C60" t="str">
        <f>IF(tblPersons[[#This Row],[Sex]]="Male","Mr.","Ms.")</f>
        <v>Mr.</v>
      </c>
      <c r="D60" t="s">
        <v>164</v>
      </c>
      <c r="E60" t="s">
        <v>165</v>
      </c>
      <c r="F60" t="s">
        <v>123</v>
      </c>
      <c r="G60" t="s">
        <v>263</v>
      </c>
      <c r="H60" s="32">
        <v>35578</v>
      </c>
      <c r="I60" t="s">
        <v>818</v>
      </c>
      <c r="J60" t="s">
        <v>819</v>
      </c>
      <c r="K60" t="s">
        <v>820</v>
      </c>
      <c r="L60" t="s">
        <v>821</v>
      </c>
      <c r="M60" t="s">
        <v>822</v>
      </c>
      <c r="N60">
        <v>4080</v>
      </c>
      <c r="O60" t="s">
        <v>823</v>
      </c>
      <c r="P60" s="33" t="s">
        <v>824</v>
      </c>
      <c r="R60" t="e">
        <f t="shared" si="2"/>
        <v>#REF!</v>
      </c>
      <c r="S60" t="e">
        <f>"'"&amp;B60&amp;"','"&amp;D60&amp;"','"&amp;E60&amp;"','"&amp;F60&amp;"','"&amp;G60&amp;"','"&amp;H60&amp;"','"&amp;I60&amp;"','"&amp;J60&amp;"','"&amp;K60&amp;"','"&amp;#REF!&amp;"','"&amp;#REF!&amp;"','"&amp;L60&amp;"','"&amp;O60&amp;"','"&amp;P60&amp;"'"</f>
        <v>#REF!</v>
      </c>
      <c r="T60" t="s">
        <v>250</v>
      </c>
      <c r="V60" t="str">
        <f t="shared" si="1"/>
        <v>(NULL,"Mr.","Ruaya","Fitz Jerald","O.","Male","1997-05-28","San Pedro, Laguna","#23 Maharlika St.","Brgy. Magsaysay","City of San Pedro","Laguna","4080","sad@gmail.com","09123123321"),</v>
      </c>
      <c r="W60" t="str">
        <f>TextJoin(tblPersons[[#This Row],[Title]:[ContactNo]],"Value")</f>
        <v>"Mr.","Ruaya","Fitz Jerald","O.","Male","1997-05-28","San Pedro, Laguna","#23 Maharlika St.","Brgy. Magsaysay","City of San Pedro","Laguna","4080","sad@gmail.com","09123123321"</v>
      </c>
    </row>
    <row r="61" spans="2:23" hidden="1" x14ac:dyDescent="0.25">
      <c r="B61">
        <v>59</v>
      </c>
      <c r="C61" t="str">
        <f>IF(tblPersons[[#This Row],[Sex]]="Male","Mr.","Ms.")</f>
        <v>Mr.</v>
      </c>
      <c r="D61" t="s">
        <v>166</v>
      </c>
      <c r="E61" t="s">
        <v>167</v>
      </c>
      <c r="F61" t="s">
        <v>81</v>
      </c>
      <c r="G61" t="s">
        <v>263</v>
      </c>
      <c r="H61" s="32">
        <v>35579</v>
      </c>
      <c r="I61" t="s">
        <v>818</v>
      </c>
      <c r="J61" t="s">
        <v>819</v>
      </c>
      <c r="K61" t="s">
        <v>820</v>
      </c>
      <c r="L61" t="s">
        <v>821</v>
      </c>
      <c r="M61" t="s">
        <v>822</v>
      </c>
      <c r="N61">
        <v>4081</v>
      </c>
      <c r="O61" t="s">
        <v>823</v>
      </c>
      <c r="P61" s="33" t="s">
        <v>824</v>
      </c>
      <c r="R61" t="e">
        <f t="shared" si="2"/>
        <v>#REF!</v>
      </c>
      <c r="S61" t="e">
        <f>"'"&amp;B61&amp;"','"&amp;D61&amp;"','"&amp;E61&amp;"','"&amp;F61&amp;"','"&amp;G61&amp;"','"&amp;H61&amp;"','"&amp;I61&amp;"','"&amp;J61&amp;"','"&amp;K61&amp;"','"&amp;#REF!&amp;"','"&amp;#REF!&amp;"','"&amp;L61&amp;"','"&amp;O61&amp;"','"&amp;P61&amp;"'"</f>
        <v>#REF!</v>
      </c>
      <c r="T61" t="s">
        <v>519</v>
      </c>
      <c r="V61" t="str">
        <f t="shared" si="1"/>
        <v>(NULL,"Mr.","Sanchez","Rocel","C.","Male","1997-05-29","San Pedro, Laguna","#23 Maharlika St.","Brgy. Magsaysay","City of San Pedro","Laguna","4081","sad@gmail.com","09123123321"),</v>
      </c>
      <c r="W61" t="str">
        <f>TextJoin(tblPersons[[#This Row],[Title]:[ContactNo]],"Value")</f>
        <v>"Mr.","Sanchez","Rocel","C.","Male","1997-05-29","San Pedro, Laguna","#23 Maharlika St.","Brgy. Magsaysay","City of San Pedro","Laguna","4081","sad@gmail.com","09123123321"</v>
      </c>
    </row>
    <row r="62" spans="2:23" hidden="1" x14ac:dyDescent="0.25">
      <c r="B62">
        <v>60</v>
      </c>
      <c r="C62" t="str">
        <f>IF(tblPersons[[#This Row],[Sex]]="Male","Mr.","Ms.")</f>
        <v>Mr.</v>
      </c>
      <c r="D62" t="s">
        <v>168</v>
      </c>
      <c r="E62" t="s">
        <v>169</v>
      </c>
      <c r="F62" t="s">
        <v>66</v>
      </c>
      <c r="G62" t="s">
        <v>263</v>
      </c>
      <c r="H62" s="32">
        <v>35580</v>
      </c>
      <c r="I62" t="s">
        <v>818</v>
      </c>
      <c r="J62" t="s">
        <v>819</v>
      </c>
      <c r="K62" t="s">
        <v>820</v>
      </c>
      <c r="L62" t="s">
        <v>821</v>
      </c>
      <c r="M62" t="s">
        <v>822</v>
      </c>
      <c r="N62">
        <v>4082</v>
      </c>
      <c r="O62" t="s">
        <v>823</v>
      </c>
      <c r="P62" s="33" t="s">
        <v>824</v>
      </c>
      <c r="R62" t="e">
        <f t="shared" si="2"/>
        <v>#REF!</v>
      </c>
      <c r="S62" t="e">
        <f>"'"&amp;B62&amp;"','"&amp;D62&amp;"','"&amp;E62&amp;"','"&amp;F62&amp;"','"&amp;G62&amp;"','"&amp;H62&amp;"','"&amp;I62&amp;"','"&amp;J62&amp;"','"&amp;K62&amp;"','"&amp;#REF!&amp;"','"&amp;#REF!&amp;"','"&amp;L62&amp;"','"&amp;O62&amp;"','"&amp;P62&amp;"'"</f>
        <v>#REF!</v>
      </c>
      <c r="T62" t="s">
        <v>251</v>
      </c>
      <c r="V62" t="str">
        <f t="shared" si="1"/>
        <v>(NULL,"Mr.","Sano","Kurt Adrianne","P.","Male","1997-05-30","San Pedro, Laguna","#23 Maharlika St.","Brgy. Magsaysay","City of San Pedro","Laguna","4082","sad@gmail.com","09123123321"),</v>
      </c>
      <c r="W62" t="str">
        <f>TextJoin(tblPersons[[#This Row],[Title]:[ContactNo]],"Value")</f>
        <v>"Mr.","Sano","Kurt Adrianne","P.","Male","1997-05-30","San Pedro, Laguna","#23 Maharlika St.","Brgy. Magsaysay","City of San Pedro","Laguna","4082","sad@gmail.com","09123123321"</v>
      </c>
    </row>
    <row r="63" spans="2:23" hidden="1" x14ac:dyDescent="0.25">
      <c r="B63">
        <v>61</v>
      </c>
      <c r="C63" t="str">
        <f>IF(tblPersons[[#This Row],[Sex]]="Male","Mr.","Ms.")</f>
        <v>Mr.</v>
      </c>
      <c r="D63" t="s">
        <v>170</v>
      </c>
      <c r="E63" t="s">
        <v>171</v>
      </c>
      <c r="F63" t="s">
        <v>84</v>
      </c>
      <c r="G63" t="s">
        <v>263</v>
      </c>
      <c r="H63" s="32">
        <v>35581</v>
      </c>
      <c r="I63" t="s">
        <v>818</v>
      </c>
      <c r="J63" t="s">
        <v>819</v>
      </c>
      <c r="K63" t="s">
        <v>820</v>
      </c>
      <c r="L63" t="s">
        <v>821</v>
      </c>
      <c r="M63" t="s">
        <v>822</v>
      </c>
      <c r="N63">
        <v>4083</v>
      </c>
      <c r="O63" t="s">
        <v>823</v>
      </c>
      <c r="P63" s="33" t="s">
        <v>824</v>
      </c>
      <c r="R63" t="e">
        <f t="shared" si="2"/>
        <v>#REF!</v>
      </c>
      <c r="S63" t="e">
        <f>"'"&amp;B63&amp;"','"&amp;D63&amp;"','"&amp;E63&amp;"','"&amp;F63&amp;"','"&amp;G63&amp;"','"&amp;H63&amp;"','"&amp;I63&amp;"','"&amp;J63&amp;"','"&amp;K63&amp;"','"&amp;#REF!&amp;"','"&amp;#REF!&amp;"','"&amp;L63&amp;"','"&amp;O63&amp;"','"&amp;P63&amp;"'"</f>
        <v>#REF!</v>
      </c>
      <c r="T63" t="s">
        <v>252</v>
      </c>
      <c r="V63" t="str">
        <f t="shared" si="1"/>
        <v>(NULL,"Mr.","Sayson Jr.","Rolando","B.","Male","1997-05-31","San Pedro, Laguna","#23 Maharlika St.","Brgy. Magsaysay","City of San Pedro","Laguna","4083","sad@gmail.com","09123123321"),</v>
      </c>
      <c r="W63" t="str">
        <f>TextJoin(tblPersons[[#This Row],[Title]:[ContactNo]],"Value")</f>
        <v>"Mr.","Sayson Jr.","Rolando","B.","Male","1997-05-31","San Pedro, Laguna","#23 Maharlika St.","Brgy. Magsaysay","City of San Pedro","Laguna","4083","sad@gmail.com","09123123321"</v>
      </c>
    </row>
    <row r="64" spans="2:23" hidden="1" x14ac:dyDescent="0.25">
      <c r="B64">
        <v>62</v>
      </c>
      <c r="C64" t="str">
        <f>IF(tblPersons[[#This Row],[Sex]]="Male","Mr.","Ms.")</f>
        <v>Mr.</v>
      </c>
      <c r="D64" t="s">
        <v>172</v>
      </c>
      <c r="E64" t="s">
        <v>173</v>
      </c>
      <c r="F64" t="s">
        <v>66</v>
      </c>
      <c r="G64" t="s">
        <v>263</v>
      </c>
      <c r="H64" s="32">
        <v>35582</v>
      </c>
      <c r="I64" t="s">
        <v>818</v>
      </c>
      <c r="J64" t="s">
        <v>819</v>
      </c>
      <c r="K64" t="s">
        <v>820</v>
      </c>
      <c r="L64" t="s">
        <v>821</v>
      </c>
      <c r="M64" t="s">
        <v>822</v>
      </c>
      <c r="N64">
        <v>4084</v>
      </c>
      <c r="O64" t="s">
        <v>823</v>
      </c>
      <c r="P64" s="33" t="s">
        <v>824</v>
      </c>
      <c r="R64" t="e">
        <f t="shared" si="2"/>
        <v>#REF!</v>
      </c>
      <c r="S64" t="e">
        <f>"'"&amp;B64&amp;"','"&amp;D64&amp;"','"&amp;E64&amp;"','"&amp;F64&amp;"','"&amp;G64&amp;"','"&amp;H64&amp;"','"&amp;I64&amp;"','"&amp;J64&amp;"','"&amp;K64&amp;"','"&amp;#REF!&amp;"','"&amp;#REF!&amp;"','"&amp;L64&amp;"','"&amp;O64&amp;"','"&amp;P64&amp;"'"</f>
        <v>#REF!</v>
      </c>
      <c r="T64" t="s">
        <v>253</v>
      </c>
      <c r="V64" t="str">
        <f t="shared" si="1"/>
        <v>(NULL,"Mr.","Siaron","Jeffrey","P.","Male","1997-06-01","San Pedro, Laguna","#23 Maharlika St.","Brgy. Magsaysay","City of San Pedro","Laguna","4084","sad@gmail.com","09123123321"),</v>
      </c>
      <c r="W64" t="str">
        <f>TextJoin(tblPersons[[#This Row],[Title]:[ContactNo]],"Value")</f>
        <v>"Mr.","Siaron","Jeffrey","P.","Male","1997-06-01","San Pedro, Laguna","#23 Maharlika St.","Brgy. Magsaysay","City of San Pedro","Laguna","4084","sad@gmail.com","09123123321"</v>
      </c>
    </row>
    <row r="65" spans="2:23" hidden="1" x14ac:dyDescent="0.25">
      <c r="B65">
        <v>63</v>
      </c>
      <c r="C65" t="str">
        <f>IF(tblPersons[[#This Row],[Sex]]="Male","Mr.","Ms.")</f>
        <v>Ms.</v>
      </c>
      <c r="D65" t="s">
        <v>174</v>
      </c>
      <c r="E65" t="s">
        <v>175</v>
      </c>
      <c r="F65" t="s">
        <v>38</v>
      </c>
      <c r="G65" t="s">
        <v>264</v>
      </c>
      <c r="H65" s="32">
        <v>35583</v>
      </c>
      <c r="I65" t="s">
        <v>818</v>
      </c>
      <c r="J65" t="s">
        <v>819</v>
      </c>
      <c r="K65" t="s">
        <v>820</v>
      </c>
      <c r="L65" t="s">
        <v>821</v>
      </c>
      <c r="M65" t="s">
        <v>822</v>
      </c>
      <c r="N65">
        <v>4085</v>
      </c>
      <c r="O65" t="s">
        <v>823</v>
      </c>
      <c r="P65" s="33" t="s">
        <v>824</v>
      </c>
      <c r="R65" t="e">
        <f t="shared" si="2"/>
        <v>#REF!</v>
      </c>
      <c r="S65" t="e">
        <f>"'"&amp;B65&amp;"','"&amp;D65&amp;"','"&amp;E65&amp;"','"&amp;F65&amp;"','"&amp;G65&amp;"','"&amp;H65&amp;"','"&amp;I65&amp;"','"&amp;J65&amp;"','"&amp;K65&amp;"','"&amp;#REF!&amp;"','"&amp;#REF!&amp;"','"&amp;L65&amp;"','"&amp;O65&amp;"','"&amp;P65&amp;"'"</f>
        <v>#REF!</v>
      </c>
      <c r="T65" t="s">
        <v>254</v>
      </c>
      <c r="V65" t="str">
        <f t="shared" si="1"/>
        <v>(NULL,"Ms.","Sison","Ailyn","R.","Female","1997-06-02","San Pedro, Laguna","#23 Maharlika St.","Brgy. Magsaysay","City of San Pedro","Laguna","4085","sad@gmail.com","09123123321"),</v>
      </c>
      <c r="W65" t="str">
        <f>TextJoin(tblPersons[[#This Row],[Title]:[ContactNo]],"Value")</f>
        <v>"Ms.","Sison","Ailyn","R.","Female","1997-06-02","San Pedro, Laguna","#23 Maharlika St.","Brgy. Magsaysay","City of San Pedro","Laguna","4085","sad@gmail.com","09123123321"</v>
      </c>
    </row>
    <row r="66" spans="2:23" hidden="1" x14ac:dyDescent="0.25">
      <c r="B66">
        <v>64</v>
      </c>
      <c r="C66" t="str">
        <f>IF(tblPersons[[#This Row],[Sex]]="Male","Mr.","Ms.")</f>
        <v>Mr.</v>
      </c>
      <c r="D66" t="s">
        <v>176</v>
      </c>
      <c r="E66" t="s">
        <v>177</v>
      </c>
      <c r="F66" t="s">
        <v>84</v>
      </c>
      <c r="G66" t="s">
        <v>263</v>
      </c>
      <c r="H66" s="32">
        <v>35584</v>
      </c>
      <c r="I66" t="s">
        <v>818</v>
      </c>
      <c r="J66" t="s">
        <v>819</v>
      </c>
      <c r="K66" t="s">
        <v>820</v>
      </c>
      <c r="L66" t="s">
        <v>821</v>
      </c>
      <c r="M66" t="s">
        <v>822</v>
      </c>
      <c r="N66">
        <v>4086</v>
      </c>
      <c r="O66" t="s">
        <v>823</v>
      </c>
      <c r="P66" s="33" t="s">
        <v>824</v>
      </c>
      <c r="R66" t="e">
        <f t="shared" si="2"/>
        <v>#REF!</v>
      </c>
      <c r="S66" t="e">
        <f>"'"&amp;B66&amp;"','"&amp;D66&amp;"','"&amp;E66&amp;"','"&amp;F66&amp;"','"&amp;G66&amp;"','"&amp;H66&amp;"','"&amp;I66&amp;"','"&amp;J66&amp;"','"&amp;K66&amp;"','"&amp;#REF!&amp;"','"&amp;#REF!&amp;"','"&amp;L66&amp;"','"&amp;O66&amp;"','"&amp;P66&amp;"'"</f>
        <v>#REF!</v>
      </c>
      <c r="T66" t="s">
        <v>255</v>
      </c>
      <c r="V66" t="str">
        <f t="shared" si="1"/>
        <v>(NULL,"Mr.","Surtida","Shawn Kairi","B.","Male","1997-06-03","San Pedro, Laguna","#23 Maharlika St.","Brgy. Magsaysay","City of San Pedro","Laguna","4086","sad@gmail.com","09123123321"),</v>
      </c>
      <c r="W66" t="str">
        <f>TextJoin(tblPersons[[#This Row],[Title]:[ContactNo]],"Value")</f>
        <v>"Mr.","Surtida","Shawn Kairi","B.","Male","1997-06-03","San Pedro, Laguna","#23 Maharlika St.","Brgy. Magsaysay","City of San Pedro","Laguna","4086","sad@gmail.com","09123123321"</v>
      </c>
    </row>
    <row r="67" spans="2:23" hidden="1" x14ac:dyDescent="0.25">
      <c r="B67">
        <v>65</v>
      </c>
      <c r="C67" t="str">
        <f>IF(tblPersons[[#This Row],[Sex]]="Male","Mr.","Ms.")</f>
        <v>Mr.</v>
      </c>
      <c r="D67" t="s">
        <v>178</v>
      </c>
      <c r="E67" t="s">
        <v>179</v>
      </c>
      <c r="F67" t="s">
        <v>66</v>
      </c>
      <c r="G67" t="s">
        <v>263</v>
      </c>
      <c r="H67" s="32">
        <v>35585</v>
      </c>
      <c r="I67" t="s">
        <v>818</v>
      </c>
      <c r="J67" t="s">
        <v>819</v>
      </c>
      <c r="K67" t="s">
        <v>820</v>
      </c>
      <c r="L67" t="s">
        <v>821</v>
      </c>
      <c r="M67" t="s">
        <v>822</v>
      </c>
      <c r="N67">
        <v>4087</v>
      </c>
      <c r="O67" t="s">
        <v>823</v>
      </c>
      <c r="P67" s="33" t="s">
        <v>824</v>
      </c>
      <c r="R67" t="e">
        <f t="shared" ref="R67:R98" si="3">"("&amp;S67&amp;")"&amp;IF(B68&lt;&gt;"",",",";")</f>
        <v>#REF!</v>
      </c>
      <c r="S67" t="e">
        <f>"'"&amp;B67&amp;"','"&amp;D67&amp;"','"&amp;E67&amp;"','"&amp;F67&amp;"','"&amp;G67&amp;"','"&amp;H67&amp;"','"&amp;I67&amp;"','"&amp;J67&amp;"','"&amp;K67&amp;"','"&amp;#REF!&amp;"','"&amp;#REF!&amp;"','"&amp;L67&amp;"','"&amp;O67&amp;"','"&amp;P67&amp;"'"</f>
        <v>#REF!</v>
      </c>
      <c r="T67" t="s">
        <v>256</v>
      </c>
      <c r="V67" t="str">
        <f t="shared" si="1"/>
        <v>(NULL,"Mr.","Tabuzo","David","P.","Male","1997-06-04","San Pedro, Laguna","#23 Maharlika St.","Brgy. Magsaysay","City of San Pedro","Laguna","4087","sad@gmail.com","09123123321"),</v>
      </c>
      <c r="W67" t="str">
        <f>TextJoin(tblPersons[[#This Row],[Title]:[ContactNo]],"Value")</f>
        <v>"Mr.","Tabuzo","David","P.","Male","1997-06-04","San Pedro, Laguna","#23 Maharlika St.","Brgy. Magsaysay","City of San Pedro","Laguna","4087","sad@gmail.com","09123123321"</v>
      </c>
    </row>
    <row r="68" spans="2:23" hidden="1" x14ac:dyDescent="0.25">
      <c r="B68">
        <v>66</v>
      </c>
      <c r="C68" t="str">
        <f>IF(tblPersons[[#This Row],[Sex]]="Male","Mr.","Ms.")</f>
        <v>Mr.</v>
      </c>
      <c r="D68" t="s">
        <v>180</v>
      </c>
      <c r="E68" t="s">
        <v>181</v>
      </c>
      <c r="F68" t="s">
        <v>182</v>
      </c>
      <c r="G68" t="s">
        <v>263</v>
      </c>
      <c r="H68" s="32">
        <v>35586</v>
      </c>
      <c r="I68" t="s">
        <v>818</v>
      </c>
      <c r="J68" t="s">
        <v>819</v>
      </c>
      <c r="K68" t="s">
        <v>820</v>
      </c>
      <c r="L68" t="s">
        <v>821</v>
      </c>
      <c r="M68" t="s">
        <v>822</v>
      </c>
      <c r="N68">
        <v>4088</v>
      </c>
      <c r="O68" t="s">
        <v>823</v>
      </c>
      <c r="P68" s="33" t="s">
        <v>824</v>
      </c>
      <c r="R68" t="e">
        <f t="shared" si="3"/>
        <v>#REF!</v>
      </c>
      <c r="S68" t="e">
        <f>"'"&amp;B68&amp;"','"&amp;D68&amp;"','"&amp;E68&amp;"','"&amp;F68&amp;"','"&amp;G68&amp;"','"&amp;H68&amp;"','"&amp;I68&amp;"','"&amp;J68&amp;"','"&amp;K68&amp;"','"&amp;#REF!&amp;"','"&amp;#REF!&amp;"','"&amp;L68&amp;"','"&amp;O68&amp;"','"&amp;P68&amp;"'"</f>
        <v>#REF!</v>
      </c>
      <c r="T68" t="s">
        <v>257</v>
      </c>
      <c r="V68" t="str">
        <f t="shared" ref="V68:V92" si="4">"(NULL,"&amp;W68&amp;")" &amp; IF(V69&lt;&gt;"",",",";")</f>
        <v>(NULL,"Mr.","Tamo","John Cyrus","A.","Male","1997-06-05","San Pedro, Laguna","#23 Maharlika St.","Brgy. Magsaysay","City of San Pedro","Laguna","4088","sad@gmail.com","09123123321"),</v>
      </c>
      <c r="W68" t="str">
        <f>TextJoin(tblPersons[[#This Row],[Title]:[ContactNo]],"Value")</f>
        <v>"Mr.","Tamo","John Cyrus","A.","Male","1997-06-05","San Pedro, Laguna","#23 Maharlika St.","Brgy. Magsaysay","City of San Pedro","Laguna","4088","sad@gmail.com","09123123321"</v>
      </c>
    </row>
    <row r="69" spans="2:23" x14ac:dyDescent="0.25">
      <c r="B69">
        <v>67</v>
      </c>
      <c r="C69" t="str">
        <f>IF(tblPersons[[#This Row],[Sex]]="Male","Mr.","Ms.")</f>
        <v>Mr.</v>
      </c>
      <c r="D69" t="s">
        <v>183</v>
      </c>
      <c r="E69" t="s">
        <v>184</v>
      </c>
      <c r="G69" t="s">
        <v>263</v>
      </c>
      <c r="H69" s="32">
        <v>35587</v>
      </c>
      <c r="I69" t="s">
        <v>818</v>
      </c>
      <c r="J69" t="s">
        <v>819</v>
      </c>
      <c r="K69" t="s">
        <v>820</v>
      </c>
      <c r="L69" t="s">
        <v>821</v>
      </c>
      <c r="M69" t="s">
        <v>822</v>
      </c>
      <c r="N69">
        <v>4089</v>
      </c>
      <c r="O69" t="s">
        <v>823</v>
      </c>
      <c r="P69" s="33" t="s">
        <v>824</v>
      </c>
      <c r="R69" t="e">
        <f t="shared" si="3"/>
        <v>#REF!</v>
      </c>
      <c r="S69" t="e">
        <f>"'"&amp;B69&amp;"','"&amp;D69&amp;"','"&amp;E69&amp;"','"&amp;F69&amp;"','"&amp;G69&amp;"','"&amp;H69&amp;"','"&amp;I69&amp;"','"&amp;J69&amp;"','"&amp;K69&amp;"','"&amp;#REF!&amp;"','"&amp;#REF!&amp;"','"&amp;L69&amp;"','"&amp;O69&amp;"','"&amp;P69&amp;"'"</f>
        <v>#REF!</v>
      </c>
      <c r="T69" t="s">
        <v>258</v>
      </c>
      <c r="V69" t="str">
        <f t="shared" si="4"/>
        <v>(NULL,"Mr.","Tigno","Joshua","","Male","1997-06-06","San Pedro, Laguna","#23 Maharlika St.","Brgy. Magsaysay","City of San Pedro","Laguna","4089","sad@gmail.com","09123123321"),</v>
      </c>
      <c r="W69" t="str">
        <f>TextJoin(tblPersons[[#This Row],[Title]:[ContactNo]],"Value")</f>
        <v>"Mr.","Tigno","Joshua","","Male","1997-06-06","San Pedro, Laguna","#23 Maharlika St.","Brgy. Magsaysay","City of San Pedro","Laguna","4089","sad@gmail.com","09123123321"</v>
      </c>
    </row>
    <row r="70" spans="2:23" hidden="1" x14ac:dyDescent="0.25">
      <c r="B70">
        <v>68</v>
      </c>
      <c r="C70" t="str">
        <f>IF(tblPersons[[#This Row],[Sex]]="Male","Mr.","Ms.")</f>
        <v>Mr.</v>
      </c>
      <c r="D70" t="s">
        <v>185</v>
      </c>
      <c r="E70" t="s">
        <v>186</v>
      </c>
      <c r="F70" t="s">
        <v>123</v>
      </c>
      <c r="G70" t="s">
        <v>263</v>
      </c>
      <c r="H70" s="32">
        <v>35588</v>
      </c>
      <c r="I70" t="s">
        <v>818</v>
      </c>
      <c r="J70" t="s">
        <v>819</v>
      </c>
      <c r="K70" t="s">
        <v>820</v>
      </c>
      <c r="L70" t="s">
        <v>821</v>
      </c>
      <c r="M70" t="s">
        <v>822</v>
      </c>
      <c r="N70">
        <v>4090</v>
      </c>
      <c r="O70" t="s">
        <v>823</v>
      </c>
      <c r="P70" s="33" t="s">
        <v>824</v>
      </c>
      <c r="R70" t="e">
        <f t="shared" si="3"/>
        <v>#REF!</v>
      </c>
      <c r="S70" t="e">
        <f>"'"&amp;B70&amp;"','"&amp;D70&amp;"','"&amp;E70&amp;"','"&amp;F70&amp;"','"&amp;G70&amp;"','"&amp;H70&amp;"','"&amp;I70&amp;"','"&amp;J70&amp;"','"&amp;K70&amp;"','"&amp;#REF!&amp;"','"&amp;#REF!&amp;"','"&amp;L70&amp;"','"&amp;O70&amp;"','"&amp;P70&amp;"'"</f>
        <v>#REF!</v>
      </c>
      <c r="T70" t="s">
        <v>259</v>
      </c>
      <c r="V70" t="str">
        <f t="shared" si="4"/>
        <v>(NULL,"Mr.","Valdez","Carl John","O.","Male","1997-06-07","San Pedro, Laguna","#23 Maharlika St.","Brgy. Magsaysay","City of San Pedro","Laguna","4090","sad@gmail.com","09123123321"),</v>
      </c>
      <c r="W70" t="str">
        <f>TextJoin(tblPersons[[#This Row],[Title]:[ContactNo]],"Value")</f>
        <v>"Mr.","Valdez","Carl John","O.","Male","1997-06-07","San Pedro, Laguna","#23 Maharlika St.","Brgy. Magsaysay","City of San Pedro","Laguna","4090","sad@gmail.com","09123123321"</v>
      </c>
    </row>
    <row r="71" spans="2:23" hidden="1" x14ac:dyDescent="0.25">
      <c r="B71">
        <v>69</v>
      </c>
      <c r="C71" t="str">
        <f>IF(tblPersons[[#This Row],[Sex]]="Male","Mr.","Ms.")</f>
        <v>Mr.</v>
      </c>
      <c r="D71" t="s">
        <v>187</v>
      </c>
      <c r="E71" t="s">
        <v>188</v>
      </c>
      <c r="F71" t="s">
        <v>84</v>
      </c>
      <c r="G71" t="s">
        <v>263</v>
      </c>
      <c r="H71" s="32">
        <v>35589</v>
      </c>
      <c r="I71" t="s">
        <v>818</v>
      </c>
      <c r="J71" t="s">
        <v>819</v>
      </c>
      <c r="K71" t="s">
        <v>820</v>
      </c>
      <c r="L71" t="s">
        <v>821</v>
      </c>
      <c r="M71" t="s">
        <v>822</v>
      </c>
      <c r="N71">
        <v>4091</v>
      </c>
      <c r="O71" t="s">
        <v>823</v>
      </c>
      <c r="P71" s="33" t="s">
        <v>824</v>
      </c>
      <c r="R71" t="e">
        <f t="shared" si="3"/>
        <v>#REF!</v>
      </c>
      <c r="S71" t="e">
        <f>"'"&amp;B71&amp;"','"&amp;D71&amp;"','"&amp;E71&amp;"','"&amp;F71&amp;"','"&amp;G71&amp;"','"&amp;H71&amp;"','"&amp;I71&amp;"','"&amp;J71&amp;"','"&amp;K71&amp;"','"&amp;#REF!&amp;"','"&amp;#REF!&amp;"','"&amp;L71&amp;"','"&amp;O71&amp;"','"&amp;P71&amp;"'"</f>
        <v>#REF!</v>
      </c>
      <c r="T71" t="s">
        <v>260</v>
      </c>
      <c r="V71" t="str">
        <f t="shared" si="4"/>
        <v>(NULL,"Mr.","Vayakaril","Kevin","B.","Male","1997-06-08","San Pedro, Laguna","#23 Maharlika St.","Brgy. Magsaysay","City of San Pedro","Laguna","4091","sad@gmail.com","09123123321"),</v>
      </c>
      <c r="W71" t="str">
        <f>TextJoin(tblPersons[[#This Row],[Title]:[ContactNo]],"Value")</f>
        <v>"Mr.","Vayakaril","Kevin","B.","Male","1997-06-08","San Pedro, Laguna","#23 Maharlika St.","Brgy. Magsaysay","City of San Pedro","Laguna","4091","sad@gmail.com","09123123321"</v>
      </c>
    </row>
    <row r="72" spans="2:23" x14ac:dyDescent="0.25">
      <c r="B72">
        <v>70</v>
      </c>
      <c r="C72" t="str">
        <f>IF(tblPersons[[#This Row],[Sex]]="Male","Mr.","Ms.")</f>
        <v>Mr.</v>
      </c>
      <c r="D72" t="s">
        <v>189</v>
      </c>
      <c r="E72" t="s">
        <v>190</v>
      </c>
      <c r="F72" t="s">
        <v>66</v>
      </c>
      <c r="G72" t="s">
        <v>263</v>
      </c>
      <c r="H72" s="32">
        <v>35590</v>
      </c>
      <c r="I72" t="s">
        <v>818</v>
      </c>
      <c r="J72" t="s">
        <v>819</v>
      </c>
      <c r="K72" t="s">
        <v>820</v>
      </c>
      <c r="L72" t="s">
        <v>821</v>
      </c>
      <c r="M72" t="s">
        <v>822</v>
      </c>
      <c r="N72">
        <v>4092</v>
      </c>
      <c r="O72" t="s">
        <v>823</v>
      </c>
      <c r="P72" s="33" t="s">
        <v>824</v>
      </c>
      <c r="R72" t="e">
        <f t="shared" si="3"/>
        <v>#REF!</v>
      </c>
      <c r="S72" t="e">
        <f>"'"&amp;B72&amp;"','"&amp;D72&amp;"','"&amp;E72&amp;"','"&amp;F72&amp;"','"&amp;G72&amp;"','"&amp;H72&amp;"','"&amp;I72&amp;"','"&amp;J72&amp;"','"&amp;K72&amp;"','"&amp;#REF!&amp;"','"&amp;#REF!&amp;"','"&amp;L72&amp;"','"&amp;O72&amp;"','"&amp;P72&amp;"'"</f>
        <v>#REF!</v>
      </c>
      <c r="T72" t="s">
        <v>261</v>
      </c>
      <c r="V72" t="str">
        <f t="shared" si="4"/>
        <v>(NULL,"Mr.","Yolola","Kenneth Arvin","P.","Male","1997-06-09","San Pedro, Laguna","#23 Maharlika St.","Brgy. Magsaysay","City of San Pedro","Laguna","4092","sad@gmail.com","09123123321"),</v>
      </c>
      <c r="W72" t="str">
        <f>TextJoin(tblPersons[[#This Row],[Title]:[ContactNo]],"Value")</f>
        <v>"Mr.","Yolola","Kenneth Arvin","P.","Male","1997-06-09","San Pedro, Laguna","#23 Maharlika St.","Brgy. Magsaysay","City of San Pedro","Laguna","4092","sad@gmail.com","09123123321"</v>
      </c>
    </row>
    <row r="73" spans="2:23" x14ac:dyDescent="0.25">
      <c r="B73">
        <v>71</v>
      </c>
      <c r="C73" t="str">
        <f>IF(tblPersons[[#This Row],[Sex]]="Male","Mr.","Ms.")</f>
        <v>Mr.</v>
      </c>
      <c r="D73" t="s">
        <v>191</v>
      </c>
      <c r="E73" t="s">
        <v>192</v>
      </c>
      <c r="F73" t="s">
        <v>69</v>
      </c>
      <c r="G73" t="s">
        <v>263</v>
      </c>
      <c r="H73" s="32">
        <v>35591</v>
      </c>
      <c r="I73" t="s">
        <v>818</v>
      </c>
      <c r="J73" t="s">
        <v>819</v>
      </c>
      <c r="K73" t="s">
        <v>820</v>
      </c>
      <c r="L73" t="s">
        <v>821</v>
      </c>
      <c r="M73" t="s">
        <v>822</v>
      </c>
      <c r="N73">
        <v>4093</v>
      </c>
      <c r="O73" t="s">
        <v>823</v>
      </c>
      <c r="P73" s="33" t="s">
        <v>824</v>
      </c>
      <c r="R73" t="e">
        <f t="shared" si="3"/>
        <v>#REF!</v>
      </c>
      <c r="S73" t="e">
        <f>"'"&amp;B73&amp;"','"&amp;D73&amp;"','"&amp;E73&amp;"','"&amp;F73&amp;"','"&amp;G73&amp;"','"&amp;H73&amp;"','"&amp;I73&amp;"','"&amp;J73&amp;"','"&amp;K73&amp;"','"&amp;#REF!&amp;"','"&amp;#REF!&amp;"','"&amp;L73&amp;"','"&amp;O73&amp;"','"&amp;P73&amp;"'"</f>
        <v>#REF!</v>
      </c>
      <c r="T73" t="s">
        <v>262</v>
      </c>
      <c r="V73" t="str">
        <f t="shared" si="4"/>
        <v>(NULL,"Mr.","Zapata","Jerom","I.","Male","1997-06-10","San Pedro, Laguna","#23 Maharlika St.","Brgy. Magsaysay","City of San Pedro","Laguna","4093","sad@gmail.com","09123123321"),</v>
      </c>
      <c r="W73" t="str">
        <f>TextJoin(tblPersons[[#This Row],[Title]:[ContactNo]],"Value")</f>
        <v>"Mr.","Zapata","Jerom","I.","Male","1997-06-10","San Pedro, Laguna","#23 Maharlika St.","Brgy. Magsaysay","City of San Pedro","Laguna","4093","sad@gmail.com","09123123321"</v>
      </c>
    </row>
    <row r="74" spans="2:23" hidden="1" x14ac:dyDescent="0.25">
      <c r="B74">
        <v>72</v>
      </c>
      <c r="C74" t="str">
        <f>IF(tblPersons[[#This Row],[Sex]]="Male","Mr.","Ms.")</f>
        <v>Mr.</v>
      </c>
      <c r="D74" t="s">
        <v>679</v>
      </c>
      <c r="E74" t="s">
        <v>680</v>
      </c>
      <c r="G74" t="s">
        <v>263</v>
      </c>
      <c r="H74" s="32">
        <v>35592</v>
      </c>
      <c r="I74" t="s">
        <v>818</v>
      </c>
      <c r="J74" t="s">
        <v>819</v>
      </c>
      <c r="K74" t="s">
        <v>820</v>
      </c>
      <c r="L74" t="s">
        <v>821</v>
      </c>
      <c r="M74" t="s">
        <v>822</v>
      </c>
      <c r="N74">
        <v>4094</v>
      </c>
      <c r="O74" t="s">
        <v>823</v>
      </c>
      <c r="P74" s="33" t="s">
        <v>824</v>
      </c>
      <c r="T74" t="s">
        <v>688</v>
      </c>
      <c r="V74" t="str">
        <f t="shared" si="4"/>
        <v>(NULL,"Mr.","Chicano","Joshua Paolo","","Male","1997-06-11","San Pedro, Laguna","#23 Maharlika St.","Brgy. Magsaysay","City of San Pedro","Laguna","4094","sad@gmail.com","09123123321"),</v>
      </c>
      <c r="W74" t="str">
        <f>TextJoin(tblPersons[[#This Row],[Title]:[ContactNo]],"Value")</f>
        <v>"Mr.","Chicano","Joshua Paolo","","Male","1997-06-11","San Pedro, Laguna","#23 Maharlika St.","Brgy. Magsaysay","City of San Pedro","Laguna","4094","sad@gmail.com","09123123321"</v>
      </c>
    </row>
    <row r="75" spans="2:23" hidden="1" x14ac:dyDescent="0.25">
      <c r="B75">
        <v>73</v>
      </c>
      <c r="C75" t="str">
        <f>IF(tblPersons[[#This Row],[Sex]]="Male","Mr.","Ms.")</f>
        <v>Mr.</v>
      </c>
      <c r="D75" t="s">
        <v>681</v>
      </c>
      <c r="E75" t="s">
        <v>682</v>
      </c>
      <c r="G75" t="s">
        <v>263</v>
      </c>
      <c r="H75" s="32">
        <v>35593</v>
      </c>
      <c r="I75" t="s">
        <v>818</v>
      </c>
      <c r="J75" t="s">
        <v>819</v>
      </c>
      <c r="K75" t="s">
        <v>820</v>
      </c>
      <c r="L75" t="s">
        <v>821</v>
      </c>
      <c r="M75" t="s">
        <v>822</v>
      </c>
      <c r="N75">
        <v>4095</v>
      </c>
      <c r="O75" t="s">
        <v>823</v>
      </c>
      <c r="P75" s="33" t="s">
        <v>824</v>
      </c>
      <c r="T75" t="s">
        <v>689</v>
      </c>
      <c r="V75" t="str">
        <f t="shared" si="4"/>
        <v>(NULL,"Mr.","Douglas","Jemar","","Male","1997-06-12","San Pedro, Laguna","#23 Maharlika St.","Brgy. Magsaysay","City of San Pedro","Laguna","4095","sad@gmail.com","09123123321"),</v>
      </c>
      <c r="W75" t="str">
        <f>TextJoin(tblPersons[[#This Row],[Title]:[ContactNo]],"Value")</f>
        <v>"Mr.","Douglas","Jemar","","Male","1997-06-12","San Pedro, Laguna","#23 Maharlika St.","Brgy. Magsaysay","City of San Pedro","Laguna","4095","sad@gmail.com","09123123321"</v>
      </c>
    </row>
    <row r="76" spans="2:23" hidden="1" x14ac:dyDescent="0.25">
      <c r="B76">
        <v>74</v>
      </c>
      <c r="C76" t="str">
        <f>IF(tblPersons[[#This Row],[Sex]]="Male","Mr.","Ms.")</f>
        <v>Ms.</v>
      </c>
      <c r="D76" t="s">
        <v>683</v>
      </c>
      <c r="E76" t="s">
        <v>684</v>
      </c>
      <c r="G76" t="s">
        <v>264</v>
      </c>
      <c r="H76" s="32">
        <v>35594</v>
      </c>
      <c r="I76" t="s">
        <v>818</v>
      </c>
      <c r="J76" t="s">
        <v>819</v>
      </c>
      <c r="K76" t="s">
        <v>820</v>
      </c>
      <c r="L76" t="s">
        <v>821</v>
      </c>
      <c r="M76" t="s">
        <v>822</v>
      </c>
      <c r="N76">
        <v>4096</v>
      </c>
      <c r="O76" t="s">
        <v>823</v>
      </c>
      <c r="P76" s="33" t="s">
        <v>824</v>
      </c>
      <c r="T76" t="s">
        <v>690</v>
      </c>
      <c r="V76" t="str">
        <f t="shared" si="4"/>
        <v>(NULL,"Ms.","Mariano","Luzviminda","","Female","1997-06-13","San Pedro, Laguna","#23 Maharlika St.","Brgy. Magsaysay","City of San Pedro","Laguna","4096","sad@gmail.com","09123123321"),</v>
      </c>
      <c r="W76" t="str">
        <f>TextJoin(tblPersons[[#This Row],[Title]:[ContactNo]],"Value")</f>
        <v>"Ms.","Mariano","Luzviminda","","Female","1997-06-13","San Pedro, Laguna","#23 Maharlika St.","Brgy. Magsaysay","City of San Pedro","Laguna","4096","sad@gmail.com","09123123321"</v>
      </c>
    </row>
    <row r="77" spans="2:23" hidden="1" x14ac:dyDescent="0.25">
      <c r="B77">
        <v>75</v>
      </c>
      <c r="C77" t="str">
        <f>IF(tblPersons[[#This Row],[Sex]]="Male","Mr.","Ms.")</f>
        <v>Mr.</v>
      </c>
      <c r="D77" t="s">
        <v>685</v>
      </c>
      <c r="E77" t="s">
        <v>686</v>
      </c>
      <c r="F77" t="s">
        <v>687</v>
      </c>
      <c r="G77" t="s">
        <v>263</v>
      </c>
      <c r="H77" s="32">
        <v>35595</v>
      </c>
      <c r="I77" t="s">
        <v>818</v>
      </c>
      <c r="J77" t="s">
        <v>819</v>
      </c>
      <c r="K77" t="s">
        <v>820</v>
      </c>
      <c r="L77" t="s">
        <v>821</v>
      </c>
      <c r="M77" t="s">
        <v>822</v>
      </c>
      <c r="N77">
        <v>4097</v>
      </c>
      <c r="O77" t="s">
        <v>823</v>
      </c>
      <c r="P77" s="33" t="s">
        <v>824</v>
      </c>
      <c r="T77" t="s">
        <v>691</v>
      </c>
      <c r="V77" t="str">
        <f t="shared" si="4"/>
        <v>(NULL,"Mr.","Reyes","Mc Joben","Rodrigo","Male","1997-06-14","San Pedro, Laguna","#23 Maharlika St.","Brgy. Magsaysay","City of San Pedro","Laguna","4097","sad@gmail.com","09123123321"),</v>
      </c>
      <c r="W77" t="str">
        <f>TextJoin(tblPersons[[#This Row],[Title]:[ContactNo]],"Value")</f>
        <v>"Mr.","Reyes","Mc Joben","Rodrigo","Male","1997-06-14","San Pedro, Laguna","#23 Maharlika St.","Brgy. Magsaysay","City of San Pedro","Laguna","4097","sad@gmail.com","09123123321"</v>
      </c>
    </row>
    <row r="78" spans="2:23" hidden="1" x14ac:dyDescent="0.25">
      <c r="B78">
        <v>76</v>
      </c>
      <c r="C78" t="str">
        <f>IF(tblPersons[[#This Row],[Sex]]="Male","Mr.","Ms.")</f>
        <v>Mr.</v>
      </c>
      <c r="D78" t="s">
        <v>91</v>
      </c>
      <c r="E78" t="s">
        <v>698</v>
      </c>
      <c r="F78" t="s">
        <v>149</v>
      </c>
      <c r="G78" t="s">
        <v>263</v>
      </c>
      <c r="H78" s="32">
        <v>35596</v>
      </c>
      <c r="I78" t="s">
        <v>818</v>
      </c>
      <c r="J78" t="s">
        <v>819</v>
      </c>
      <c r="K78" t="s">
        <v>820</v>
      </c>
      <c r="L78" t="s">
        <v>821</v>
      </c>
      <c r="M78" t="s">
        <v>822</v>
      </c>
      <c r="N78">
        <v>4098</v>
      </c>
      <c r="O78" t="s">
        <v>823</v>
      </c>
      <c r="P78" s="33" t="s">
        <v>824</v>
      </c>
      <c r="T78" t="s">
        <v>724</v>
      </c>
      <c r="V78" t="str">
        <f t="shared" si="4"/>
        <v>(NULL,"Mr.","De Lumin","Arnold","E.","Male","1997-06-15","San Pedro, Laguna","#23 Maharlika St.","Brgy. Magsaysay","City of San Pedro","Laguna","4098","sad@gmail.com","09123123321"),</v>
      </c>
      <c r="W78" t="str">
        <f>TextJoin(tblPersons[[#This Row],[Title]:[ContactNo]],"Value")</f>
        <v>"Mr.","De Lumin","Arnold","E.","Male","1997-06-15","San Pedro, Laguna","#23 Maharlika St.","Brgy. Magsaysay","City of San Pedro","Laguna","4098","sad@gmail.com","09123123321"</v>
      </c>
    </row>
    <row r="79" spans="2:23" hidden="1" x14ac:dyDescent="0.25">
      <c r="B79">
        <v>77</v>
      </c>
      <c r="C79" t="str">
        <f>IF(tblPersons[[#This Row],[Sex]]="Male","Mr.","Ms.")</f>
        <v>Mr.</v>
      </c>
      <c r="D79" t="s">
        <v>699</v>
      </c>
      <c r="E79" t="s">
        <v>700</v>
      </c>
      <c r="G79" t="s">
        <v>263</v>
      </c>
      <c r="H79" s="32">
        <v>35597</v>
      </c>
      <c r="I79" t="s">
        <v>818</v>
      </c>
      <c r="J79" t="s">
        <v>819</v>
      </c>
      <c r="K79" t="s">
        <v>820</v>
      </c>
      <c r="L79" t="s">
        <v>821</v>
      </c>
      <c r="M79" t="s">
        <v>822</v>
      </c>
      <c r="N79">
        <v>4099</v>
      </c>
      <c r="O79" t="s">
        <v>823</v>
      </c>
      <c r="P79" s="33" t="s">
        <v>824</v>
      </c>
      <c r="T79" t="s">
        <v>725</v>
      </c>
      <c r="V79" t="str">
        <f t="shared" si="4"/>
        <v>(NULL,"Mr.","Duelas","John Emil","","Male","1997-06-16","San Pedro, Laguna","#23 Maharlika St.","Brgy. Magsaysay","City of San Pedro","Laguna","4099","sad@gmail.com","09123123321"),</v>
      </c>
      <c r="W79" t="str">
        <f>TextJoin(tblPersons[[#This Row],[Title]:[ContactNo]],"Value")</f>
        <v>"Mr.","Duelas","John Emil","","Male","1997-06-16","San Pedro, Laguna","#23 Maharlika St.","Brgy. Magsaysay","City of San Pedro","Laguna","4099","sad@gmail.com","09123123321"</v>
      </c>
    </row>
    <row r="80" spans="2:23" hidden="1" x14ac:dyDescent="0.25">
      <c r="B80">
        <v>78</v>
      </c>
      <c r="C80" t="str">
        <f>IF(tblPersons[[#This Row],[Sex]]="Male","Mr.","Ms.")</f>
        <v>Ms.</v>
      </c>
      <c r="D80" t="s">
        <v>701</v>
      </c>
      <c r="E80" t="s">
        <v>702</v>
      </c>
      <c r="G80" t="s">
        <v>264</v>
      </c>
      <c r="H80" s="32">
        <v>35598</v>
      </c>
      <c r="I80" t="s">
        <v>818</v>
      </c>
      <c r="J80" t="s">
        <v>819</v>
      </c>
      <c r="K80" t="s">
        <v>820</v>
      </c>
      <c r="L80" t="s">
        <v>821</v>
      </c>
      <c r="M80" t="s">
        <v>822</v>
      </c>
      <c r="N80">
        <v>4100</v>
      </c>
      <c r="O80" t="s">
        <v>823</v>
      </c>
      <c r="P80" s="33" t="s">
        <v>824</v>
      </c>
      <c r="T80" t="s">
        <v>726</v>
      </c>
      <c r="V80" t="str">
        <f t="shared" si="4"/>
        <v>(NULL,"Ms.","Palmes","Liezel","","Female","1997-06-17","San Pedro, Laguna","#23 Maharlika St.","Brgy. Magsaysay","City of San Pedro","Laguna","4100","sad@gmail.com","09123123321"),</v>
      </c>
      <c r="W80" t="str">
        <f>TextJoin(tblPersons[[#This Row],[Title]:[ContactNo]],"Value")</f>
        <v>"Ms.","Palmes","Liezel","","Female","1997-06-17","San Pedro, Laguna","#23 Maharlika St.","Brgy. Magsaysay","City of San Pedro","Laguna","4100","sad@gmail.com","09123123321"</v>
      </c>
    </row>
    <row r="81" spans="2:23" hidden="1" x14ac:dyDescent="0.25">
      <c r="B81">
        <v>79</v>
      </c>
      <c r="C81" t="str">
        <f>IF(tblPersons[[#This Row],[Sex]]="Male","Mr.","Ms.")</f>
        <v>Ms.</v>
      </c>
      <c r="D81" t="s">
        <v>703</v>
      </c>
      <c r="E81" t="s">
        <v>704</v>
      </c>
      <c r="G81" t="s">
        <v>264</v>
      </c>
      <c r="H81" s="32">
        <v>35599</v>
      </c>
      <c r="I81" t="s">
        <v>818</v>
      </c>
      <c r="J81" t="s">
        <v>819</v>
      </c>
      <c r="K81" t="s">
        <v>820</v>
      </c>
      <c r="L81" t="s">
        <v>821</v>
      </c>
      <c r="M81" t="s">
        <v>822</v>
      </c>
      <c r="N81">
        <v>4101</v>
      </c>
      <c r="O81" t="s">
        <v>823</v>
      </c>
      <c r="P81" s="33" t="s">
        <v>824</v>
      </c>
      <c r="T81" t="s">
        <v>727</v>
      </c>
      <c r="V81" t="str">
        <f t="shared" si="4"/>
        <v>(NULL,"Ms.","Macaraeg","Maricar","","Female","1997-06-18","San Pedro, Laguna","#23 Maharlika St.","Brgy. Magsaysay","City of San Pedro","Laguna","4101","sad@gmail.com","09123123321"),</v>
      </c>
      <c r="W81" t="str">
        <f>TextJoin(tblPersons[[#This Row],[Title]:[ContactNo]],"Value")</f>
        <v>"Ms.","Macaraeg","Maricar","","Female","1997-06-18","San Pedro, Laguna","#23 Maharlika St.","Brgy. Magsaysay","City of San Pedro","Laguna","4101","sad@gmail.com","09123123321"</v>
      </c>
    </row>
    <row r="82" spans="2:23" hidden="1" x14ac:dyDescent="0.25">
      <c r="B82">
        <v>80</v>
      </c>
      <c r="C82" t="str">
        <f>IF(tblPersons[[#This Row],[Sex]]="Male","Mr.","Ms.")</f>
        <v>Mr.</v>
      </c>
      <c r="D82" t="s">
        <v>705</v>
      </c>
      <c r="E82" t="s">
        <v>101</v>
      </c>
      <c r="G82" t="s">
        <v>263</v>
      </c>
      <c r="H82" s="32">
        <v>35600</v>
      </c>
      <c r="I82" t="s">
        <v>818</v>
      </c>
      <c r="J82" t="s">
        <v>819</v>
      </c>
      <c r="K82" t="s">
        <v>820</v>
      </c>
      <c r="L82" t="s">
        <v>821</v>
      </c>
      <c r="M82" t="s">
        <v>822</v>
      </c>
      <c r="N82">
        <v>4102</v>
      </c>
      <c r="O82" t="s">
        <v>823</v>
      </c>
      <c r="P82" s="33" t="s">
        <v>824</v>
      </c>
      <c r="T82" t="s">
        <v>728</v>
      </c>
      <c r="V82" t="str">
        <f t="shared" si="4"/>
        <v>(NULL,"Mr.","Laroya","Mark Anthony","","Male","1997-06-19","San Pedro, Laguna","#23 Maharlika St.","Brgy. Magsaysay","City of San Pedro","Laguna","4102","sad@gmail.com","09123123321"),</v>
      </c>
      <c r="W82" t="str">
        <f>TextJoin(tblPersons[[#This Row],[Title]:[ContactNo]],"Value")</f>
        <v>"Mr.","Laroya","Mark Anthony","","Male","1997-06-19","San Pedro, Laguna","#23 Maharlika St.","Brgy. Magsaysay","City of San Pedro","Laguna","4102","sad@gmail.com","09123123321"</v>
      </c>
    </row>
    <row r="83" spans="2:23" hidden="1" x14ac:dyDescent="0.25">
      <c r="B83">
        <v>81</v>
      </c>
      <c r="C83" t="str">
        <f>IF(tblPersons[[#This Row],[Sex]]="Male","Mr.","Ms.")</f>
        <v>Ms.</v>
      </c>
      <c r="D83" t="s">
        <v>706</v>
      </c>
      <c r="E83" t="s">
        <v>707</v>
      </c>
      <c r="G83" t="s">
        <v>264</v>
      </c>
      <c r="H83" s="32">
        <v>35601</v>
      </c>
      <c r="I83" t="s">
        <v>818</v>
      </c>
      <c r="J83" t="s">
        <v>819</v>
      </c>
      <c r="K83" t="s">
        <v>820</v>
      </c>
      <c r="L83" t="s">
        <v>821</v>
      </c>
      <c r="M83" t="s">
        <v>822</v>
      </c>
      <c r="N83">
        <v>4103</v>
      </c>
      <c r="O83" t="s">
        <v>823</v>
      </c>
      <c r="P83" s="33" t="s">
        <v>824</v>
      </c>
      <c r="T83" t="s">
        <v>729</v>
      </c>
      <c r="V83" t="str">
        <f t="shared" si="4"/>
        <v>(NULL,"Ms.","Abejar","Nelia","","Female","1997-06-20","San Pedro, Laguna","#23 Maharlika St.","Brgy. Magsaysay","City of San Pedro","Laguna","4103","sad@gmail.com","09123123321"),</v>
      </c>
      <c r="W83" t="str">
        <f>TextJoin(tblPersons[[#This Row],[Title]:[ContactNo]],"Value")</f>
        <v>"Ms.","Abejar","Nelia","","Female","1997-06-20","San Pedro, Laguna","#23 Maharlika St.","Brgy. Magsaysay","City of San Pedro","Laguna","4103","sad@gmail.com","09123123321"</v>
      </c>
    </row>
    <row r="84" spans="2:23" hidden="1" x14ac:dyDescent="0.25">
      <c r="B84">
        <v>82</v>
      </c>
      <c r="C84" t="str">
        <f>IF(tblPersons[[#This Row],[Sex]]="Male","Mr.","Ms.")</f>
        <v>Mr.</v>
      </c>
      <c r="D84" t="s">
        <v>708</v>
      </c>
      <c r="E84" t="s">
        <v>709</v>
      </c>
      <c r="G84" t="s">
        <v>263</v>
      </c>
      <c r="H84" s="32">
        <v>35602</v>
      </c>
      <c r="I84" t="s">
        <v>818</v>
      </c>
      <c r="J84" t="s">
        <v>819</v>
      </c>
      <c r="K84" t="s">
        <v>820</v>
      </c>
      <c r="L84" t="s">
        <v>821</v>
      </c>
      <c r="M84" t="s">
        <v>822</v>
      </c>
      <c r="N84">
        <v>4104</v>
      </c>
      <c r="O84" t="s">
        <v>823</v>
      </c>
      <c r="P84" s="33" t="s">
        <v>824</v>
      </c>
      <c r="T84" t="s">
        <v>730</v>
      </c>
      <c r="V84" t="str">
        <f t="shared" si="4"/>
        <v>(NULL,"Mr.","Cenia","Randolp","","Male","1997-06-21","San Pedro, Laguna","#23 Maharlika St.","Brgy. Magsaysay","City of San Pedro","Laguna","4104","sad@gmail.com","09123123321"),</v>
      </c>
      <c r="W84" t="str">
        <f>TextJoin(tblPersons[[#This Row],[Title]:[ContactNo]],"Value")</f>
        <v>"Mr.","Cenia","Randolp","","Male","1997-06-21","San Pedro, Laguna","#23 Maharlika St.","Brgy. Magsaysay","City of San Pedro","Laguna","4104","sad@gmail.com","09123123321"</v>
      </c>
    </row>
    <row r="85" spans="2:23" hidden="1" x14ac:dyDescent="0.25">
      <c r="B85">
        <v>83</v>
      </c>
      <c r="C85" t="str">
        <f>IF(tblPersons[[#This Row],[Sex]]="Male","Mr.","Ms.")</f>
        <v>Ms.</v>
      </c>
      <c r="D85" t="s">
        <v>710</v>
      </c>
      <c r="E85" t="s">
        <v>711</v>
      </c>
      <c r="G85" t="s">
        <v>264</v>
      </c>
      <c r="H85" s="32">
        <v>35603</v>
      </c>
      <c r="I85" t="s">
        <v>818</v>
      </c>
      <c r="J85" t="s">
        <v>819</v>
      </c>
      <c r="K85" t="s">
        <v>820</v>
      </c>
      <c r="L85" t="s">
        <v>821</v>
      </c>
      <c r="M85" t="s">
        <v>822</v>
      </c>
      <c r="N85">
        <v>4105</v>
      </c>
      <c r="O85" t="s">
        <v>823</v>
      </c>
      <c r="P85" s="33" t="s">
        <v>824</v>
      </c>
      <c r="T85" t="s">
        <v>731</v>
      </c>
      <c r="V85" t="str">
        <f t="shared" si="4"/>
        <v>(NULL,"Ms.","Dondoy","Cristy","","Female","1997-06-22","San Pedro, Laguna","#23 Maharlika St.","Brgy. Magsaysay","City of San Pedro","Laguna","4105","sad@gmail.com","09123123321"),</v>
      </c>
      <c r="W85" t="str">
        <f>TextJoin(tblPersons[[#This Row],[Title]:[ContactNo]],"Value")</f>
        <v>"Ms.","Dondoy","Cristy","","Female","1997-06-22","San Pedro, Laguna","#23 Maharlika St.","Brgy. Magsaysay","City of San Pedro","Laguna","4105","sad@gmail.com","09123123321"</v>
      </c>
    </row>
    <row r="86" spans="2:23" hidden="1" x14ac:dyDescent="0.25">
      <c r="B86">
        <v>84</v>
      </c>
      <c r="C86" t="str">
        <f>IF(tblPersons[[#This Row],[Sex]]="Male","Mr.","Ms.")</f>
        <v>Ms.</v>
      </c>
      <c r="D86" t="s">
        <v>712</v>
      </c>
      <c r="E86" t="s">
        <v>713</v>
      </c>
      <c r="G86" t="s">
        <v>264</v>
      </c>
      <c r="H86" s="32">
        <v>35604</v>
      </c>
      <c r="I86" t="s">
        <v>818</v>
      </c>
      <c r="J86" t="s">
        <v>819</v>
      </c>
      <c r="K86" t="s">
        <v>820</v>
      </c>
      <c r="L86" t="s">
        <v>821</v>
      </c>
      <c r="M86" t="s">
        <v>822</v>
      </c>
      <c r="N86">
        <v>4106</v>
      </c>
      <c r="O86" t="s">
        <v>823</v>
      </c>
      <c r="P86" s="33" t="s">
        <v>824</v>
      </c>
      <c r="T86" t="s">
        <v>732</v>
      </c>
      <c r="V86" t="str">
        <f t="shared" si="4"/>
        <v>(NULL,"Ms.","Santiago","Rowena","","Female","1997-06-23","San Pedro, Laguna","#23 Maharlika St.","Brgy. Magsaysay","City of San Pedro","Laguna","4106","sad@gmail.com","09123123321"),</v>
      </c>
      <c r="W86" t="str">
        <f>TextJoin(tblPersons[[#This Row],[Title]:[ContactNo]],"Value")</f>
        <v>"Ms.","Santiago","Rowena","","Female","1997-06-23","San Pedro, Laguna","#23 Maharlika St.","Brgy. Magsaysay","City of San Pedro","Laguna","4106","sad@gmail.com","09123123321"</v>
      </c>
    </row>
    <row r="87" spans="2:23" hidden="1" x14ac:dyDescent="0.25">
      <c r="B87">
        <v>85</v>
      </c>
      <c r="C87" t="str">
        <f>IF(tblPersons[[#This Row],[Sex]]="Male","Mr.","Ms.")</f>
        <v>Mr.</v>
      </c>
      <c r="D87" t="s">
        <v>185</v>
      </c>
      <c r="E87" t="s">
        <v>714</v>
      </c>
      <c r="G87" t="s">
        <v>263</v>
      </c>
      <c r="H87" s="32">
        <v>35605</v>
      </c>
      <c r="I87" t="s">
        <v>818</v>
      </c>
      <c r="J87" t="s">
        <v>819</v>
      </c>
      <c r="K87" t="s">
        <v>820</v>
      </c>
      <c r="L87" t="s">
        <v>821</v>
      </c>
      <c r="M87" t="s">
        <v>822</v>
      </c>
      <c r="N87">
        <v>4107</v>
      </c>
      <c r="O87" t="s">
        <v>823</v>
      </c>
      <c r="P87" s="33" t="s">
        <v>824</v>
      </c>
      <c r="T87" t="s">
        <v>733</v>
      </c>
      <c r="V87" t="str">
        <f t="shared" si="4"/>
        <v>(NULL,"Mr.","Valdez","Allan Raniel","","Male","1997-06-24","San Pedro, Laguna","#23 Maharlika St.","Brgy. Magsaysay","City of San Pedro","Laguna","4107","sad@gmail.com","09123123321"),</v>
      </c>
      <c r="W87" t="str">
        <f>TextJoin(tblPersons[[#This Row],[Title]:[ContactNo]],"Value")</f>
        <v>"Mr.","Valdez","Allan Raniel","","Male","1997-06-24","San Pedro, Laguna","#23 Maharlika St.","Brgy. Magsaysay","City of San Pedro","Laguna","4107","sad@gmail.com","09123123321"</v>
      </c>
    </row>
    <row r="88" spans="2:23" hidden="1" x14ac:dyDescent="0.25">
      <c r="B88">
        <v>86</v>
      </c>
      <c r="C88" t="str">
        <f>IF(tblPersons[[#This Row],[Sex]]="Male","Mr.","Ms.")</f>
        <v>Mr.</v>
      </c>
      <c r="D88" t="s">
        <v>715</v>
      </c>
      <c r="E88" t="s">
        <v>716</v>
      </c>
      <c r="G88" t="s">
        <v>263</v>
      </c>
      <c r="H88" s="32">
        <v>35606</v>
      </c>
      <c r="I88" t="s">
        <v>818</v>
      </c>
      <c r="J88" t="s">
        <v>819</v>
      </c>
      <c r="K88" t="s">
        <v>820</v>
      </c>
      <c r="L88" t="s">
        <v>821</v>
      </c>
      <c r="M88" t="s">
        <v>822</v>
      </c>
      <c r="N88">
        <v>4108</v>
      </c>
      <c r="O88" t="s">
        <v>823</v>
      </c>
      <c r="P88" s="33" t="s">
        <v>824</v>
      </c>
      <c r="T88" t="s">
        <v>734</v>
      </c>
      <c r="V88" t="str">
        <f t="shared" si="4"/>
        <v>(NULL,"Mr.","Zulueta","Juniper","","Male","1997-06-25","San Pedro, Laguna","#23 Maharlika St.","Brgy. Magsaysay","City of San Pedro","Laguna","4108","sad@gmail.com","09123123321"),</v>
      </c>
      <c r="W88" t="str">
        <f>TextJoin(tblPersons[[#This Row],[Title]:[ContactNo]],"Value")</f>
        <v>"Mr.","Zulueta","Juniper","","Male","1997-06-25","San Pedro, Laguna","#23 Maharlika St.","Brgy. Magsaysay","City of San Pedro","Laguna","4108","sad@gmail.com","09123123321"</v>
      </c>
    </row>
    <row r="89" spans="2:23" hidden="1" x14ac:dyDescent="0.25">
      <c r="B89">
        <v>87</v>
      </c>
      <c r="C89" t="str">
        <f>IF(tblPersons[[#This Row],[Sex]]="Male","Mr.","Ms.")</f>
        <v>Mr.</v>
      </c>
      <c r="D89" t="s">
        <v>717</v>
      </c>
      <c r="E89" t="s">
        <v>718</v>
      </c>
      <c r="G89" t="s">
        <v>263</v>
      </c>
      <c r="H89" s="32">
        <v>35607</v>
      </c>
      <c r="I89" t="s">
        <v>818</v>
      </c>
      <c r="J89" t="s">
        <v>819</v>
      </c>
      <c r="K89" t="s">
        <v>820</v>
      </c>
      <c r="L89" t="s">
        <v>821</v>
      </c>
      <c r="M89" t="s">
        <v>822</v>
      </c>
      <c r="N89">
        <v>4109</v>
      </c>
      <c r="O89" t="s">
        <v>823</v>
      </c>
      <c r="P89" s="33" t="s">
        <v>824</v>
      </c>
      <c r="T89" t="s">
        <v>735</v>
      </c>
      <c r="V89" t="str">
        <f t="shared" si="4"/>
        <v>(NULL,"Mr.","Recto","Juan","","Male","1997-06-26","San Pedro, Laguna","#23 Maharlika St.","Brgy. Magsaysay","City of San Pedro","Laguna","4109","sad@gmail.com","09123123321"),</v>
      </c>
      <c r="W89" t="str">
        <f>TextJoin(tblPersons[[#This Row],[Title]:[ContactNo]],"Value")</f>
        <v>"Mr.","Recto","Juan","","Male","1997-06-26","San Pedro, Laguna","#23 Maharlika St.","Brgy. Magsaysay","City of San Pedro","Laguna","4109","sad@gmail.com","09123123321"</v>
      </c>
    </row>
    <row r="90" spans="2:23" hidden="1" x14ac:dyDescent="0.25">
      <c r="B90">
        <v>88</v>
      </c>
      <c r="C90" t="str">
        <f>IF(tblPersons[[#This Row],[Sex]]="Male","Mr.","Ms.")</f>
        <v>Mr.</v>
      </c>
      <c r="D90" t="s">
        <v>719</v>
      </c>
      <c r="E90" t="s">
        <v>720</v>
      </c>
      <c r="G90" t="s">
        <v>263</v>
      </c>
      <c r="H90" s="32">
        <v>35608</v>
      </c>
      <c r="I90" t="s">
        <v>818</v>
      </c>
      <c r="J90" t="s">
        <v>819</v>
      </c>
      <c r="K90" t="s">
        <v>820</v>
      </c>
      <c r="L90" t="s">
        <v>821</v>
      </c>
      <c r="M90" t="s">
        <v>822</v>
      </c>
      <c r="N90">
        <v>4110</v>
      </c>
      <c r="O90" t="s">
        <v>823</v>
      </c>
      <c r="P90" s="33" t="s">
        <v>824</v>
      </c>
      <c r="T90" t="s">
        <v>736</v>
      </c>
      <c r="V90" t="str">
        <f t="shared" si="4"/>
        <v>(NULL,"Mr.","Ty","Gregorgio William","","Male","1997-06-27","San Pedro, Laguna","#23 Maharlika St.","Brgy. Magsaysay","City of San Pedro","Laguna","4110","sad@gmail.com","09123123321"),</v>
      </c>
      <c r="W90" t="str">
        <f>TextJoin(tblPersons[[#This Row],[Title]:[ContactNo]],"Value")</f>
        <v>"Mr.","Ty","Gregorgio William","","Male","1997-06-27","San Pedro, Laguna","#23 Maharlika St.","Brgy. Magsaysay","City of San Pedro","Laguna","4110","sad@gmail.com","09123123321"</v>
      </c>
    </row>
    <row r="91" spans="2:23" hidden="1" x14ac:dyDescent="0.25">
      <c r="B91">
        <v>89</v>
      </c>
      <c r="C91" t="str">
        <f>IF(tblPersons[[#This Row],[Sex]]="Male","Mr.","Ms.")</f>
        <v>Ms.</v>
      </c>
      <c r="D91" t="s">
        <v>721</v>
      </c>
      <c r="E91" t="s">
        <v>722</v>
      </c>
      <c r="G91" t="s">
        <v>264</v>
      </c>
      <c r="H91" s="32">
        <v>35609</v>
      </c>
      <c r="I91" t="s">
        <v>818</v>
      </c>
      <c r="J91" t="s">
        <v>819</v>
      </c>
      <c r="K91" t="s">
        <v>820</v>
      </c>
      <c r="L91" t="s">
        <v>821</v>
      </c>
      <c r="M91" t="s">
        <v>822</v>
      </c>
      <c r="N91">
        <v>4111</v>
      </c>
      <c r="O91" t="s">
        <v>823</v>
      </c>
      <c r="P91" s="33" t="s">
        <v>824</v>
      </c>
      <c r="T91" t="s">
        <v>737</v>
      </c>
      <c r="V91" t="str">
        <f t="shared" si="4"/>
        <v>(NULL,"Ms.","Visda","Rizhelle Ann","","Female","1997-06-28","San Pedro, Laguna","#23 Maharlika St.","Brgy. Magsaysay","City of San Pedro","Laguna","4111","sad@gmail.com","09123123321"),</v>
      </c>
      <c r="W91" t="str">
        <f>TextJoin(tblPersons[[#This Row],[Title]:[ContactNo]],"Value")</f>
        <v>"Ms.","Visda","Rizhelle Ann","","Female","1997-06-28","San Pedro, Laguna","#23 Maharlika St.","Brgy. Magsaysay","City of San Pedro","Laguna","4111","sad@gmail.com","09123123321"</v>
      </c>
    </row>
    <row r="92" spans="2:23" hidden="1" x14ac:dyDescent="0.25">
      <c r="B92">
        <v>90</v>
      </c>
      <c r="C92" t="str">
        <f>IF(tblPersons[[#This Row],[Sex]]="Male","Mr.","Ms.")</f>
        <v>Ms.</v>
      </c>
      <c r="D92" t="s">
        <v>685</v>
      </c>
      <c r="E92" t="s">
        <v>723</v>
      </c>
      <c r="G92" t="s">
        <v>264</v>
      </c>
      <c r="H92" s="32">
        <v>35610</v>
      </c>
      <c r="I92" t="s">
        <v>818</v>
      </c>
      <c r="J92" t="s">
        <v>819</v>
      </c>
      <c r="K92" t="s">
        <v>820</v>
      </c>
      <c r="L92" t="s">
        <v>821</v>
      </c>
      <c r="M92" t="s">
        <v>822</v>
      </c>
      <c r="N92">
        <v>4112</v>
      </c>
      <c r="O92" t="s">
        <v>823</v>
      </c>
      <c r="P92" s="33" t="s">
        <v>824</v>
      </c>
      <c r="T92" t="s">
        <v>738</v>
      </c>
      <c r="V92" t="str">
        <f t="shared" si="4"/>
        <v>(NULL,"Ms.","Reyes","Mary Ann","","Female","1997-06-29","San Pedro, Laguna","#23 Maharlika St.","Brgy. Magsaysay","City of San Pedro","Laguna","4112","sad@gmail.com","09123123321");</v>
      </c>
      <c r="W92" t="str">
        <f>TextJoin(tblPersons[[#This Row],[Title]:[ContactNo]],"Value")</f>
        <v>"Ms.","Reyes","Mary Ann","","Female","1997-06-29","San Pedro, Laguna","#23 Maharlika St.","Brgy. Magsaysay","City of San Pedro","Laguna","4112","sad@gmail.com","09123123321"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93"/>
  <sheetViews>
    <sheetView tabSelected="1" workbookViewId="0">
      <selection activeCell="H3" sqref="H3"/>
    </sheetView>
  </sheetViews>
  <sheetFormatPr defaultRowHeight="15" x14ac:dyDescent="0.25"/>
  <cols>
    <col min="1" max="1" width="0.85546875" customWidth="1"/>
    <col min="2" max="2" width="9.28515625" bestFit="1" customWidth="1"/>
    <col min="3" max="3" width="8" bestFit="1" customWidth="1"/>
    <col min="4" max="4" width="8" customWidth="1"/>
    <col min="5" max="5" width="12.42578125" customWidth="1"/>
    <col min="6" max="6" width="35.28515625" bestFit="1" customWidth="1"/>
    <col min="7" max="7" width="10.85546875" bestFit="1" customWidth="1"/>
    <col min="8" max="8" width="0.85546875" customWidth="1"/>
    <col min="9" max="9" width="36.85546875" bestFit="1" customWidth="1"/>
  </cols>
  <sheetData>
    <row r="1" spans="2:10" ht="5.0999999999999996" customHeight="1" x14ac:dyDescent="0.25"/>
    <row r="2" spans="2:10" x14ac:dyDescent="0.25">
      <c r="B2" t="s">
        <v>12</v>
      </c>
      <c r="C2" t="s">
        <v>814</v>
      </c>
      <c r="D2" t="s">
        <v>815</v>
      </c>
      <c r="E2" t="s">
        <v>34</v>
      </c>
      <c r="F2" t="s">
        <v>35</v>
      </c>
      <c r="G2" t="s">
        <v>817</v>
      </c>
      <c r="I2" t="str">
        <f>TextJoin(tblUsers[#Headers])</f>
        <v>UserID,RoleID,StatusID,Username,Password,ProfilePic</v>
      </c>
    </row>
    <row r="3" spans="2:10" x14ac:dyDescent="0.25">
      <c r="B3">
        <v>1</v>
      </c>
      <c r="C3">
        <v>1</v>
      </c>
      <c r="D3">
        <v>1</v>
      </c>
      <c r="E3" t="s">
        <v>816</v>
      </c>
      <c r="F3" s="14" t="str">
        <f>LOWER(MD5_string(tblUsers[[#This Row],[Username]]))</f>
        <v>e3afed0047b08059d0fada10f400c1e5</v>
      </c>
      <c r="I3" t="str">
        <f>"(NULL,"&amp;J3&amp;")"&amp;IF(I4&lt;&gt;"",",",";")</f>
        <v>(NULL,"1","1","Admin","e3afed0047b08059d0fada10f400c1e5",""),</v>
      </c>
      <c r="J3" t="str">
        <f>TextJoin(tblUsers[[#This Row],[RoleID]:[ProfilePic]],"Value")</f>
        <v>"1","1","Admin","e3afed0047b08059d0fada10f400c1e5",""</v>
      </c>
    </row>
    <row r="4" spans="2:10" x14ac:dyDescent="0.25">
      <c r="B4">
        <v>2</v>
      </c>
      <c r="C4">
        <v>3</v>
      </c>
      <c r="D4">
        <v>1</v>
      </c>
      <c r="E4" t="s">
        <v>193</v>
      </c>
      <c r="F4" t="str">
        <f>LOWER(MD5_string(tblUsers[[#This Row],[Username]]))</f>
        <v>aaeb6557ce12b8cc891fd0b2845347da</v>
      </c>
      <c r="I4" t="str">
        <f t="shared" ref="I4:I67" si="0">"(NULL,"&amp;J4&amp;")"&amp;IF(I5&lt;&gt;"",",",";")</f>
        <v>(NULL,"3","1","04-16-0077","aaeb6557ce12b8cc891fd0b2845347da",""),</v>
      </c>
      <c r="J4" t="str">
        <f>TextJoin(tblUsers[[#This Row],[RoleID]:[ProfilePic]],"Value")</f>
        <v>"3","1","04-16-0077","aaeb6557ce12b8cc891fd0b2845347da",""</v>
      </c>
    </row>
    <row r="5" spans="2:10" x14ac:dyDescent="0.25">
      <c r="B5">
        <v>3</v>
      </c>
      <c r="C5">
        <v>3</v>
      </c>
      <c r="D5">
        <v>1</v>
      </c>
      <c r="E5" t="s">
        <v>194</v>
      </c>
      <c r="F5" t="str">
        <f>LOWER(MD5_string(tblUsers[[#This Row],[Username]]))</f>
        <v>f0e631c9ea5fc0f2f6ea79f70197d899</v>
      </c>
      <c r="I5" t="str">
        <f t="shared" si="0"/>
        <v>(NULL,"3","1","04-18-0125","f0e631c9ea5fc0f2f6ea79f70197d899",""),</v>
      </c>
      <c r="J5" t="str">
        <f>TextJoin(tblUsers[[#This Row],[RoleID]:[ProfilePic]],"Value")</f>
        <v>"3","1","04-18-0125","f0e631c9ea5fc0f2f6ea79f70197d899",""</v>
      </c>
    </row>
    <row r="6" spans="2:10" x14ac:dyDescent="0.25">
      <c r="B6">
        <v>4</v>
      </c>
      <c r="C6">
        <v>3</v>
      </c>
      <c r="D6">
        <v>1</v>
      </c>
      <c r="E6" t="s">
        <v>195</v>
      </c>
      <c r="F6" t="str">
        <f>LOWER(MD5_string(tblUsers[[#This Row],[Username]]))</f>
        <v>483d5c188dd340b81cb62fa7759f77a6</v>
      </c>
      <c r="I6" t="str">
        <f t="shared" si="0"/>
        <v>(NULL,"3","1","04-15-0073","483d5c188dd340b81cb62fa7759f77a6",""),</v>
      </c>
      <c r="J6" t="str">
        <f>TextJoin(tblUsers[[#This Row],[RoleID]:[ProfilePic]],"Value")</f>
        <v>"3","1","04-15-0073","483d5c188dd340b81cb62fa7759f77a6",""</v>
      </c>
    </row>
    <row r="7" spans="2:10" x14ac:dyDescent="0.25">
      <c r="B7">
        <v>5</v>
      </c>
      <c r="C7">
        <v>3</v>
      </c>
      <c r="D7">
        <v>1</v>
      </c>
      <c r="E7" t="s">
        <v>196</v>
      </c>
      <c r="F7" t="str">
        <f>LOWER(MD5_string(tblUsers[[#This Row],[Username]]))</f>
        <v>87adea4cad3b14642d6b0c839dcd95f5</v>
      </c>
      <c r="I7" t="str">
        <f t="shared" si="0"/>
        <v>(NULL,"3","1","04-15-0074","87adea4cad3b14642d6b0c839dcd95f5",""),</v>
      </c>
      <c r="J7" t="str">
        <f>TextJoin(tblUsers[[#This Row],[RoleID]:[ProfilePic]],"Value")</f>
        <v>"3","1","04-15-0074","87adea4cad3b14642d6b0c839dcd95f5",""</v>
      </c>
    </row>
    <row r="8" spans="2:10" x14ac:dyDescent="0.25">
      <c r="B8">
        <v>6</v>
      </c>
      <c r="C8">
        <v>3</v>
      </c>
      <c r="D8">
        <v>1</v>
      </c>
      <c r="E8" t="s">
        <v>197</v>
      </c>
      <c r="F8" t="str">
        <f>LOWER(MD5_string(tblUsers[[#This Row],[Username]]))</f>
        <v>bf8c0e576df30edfbb27ba700d4a154e</v>
      </c>
      <c r="I8" t="str">
        <f t="shared" si="0"/>
        <v>(NULL,"3","1","04-16-0052","bf8c0e576df30edfbb27ba700d4a154e",""),</v>
      </c>
      <c r="J8" t="str">
        <f>TextJoin(tblUsers[[#This Row],[RoleID]:[ProfilePic]],"Value")</f>
        <v>"3","1","04-16-0052","bf8c0e576df30edfbb27ba700d4a154e",""</v>
      </c>
    </row>
    <row r="9" spans="2:10" x14ac:dyDescent="0.25">
      <c r="B9">
        <v>7</v>
      </c>
      <c r="C9">
        <v>3</v>
      </c>
      <c r="D9">
        <v>1</v>
      </c>
      <c r="E9" t="s">
        <v>198</v>
      </c>
      <c r="F9" t="str">
        <f>LOWER(MD5_string(tblUsers[[#This Row],[Username]]))</f>
        <v>6e835d3210c4fcd12de4bdb82d17f716</v>
      </c>
      <c r="I9" t="str">
        <f t="shared" si="0"/>
        <v>(NULL,"3","1","04-18-0080","6e835d3210c4fcd12de4bdb82d17f716",""),</v>
      </c>
      <c r="J9" t="str">
        <f>TextJoin(tblUsers[[#This Row],[RoleID]:[ProfilePic]],"Value")</f>
        <v>"3","1","04-18-0080","6e835d3210c4fcd12de4bdb82d17f716",""</v>
      </c>
    </row>
    <row r="10" spans="2:10" x14ac:dyDescent="0.25">
      <c r="B10">
        <v>8</v>
      </c>
      <c r="C10">
        <v>3</v>
      </c>
      <c r="D10">
        <v>1</v>
      </c>
      <c r="E10" t="s">
        <v>199</v>
      </c>
      <c r="F10" t="str">
        <f>LOWER(MD5_string(tblUsers[[#This Row],[Username]]))</f>
        <v>ecacdd92678959cfa67ff9e4e1c9cff0</v>
      </c>
      <c r="I10" t="str">
        <f t="shared" si="0"/>
        <v>(NULL,"3","1","04-16-0030","ecacdd92678959cfa67ff9e4e1c9cff0",""),</v>
      </c>
      <c r="J10" t="str">
        <f>TextJoin(tblUsers[[#This Row],[RoleID]:[ProfilePic]],"Value")</f>
        <v>"3","1","04-16-0030","ecacdd92678959cfa67ff9e4e1c9cff0",""</v>
      </c>
    </row>
    <row r="11" spans="2:10" x14ac:dyDescent="0.25">
      <c r="B11">
        <v>9</v>
      </c>
      <c r="C11">
        <v>3</v>
      </c>
      <c r="D11">
        <v>1</v>
      </c>
      <c r="E11" t="s">
        <v>200</v>
      </c>
      <c r="F11" t="str">
        <f>LOWER(MD5_string(tblUsers[[#This Row],[Username]]))</f>
        <v>478bade1fa74aadeb551101f3ea2631b</v>
      </c>
      <c r="I11" t="str">
        <f t="shared" si="0"/>
        <v>(NULL,"3","1","04-18-0043","478bade1fa74aadeb551101f3ea2631b",""),</v>
      </c>
      <c r="J11" t="str">
        <f>TextJoin(tblUsers[[#This Row],[RoleID]:[ProfilePic]],"Value")</f>
        <v>"3","1","04-18-0043","478bade1fa74aadeb551101f3ea2631b",""</v>
      </c>
    </row>
    <row r="12" spans="2:10" x14ac:dyDescent="0.25">
      <c r="B12">
        <v>10</v>
      </c>
      <c r="C12">
        <v>3</v>
      </c>
      <c r="D12">
        <v>1</v>
      </c>
      <c r="E12" t="s">
        <v>201</v>
      </c>
      <c r="F12" t="str">
        <f>LOWER(MD5_string(tblUsers[[#This Row],[Username]]))</f>
        <v>c2b92970c9d113b21e6a6fc1136ea403</v>
      </c>
      <c r="I12" t="str">
        <f t="shared" si="0"/>
        <v>(NULL,"3","1","04-18-0064","c2b92970c9d113b21e6a6fc1136ea403",""),</v>
      </c>
      <c r="J12" t="str">
        <f>TextJoin(tblUsers[[#This Row],[RoleID]:[ProfilePic]],"Value")</f>
        <v>"3","1","04-18-0064","c2b92970c9d113b21e6a6fc1136ea403",""</v>
      </c>
    </row>
    <row r="13" spans="2:10" x14ac:dyDescent="0.25">
      <c r="B13">
        <v>11</v>
      </c>
      <c r="C13">
        <v>3</v>
      </c>
      <c r="D13">
        <v>1</v>
      </c>
      <c r="E13" t="s">
        <v>202</v>
      </c>
      <c r="F13" t="str">
        <f>LOWER(MD5_string(tblUsers[[#This Row],[Username]]))</f>
        <v>3e59d93eed1dc581793a079c864ec26d</v>
      </c>
      <c r="I13" t="str">
        <f t="shared" si="0"/>
        <v>(NULL,"3","1","04-16-0004","3e59d93eed1dc581793a079c864ec26d",""),</v>
      </c>
      <c r="J13" t="str">
        <f>TextJoin(tblUsers[[#This Row],[RoleID]:[ProfilePic]],"Value")</f>
        <v>"3","1","04-16-0004","3e59d93eed1dc581793a079c864ec26d",""</v>
      </c>
    </row>
    <row r="14" spans="2:10" x14ac:dyDescent="0.25">
      <c r="B14">
        <v>12</v>
      </c>
      <c r="C14">
        <v>3</v>
      </c>
      <c r="D14">
        <v>1</v>
      </c>
      <c r="E14" t="s">
        <v>203</v>
      </c>
      <c r="F14" t="str">
        <f>LOWER(MD5_string(tblUsers[[#This Row],[Username]]))</f>
        <v>77727c3daf35e81bb12c363a034e3712</v>
      </c>
      <c r="I14" t="str">
        <f t="shared" si="0"/>
        <v>(NULL,"3","1","04-15-0061","77727c3daf35e81bb12c363a034e3712",""),</v>
      </c>
      <c r="J14" t="str">
        <f>TextJoin(tblUsers[[#This Row],[RoleID]:[ProfilePic]],"Value")</f>
        <v>"3","1","04-15-0061","77727c3daf35e81bb12c363a034e3712",""</v>
      </c>
    </row>
    <row r="15" spans="2:10" x14ac:dyDescent="0.25">
      <c r="B15">
        <v>13</v>
      </c>
      <c r="C15">
        <v>3</v>
      </c>
      <c r="D15">
        <v>1</v>
      </c>
      <c r="E15" t="s">
        <v>204</v>
      </c>
      <c r="F15" t="str">
        <f>LOWER(MD5_string(tblUsers[[#This Row],[Username]]))</f>
        <v>c5e00952e522d965f9930a9fd3b86671</v>
      </c>
      <c r="I15" t="str">
        <f t="shared" si="0"/>
        <v>(NULL,"3","1","04-15-0072","c5e00952e522d965f9930a9fd3b86671",""),</v>
      </c>
      <c r="J15" t="str">
        <f>TextJoin(tblUsers[[#This Row],[RoleID]:[ProfilePic]],"Value")</f>
        <v>"3","1","04-15-0072","c5e00952e522d965f9930a9fd3b86671",""</v>
      </c>
    </row>
    <row r="16" spans="2:10" x14ac:dyDescent="0.25">
      <c r="B16">
        <v>14</v>
      </c>
      <c r="C16">
        <v>3</v>
      </c>
      <c r="D16">
        <v>1</v>
      </c>
      <c r="E16" t="s">
        <v>205</v>
      </c>
      <c r="F16" t="str">
        <f>LOWER(MD5_string(tblUsers[[#This Row],[Username]]))</f>
        <v>f3f8e5515487d0abd3a583f0204ba2be</v>
      </c>
      <c r="I16" t="str">
        <f t="shared" si="0"/>
        <v>(NULL,"3","1","04-18-0004","f3f8e5515487d0abd3a583f0204ba2be",""),</v>
      </c>
      <c r="J16" t="str">
        <f>TextJoin(tblUsers[[#This Row],[RoleID]:[ProfilePic]],"Value")</f>
        <v>"3","1","04-18-0004","f3f8e5515487d0abd3a583f0204ba2be",""</v>
      </c>
    </row>
    <row r="17" spans="2:10" x14ac:dyDescent="0.25">
      <c r="B17">
        <v>15</v>
      </c>
      <c r="C17">
        <v>3</v>
      </c>
      <c r="D17">
        <v>1</v>
      </c>
      <c r="E17" t="s">
        <v>206</v>
      </c>
      <c r="F17" t="str">
        <f>LOWER(MD5_string(tblUsers[[#This Row],[Username]]))</f>
        <v>d7c538160c9cf956727377de74e6d254</v>
      </c>
      <c r="I17" t="str">
        <f t="shared" si="0"/>
        <v>(NULL,"3","1","04-18-0119","d7c538160c9cf956727377de74e6d254",""),</v>
      </c>
      <c r="J17" t="str">
        <f>TextJoin(tblUsers[[#This Row],[RoleID]:[ProfilePic]],"Value")</f>
        <v>"3","1","04-18-0119","d7c538160c9cf956727377de74e6d254",""</v>
      </c>
    </row>
    <row r="18" spans="2:10" x14ac:dyDescent="0.25">
      <c r="B18">
        <v>16</v>
      </c>
      <c r="C18">
        <v>3</v>
      </c>
      <c r="D18">
        <v>1</v>
      </c>
      <c r="E18" t="s">
        <v>207</v>
      </c>
      <c r="F18" t="str">
        <f>LOWER(MD5_string(tblUsers[[#This Row],[Username]]))</f>
        <v>5998e46432e5311ad12a34754e4911fc</v>
      </c>
      <c r="I18" t="str">
        <f t="shared" si="0"/>
        <v>(NULL,"3","1","04-18-0054","5998e46432e5311ad12a34754e4911fc",""),</v>
      </c>
      <c r="J18" t="str">
        <f>TextJoin(tblUsers[[#This Row],[RoleID]:[ProfilePic]],"Value")</f>
        <v>"3","1","04-18-0054","5998e46432e5311ad12a34754e4911fc",""</v>
      </c>
    </row>
    <row r="19" spans="2:10" x14ac:dyDescent="0.25">
      <c r="B19">
        <v>17</v>
      </c>
      <c r="C19">
        <v>3</v>
      </c>
      <c r="D19">
        <v>1</v>
      </c>
      <c r="E19" t="s">
        <v>208</v>
      </c>
      <c r="F19" t="str">
        <f>LOWER(MD5_string(tblUsers[[#This Row],[Username]]))</f>
        <v>65068f58aedaa0c927c5c665e6b68aed</v>
      </c>
      <c r="I19" t="str">
        <f t="shared" si="0"/>
        <v>(NULL,"3","1","04-15-0077","65068f58aedaa0c927c5c665e6b68aed",""),</v>
      </c>
      <c r="J19" t="str">
        <f>TextJoin(tblUsers[[#This Row],[RoleID]:[ProfilePic]],"Value")</f>
        <v>"3","1","04-15-0077","65068f58aedaa0c927c5c665e6b68aed",""</v>
      </c>
    </row>
    <row r="20" spans="2:10" x14ac:dyDescent="0.25">
      <c r="B20">
        <v>18</v>
      </c>
      <c r="C20">
        <v>3</v>
      </c>
      <c r="D20">
        <v>1</v>
      </c>
      <c r="E20" t="s">
        <v>209</v>
      </c>
      <c r="F20" t="str">
        <f>LOWER(MD5_string(tblUsers[[#This Row],[Username]]))</f>
        <v>53166c43a23e9fe21b45f47722b3acce</v>
      </c>
      <c r="I20" t="str">
        <f t="shared" si="0"/>
        <v>(NULL,"3","1","04-18-0071","53166c43a23e9fe21b45f47722b3acce",""),</v>
      </c>
      <c r="J20" t="str">
        <f>TextJoin(tblUsers[[#This Row],[RoleID]:[ProfilePic]],"Value")</f>
        <v>"3","1","04-18-0071","53166c43a23e9fe21b45f47722b3acce",""</v>
      </c>
    </row>
    <row r="21" spans="2:10" x14ac:dyDescent="0.25">
      <c r="B21">
        <v>19</v>
      </c>
      <c r="C21">
        <v>3</v>
      </c>
      <c r="D21">
        <v>1</v>
      </c>
      <c r="E21" t="s">
        <v>210</v>
      </c>
      <c r="F21" t="str">
        <f>LOWER(MD5_string(tblUsers[[#This Row],[Username]]))</f>
        <v>625d34da5e783b7d5e1874d446b385de</v>
      </c>
      <c r="I21" t="str">
        <f t="shared" si="0"/>
        <v>(NULL,"3","1","04-17-0042","625d34da5e783b7d5e1874d446b385de",""),</v>
      </c>
      <c r="J21" t="str">
        <f>TextJoin(tblUsers[[#This Row],[RoleID]:[ProfilePic]],"Value")</f>
        <v>"3","1","04-17-0042","625d34da5e783b7d5e1874d446b385de",""</v>
      </c>
    </row>
    <row r="22" spans="2:10" x14ac:dyDescent="0.25">
      <c r="B22">
        <v>20</v>
      </c>
      <c r="C22">
        <v>3</v>
      </c>
      <c r="D22">
        <v>1</v>
      </c>
      <c r="E22" t="s">
        <v>211</v>
      </c>
      <c r="F22" t="str">
        <f>LOWER(MD5_string(tblUsers[[#This Row],[Username]]))</f>
        <v>e26b2f1c2406e60b663f0c34707aaa6e</v>
      </c>
      <c r="I22" t="str">
        <f t="shared" si="0"/>
        <v>(NULL,"3","1","04-16-0024","e26b2f1c2406e60b663f0c34707aaa6e",""),</v>
      </c>
      <c r="J22" t="str">
        <f>TextJoin(tblUsers[[#This Row],[RoleID]:[ProfilePic]],"Value")</f>
        <v>"3","1","04-16-0024","e26b2f1c2406e60b663f0c34707aaa6e",""</v>
      </c>
    </row>
    <row r="23" spans="2:10" x14ac:dyDescent="0.25">
      <c r="B23">
        <v>21</v>
      </c>
      <c r="C23">
        <v>3</v>
      </c>
      <c r="D23">
        <v>1</v>
      </c>
      <c r="E23" t="s">
        <v>212</v>
      </c>
      <c r="F23" t="str">
        <f>LOWER(MD5_string(tblUsers[[#This Row],[Username]]))</f>
        <v>0fc8d5dde3b6fc9d654d0dde0206908d</v>
      </c>
      <c r="I23" t="str">
        <f t="shared" si="0"/>
        <v>(NULL,"3","1","04-17-0077","0fc8d5dde3b6fc9d654d0dde0206908d",""),</v>
      </c>
      <c r="J23" t="str">
        <f>TextJoin(tblUsers[[#This Row],[RoleID]:[ProfilePic]],"Value")</f>
        <v>"3","1","04-17-0077","0fc8d5dde3b6fc9d654d0dde0206908d",""</v>
      </c>
    </row>
    <row r="24" spans="2:10" x14ac:dyDescent="0.25">
      <c r="B24">
        <v>22</v>
      </c>
      <c r="C24">
        <v>3</v>
      </c>
      <c r="D24">
        <v>1</v>
      </c>
      <c r="E24" t="s">
        <v>213</v>
      </c>
      <c r="F24" t="str">
        <f>LOWER(MD5_string(tblUsers[[#This Row],[Username]]))</f>
        <v>5af25ea5b43a57ad4fbbdbbfdd4cf670</v>
      </c>
      <c r="I24" t="str">
        <f t="shared" si="0"/>
        <v>(NULL,"3","1","04-18-0049","5af25ea5b43a57ad4fbbdbbfdd4cf670",""),</v>
      </c>
      <c r="J24" t="str">
        <f>TextJoin(tblUsers[[#This Row],[RoleID]:[ProfilePic]],"Value")</f>
        <v>"3","1","04-18-0049","5af25ea5b43a57ad4fbbdbbfdd4cf670",""</v>
      </c>
    </row>
    <row r="25" spans="2:10" x14ac:dyDescent="0.25">
      <c r="B25">
        <v>23</v>
      </c>
      <c r="C25">
        <v>3</v>
      </c>
      <c r="D25">
        <v>1</v>
      </c>
      <c r="E25" t="s">
        <v>214</v>
      </c>
      <c r="F25" t="str">
        <f>LOWER(MD5_string(tblUsers[[#This Row],[Username]]))</f>
        <v>8fedee2d4cc25d8d4e6c878f54b82265</v>
      </c>
      <c r="I25" t="str">
        <f t="shared" si="0"/>
        <v>(NULL,"3","1","04-17-0043","8fedee2d4cc25d8d4e6c878f54b82265",""),</v>
      </c>
      <c r="J25" t="str">
        <f>TextJoin(tblUsers[[#This Row],[RoleID]:[ProfilePic]],"Value")</f>
        <v>"3","1","04-17-0043","8fedee2d4cc25d8d4e6c878f54b82265",""</v>
      </c>
    </row>
    <row r="26" spans="2:10" x14ac:dyDescent="0.25">
      <c r="B26">
        <v>24</v>
      </c>
      <c r="C26">
        <v>3</v>
      </c>
      <c r="D26">
        <v>1</v>
      </c>
      <c r="E26" t="s">
        <v>215</v>
      </c>
      <c r="F26" t="str">
        <f>LOWER(MD5_string(tblUsers[[#This Row],[Username]]))</f>
        <v>db9fff53ad0211e8bc86031a76a6b21d</v>
      </c>
      <c r="I26" t="str">
        <f t="shared" si="0"/>
        <v>(NULL,"3","1","04-15-0040","db9fff53ad0211e8bc86031a76a6b21d",""),</v>
      </c>
      <c r="J26" t="str">
        <f>TextJoin(tblUsers[[#This Row],[RoleID]:[ProfilePic]],"Value")</f>
        <v>"3","1","04-15-0040","db9fff53ad0211e8bc86031a76a6b21d",""</v>
      </c>
    </row>
    <row r="27" spans="2:10" x14ac:dyDescent="0.25">
      <c r="B27">
        <v>25</v>
      </c>
      <c r="C27">
        <v>3</v>
      </c>
      <c r="D27">
        <v>1</v>
      </c>
      <c r="E27" t="s">
        <v>216</v>
      </c>
      <c r="F27" t="str">
        <f>LOWER(MD5_string(tblUsers[[#This Row],[Username]]))</f>
        <v>9cdf6fe2c897586e6720a6510b26a4ff</v>
      </c>
      <c r="I27" t="str">
        <f t="shared" si="0"/>
        <v>(NULL,"3","1","04-18-0016","9cdf6fe2c897586e6720a6510b26a4ff",""),</v>
      </c>
      <c r="J27" t="str">
        <f>TextJoin(tblUsers[[#This Row],[RoleID]:[ProfilePic]],"Value")</f>
        <v>"3","1","04-18-0016","9cdf6fe2c897586e6720a6510b26a4ff",""</v>
      </c>
    </row>
    <row r="28" spans="2:10" x14ac:dyDescent="0.25">
      <c r="B28">
        <v>26</v>
      </c>
      <c r="C28">
        <v>3</v>
      </c>
      <c r="D28">
        <v>1</v>
      </c>
      <c r="E28" t="s">
        <v>217</v>
      </c>
      <c r="F28" t="str">
        <f>LOWER(MD5_string(tblUsers[[#This Row],[Username]]))</f>
        <v>2db0bb94fdc54d8cc69b9b2aad7a0685</v>
      </c>
      <c r="I28" t="str">
        <f t="shared" si="0"/>
        <v>(NULL,"3","1","04-15-0018","2db0bb94fdc54d8cc69b9b2aad7a0685",""),</v>
      </c>
      <c r="J28" t="str">
        <f>TextJoin(tblUsers[[#This Row],[RoleID]:[ProfilePic]],"Value")</f>
        <v>"3","1","04-15-0018","2db0bb94fdc54d8cc69b9b2aad7a0685",""</v>
      </c>
    </row>
    <row r="29" spans="2:10" x14ac:dyDescent="0.25">
      <c r="B29">
        <v>27</v>
      </c>
      <c r="C29">
        <v>3</v>
      </c>
      <c r="D29">
        <v>1</v>
      </c>
      <c r="E29" t="s">
        <v>218</v>
      </c>
      <c r="F29" t="str">
        <f>LOWER(MD5_string(tblUsers[[#This Row],[Username]]))</f>
        <v>419c192504892f470431c20c6fc8a140</v>
      </c>
      <c r="I29" t="str">
        <f t="shared" si="0"/>
        <v>(NULL,"3","1","04-15-0025","419c192504892f470431c20c6fc8a140",""),</v>
      </c>
      <c r="J29" t="str">
        <f>TextJoin(tblUsers[[#This Row],[RoleID]:[ProfilePic]],"Value")</f>
        <v>"3","1","04-15-0025","419c192504892f470431c20c6fc8a140",""</v>
      </c>
    </row>
    <row r="30" spans="2:10" x14ac:dyDescent="0.25">
      <c r="B30">
        <v>28</v>
      </c>
      <c r="C30">
        <v>3</v>
      </c>
      <c r="D30">
        <v>1</v>
      </c>
      <c r="E30" t="s">
        <v>219</v>
      </c>
      <c r="F30" t="str">
        <f>LOWER(MD5_string(tblUsers[[#This Row],[Username]]))</f>
        <v>6ac66a876eca051a3d8392a52aa06903</v>
      </c>
      <c r="I30" t="str">
        <f t="shared" si="0"/>
        <v>(NULL,"3","1","04-16-0055","6ac66a876eca051a3d8392a52aa06903",""),</v>
      </c>
      <c r="J30" t="str">
        <f>TextJoin(tblUsers[[#This Row],[RoleID]:[ProfilePic]],"Value")</f>
        <v>"3","1","04-16-0055","6ac66a876eca051a3d8392a52aa06903",""</v>
      </c>
    </row>
    <row r="31" spans="2:10" x14ac:dyDescent="0.25">
      <c r="B31">
        <v>29</v>
      </c>
      <c r="C31">
        <v>3</v>
      </c>
      <c r="D31">
        <v>1</v>
      </c>
      <c r="E31" t="s">
        <v>220</v>
      </c>
      <c r="F31" t="str">
        <f>LOWER(MD5_string(tblUsers[[#This Row],[Username]]))</f>
        <v>d399c66baedd9bd5a17ac6828d16ae54</v>
      </c>
      <c r="I31" t="str">
        <f t="shared" si="0"/>
        <v>(NULL,"3","1","04-16-0020","d399c66baedd9bd5a17ac6828d16ae54",""),</v>
      </c>
      <c r="J31" t="str">
        <f>TextJoin(tblUsers[[#This Row],[RoleID]:[ProfilePic]],"Value")</f>
        <v>"3","1","04-16-0020","d399c66baedd9bd5a17ac6828d16ae54",""</v>
      </c>
    </row>
    <row r="32" spans="2:10" x14ac:dyDescent="0.25">
      <c r="B32">
        <v>30</v>
      </c>
      <c r="C32">
        <v>3</v>
      </c>
      <c r="D32">
        <v>1</v>
      </c>
      <c r="E32" t="s">
        <v>221</v>
      </c>
      <c r="F32" t="str">
        <f>LOWER(MD5_string(tblUsers[[#This Row],[Username]]))</f>
        <v>a98db936efa14428a0c0fbde0dc25c18</v>
      </c>
      <c r="I32" t="str">
        <f t="shared" si="0"/>
        <v>(NULL,"3","1","04-18-0114","a98db936efa14428a0c0fbde0dc25c18",""),</v>
      </c>
      <c r="J32" t="str">
        <f>TextJoin(tblUsers[[#This Row],[RoleID]:[ProfilePic]],"Value")</f>
        <v>"3","1","04-18-0114","a98db936efa14428a0c0fbde0dc25c18",""</v>
      </c>
    </row>
    <row r="33" spans="2:10" x14ac:dyDescent="0.25">
      <c r="B33">
        <v>31</v>
      </c>
      <c r="C33">
        <v>3</v>
      </c>
      <c r="D33">
        <v>1</v>
      </c>
      <c r="E33" t="s">
        <v>222</v>
      </c>
      <c r="F33" t="str">
        <f>LOWER(MD5_string(tblUsers[[#This Row],[Username]]))</f>
        <v>532e7861993b557f8e081343cf4a61a1</v>
      </c>
      <c r="I33" t="str">
        <f t="shared" si="0"/>
        <v>(NULL,"3","1","04-15-0047","532e7861993b557f8e081343cf4a61a1",""),</v>
      </c>
      <c r="J33" t="str">
        <f>TextJoin(tblUsers[[#This Row],[RoleID]:[ProfilePic]],"Value")</f>
        <v>"3","1","04-15-0047","532e7861993b557f8e081343cf4a61a1",""</v>
      </c>
    </row>
    <row r="34" spans="2:10" x14ac:dyDescent="0.25">
      <c r="B34">
        <v>32</v>
      </c>
      <c r="C34">
        <v>3</v>
      </c>
      <c r="D34">
        <v>1</v>
      </c>
      <c r="E34" t="s">
        <v>223</v>
      </c>
      <c r="F34" t="str">
        <f>LOWER(MD5_string(tblUsers[[#This Row],[Username]]))</f>
        <v>fcfd8443926840cddf5a63c77e83e61f</v>
      </c>
      <c r="I34" t="str">
        <f t="shared" si="0"/>
        <v>(NULL,"3","1","04-17-0044","fcfd8443926840cddf5a63c77e83e61f",""),</v>
      </c>
      <c r="J34" t="str">
        <f>TextJoin(tblUsers[[#This Row],[RoleID]:[ProfilePic]],"Value")</f>
        <v>"3","1","04-17-0044","fcfd8443926840cddf5a63c77e83e61f",""</v>
      </c>
    </row>
    <row r="35" spans="2:10" x14ac:dyDescent="0.25">
      <c r="B35">
        <v>33</v>
      </c>
      <c r="C35">
        <v>3</v>
      </c>
      <c r="D35">
        <v>1</v>
      </c>
      <c r="E35" t="s">
        <v>224</v>
      </c>
      <c r="F35" t="str">
        <f>LOWER(MD5_string(tblUsers[[#This Row],[Username]]))</f>
        <v>710902543fa004c81eb0ce341e6acd5f</v>
      </c>
      <c r="I35" t="str">
        <f t="shared" si="0"/>
        <v>(NULL,"3","1","04-17-0028","710902543fa004c81eb0ce341e6acd5f",""),</v>
      </c>
      <c r="J35" t="str">
        <f>TextJoin(tblUsers[[#This Row],[RoleID]:[ProfilePic]],"Value")</f>
        <v>"3","1","04-17-0028","710902543fa004c81eb0ce341e6acd5f",""</v>
      </c>
    </row>
    <row r="36" spans="2:10" x14ac:dyDescent="0.25">
      <c r="B36">
        <v>34</v>
      </c>
      <c r="C36">
        <v>3</v>
      </c>
      <c r="D36">
        <v>1</v>
      </c>
      <c r="E36" t="s">
        <v>225</v>
      </c>
      <c r="F36" t="str">
        <f>LOWER(MD5_string(tblUsers[[#This Row],[Username]]))</f>
        <v>8f5ec3a0e4bfa63338f8b21c79fc2e15</v>
      </c>
      <c r="I36" t="str">
        <f t="shared" si="0"/>
        <v>(NULL,"3","1","04-15-0076","8f5ec3a0e4bfa63338f8b21c79fc2e15",""),</v>
      </c>
      <c r="J36" t="str">
        <f>TextJoin(tblUsers[[#This Row],[RoleID]:[ProfilePic]],"Value")</f>
        <v>"3","1","04-15-0076","8f5ec3a0e4bfa63338f8b21c79fc2e15",""</v>
      </c>
    </row>
    <row r="37" spans="2:10" x14ac:dyDescent="0.25">
      <c r="B37">
        <v>35</v>
      </c>
      <c r="C37">
        <v>3</v>
      </c>
      <c r="D37">
        <v>1</v>
      </c>
      <c r="E37" t="s">
        <v>226</v>
      </c>
      <c r="F37" t="str">
        <f>LOWER(MD5_string(tblUsers[[#This Row],[Username]]))</f>
        <v>d410acd4643e6582fc7a2fd15634e258</v>
      </c>
      <c r="I37" t="str">
        <f t="shared" si="0"/>
        <v>(NULL,"3","1","04-18-0113","d410acd4643e6582fc7a2fd15634e258",""),</v>
      </c>
      <c r="J37" t="str">
        <f>TextJoin(tblUsers[[#This Row],[RoleID]:[ProfilePic]],"Value")</f>
        <v>"3","1","04-18-0113","d410acd4643e6582fc7a2fd15634e258",""</v>
      </c>
    </row>
    <row r="38" spans="2:10" x14ac:dyDescent="0.25">
      <c r="B38">
        <v>36</v>
      </c>
      <c r="C38">
        <v>3</v>
      </c>
      <c r="D38">
        <v>1</v>
      </c>
      <c r="E38" t="s">
        <v>227</v>
      </c>
      <c r="F38" t="str">
        <f>LOWER(MD5_string(tblUsers[[#This Row],[Username]]))</f>
        <v>7e4ba0bd28c16a2a0a1b43ed3d915ba7</v>
      </c>
      <c r="I38" t="str">
        <f t="shared" si="0"/>
        <v>(NULL,"3","1","04-17-0070","7e4ba0bd28c16a2a0a1b43ed3d915ba7",""),</v>
      </c>
      <c r="J38" t="str">
        <f>TextJoin(tblUsers[[#This Row],[RoleID]:[ProfilePic]],"Value")</f>
        <v>"3","1","04-17-0070","7e4ba0bd28c16a2a0a1b43ed3d915ba7",""</v>
      </c>
    </row>
    <row r="39" spans="2:10" x14ac:dyDescent="0.25">
      <c r="B39">
        <v>37</v>
      </c>
      <c r="C39">
        <v>3</v>
      </c>
      <c r="D39">
        <v>1</v>
      </c>
      <c r="E39" t="s">
        <v>228</v>
      </c>
      <c r="F39" t="str">
        <f>LOWER(MD5_string(tblUsers[[#This Row],[Username]]))</f>
        <v>5a4678161ac525d686802ff63490f52a</v>
      </c>
      <c r="I39" t="str">
        <f t="shared" si="0"/>
        <v>(NULL,"3","1","04-18-0127","5a4678161ac525d686802ff63490f52a",""),</v>
      </c>
      <c r="J39" t="str">
        <f>TextJoin(tblUsers[[#This Row],[RoleID]:[ProfilePic]],"Value")</f>
        <v>"3","1","04-18-0127","5a4678161ac525d686802ff63490f52a",""</v>
      </c>
    </row>
    <row r="40" spans="2:10" x14ac:dyDescent="0.25">
      <c r="B40">
        <v>38</v>
      </c>
      <c r="C40">
        <v>3</v>
      </c>
      <c r="D40">
        <v>1</v>
      </c>
      <c r="E40" t="s">
        <v>229</v>
      </c>
      <c r="F40" t="str">
        <f>LOWER(MD5_string(tblUsers[[#This Row],[Username]]))</f>
        <v>54a79c54db36a075ae11328b9d0bbc87</v>
      </c>
      <c r="I40" t="str">
        <f t="shared" si="0"/>
        <v>(NULL,"3","1","04-14-0040","54a79c54db36a075ae11328b9d0bbc87",""),</v>
      </c>
      <c r="J40" t="str">
        <f>TextJoin(tblUsers[[#This Row],[RoleID]:[ProfilePic]],"Value")</f>
        <v>"3","1","04-14-0040","54a79c54db36a075ae11328b9d0bbc87",""</v>
      </c>
    </row>
    <row r="41" spans="2:10" x14ac:dyDescent="0.25">
      <c r="B41">
        <v>39</v>
      </c>
      <c r="C41">
        <v>3</v>
      </c>
      <c r="D41">
        <v>1</v>
      </c>
      <c r="E41" t="s">
        <v>230</v>
      </c>
      <c r="F41" t="str">
        <f>LOWER(MD5_string(tblUsers[[#This Row],[Username]]))</f>
        <v>5ca5c92e2b72b7abf326e718de210960</v>
      </c>
      <c r="I41" t="str">
        <f t="shared" si="0"/>
        <v>(NULL,"3","1","04-15-0079","5ca5c92e2b72b7abf326e718de210960",""),</v>
      </c>
      <c r="J41" t="str">
        <f>TextJoin(tblUsers[[#This Row],[RoleID]:[ProfilePic]],"Value")</f>
        <v>"3","1","04-15-0079","5ca5c92e2b72b7abf326e718de210960",""</v>
      </c>
    </row>
    <row r="42" spans="2:10" x14ac:dyDescent="0.25">
      <c r="B42">
        <v>40</v>
      </c>
      <c r="C42">
        <v>3</v>
      </c>
      <c r="D42">
        <v>1</v>
      </c>
      <c r="E42" t="s">
        <v>231</v>
      </c>
      <c r="F42" t="str">
        <f>LOWER(MD5_string(tblUsers[[#This Row],[Username]]))</f>
        <v>93cc84fbf4533cd877a66746c2d032be</v>
      </c>
      <c r="I42" t="str">
        <f t="shared" si="0"/>
        <v>(NULL,"3","1","04-17-0020","93cc84fbf4533cd877a66746c2d032be",""),</v>
      </c>
      <c r="J42" t="str">
        <f>TextJoin(tblUsers[[#This Row],[RoleID]:[ProfilePic]],"Value")</f>
        <v>"3","1","04-17-0020","93cc84fbf4533cd877a66746c2d032be",""</v>
      </c>
    </row>
    <row r="43" spans="2:10" x14ac:dyDescent="0.25">
      <c r="B43">
        <v>41</v>
      </c>
      <c r="C43">
        <v>3</v>
      </c>
      <c r="D43">
        <v>1</v>
      </c>
      <c r="E43" t="s">
        <v>232</v>
      </c>
      <c r="F43" t="str">
        <f>LOWER(MD5_string(tblUsers[[#This Row],[Username]]))</f>
        <v>b42609b981c60b8db8614834362b5636</v>
      </c>
      <c r="I43" t="str">
        <f t="shared" si="0"/>
        <v>(NULL,"3","1","04-16-0031","b42609b981c60b8db8614834362b5636",""),</v>
      </c>
      <c r="J43" t="str">
        <f>TextJoin(tblUsers[[#This Row],[RoleID]:[ProfilePic]],"Value")</f>
        <v>"3","1","04-16-0031","b42609b981c60b8db8614834362b5636",""</v>
      </c>
    </row>
    <row r="44" spans="2:10" x14ac:dyDescent="0.25">
      <c r="B44">
        <v>42</v>
      </c>
      <c r="C44">
        <v>3</v>
      </c>
      <c r="D44">
        <v>1</v>
      </c>
      <c r="E44" t="s">
        <v>233</v>
      </c>
      <c r="F44" t="str">
        <f>LOWER(MD5_string(tblUsers[[#This Row],[Username]]))</f>
        <v>c882a3a4345f19dc9aa64dbc34a3863a</v>
      </c>
      <c r="I44" t="str">
        <f t="shared" si="0"/>
        <v>(NULL,"3","1","04-17-0079","c882a3a4345f19dc9aa64dbc34a3863a",""),</v>
      </c>
      <c r="J44" t="str">
        <f>TextJoin(tblUsers[[#This Row],[RoleID]:[ProfilePic]],"Value")</f>
        <v>"3","1","04-17-0079","c882a3a4345f19dc9aa64dbc34a3863a",""</v>
      </c>
    </row>
    <row r="45" spans="2:10" x14ac:dyDescent="0.25">
      <c r="B45">
        <v>43</v>
      </c>
      <c r="C45">
        <v>3</v>
      </c>
      <c r="D45">
        <v>1</v>
      </c>
      <c r="E45" t="s">
        <v>234</v>
      </c>
      <c r="F45" t="str">
        <f>LOWER(MD5_string(tblUsers[[#This Row],[Username]]))</f>
        <v>63eea10e16be23ea145c62a42a87964f</v>
      </c>
      <c r="I45" t="str">
        <f t="shared" si="0"/>
        <v>(NULL,"3","1","04-15-0034","63eea10e16be23ea145c62a42a87964f",""),</v>
      </c>
      <c r="J45" t="str">
        <f>TextJoin(tblUsers[[#This Row],[RoleID]:[ProfilePic]],"Value")</f>
        <v>"3","1","04-15-0034","63eea10e16be23ea145c62a42a87964f",""</v>
      </c>
    </row>
    <row r="46" spans="2:10" x14ac:dyDescent="0.25">
      <c r="B46">
        <v>44</v>
      </c>
      <c r="C46">
        <v>3</v>
      </c>
      <c r="D46">
        <v>1</v>
      </c>
      <c r="E46" t="s">
        <v>235</v>
      </c>
      <c r="F46" t="str">
        <f>LOWER(MD5_string(tblUsers[[#This Row],[Username]]))</f>
        <v>7978a9dada2e12d8317fd12bfc73dc65</v>
      </c>
      <c r="I46" t="str">
        <f t="shared" si="0"/>
        <v>(NULL,"3","1","04-15-0028","7978a9dada2e12d8317fd12bfc73dc65",""),</v>
      </c>
      <c r="J46" t="str">
        <f>TextJoin(tblUsers[[#This Row],[RoleID]:[ProfilePic]],"Value")</f>
        <v>"3","1","04-15-0028","7978a9dada2e12d8317fd12bfc73dc65",""</v>
      </c>
    </row>
    <row r="47" spans="2:10" x14ac:dyDescent="0.25">
      <c r="B47">
        <v>45</v>
      </c>
      <c r="C47">
        <v>3</v>
      </c>
      <c r="D47">
        <v>1</v>
      </c>
      <c r="E47" t="s">
        <v>236</v>
      </c>
      <c r="F47" t="str">
        <f>LOWER(MD5_string(tblUsers[[#This Row],[Username]]))</f>
        <v>165b4464c7f257b79478d07fc588dbb0</v>
      </c>
      <c r="I47" t="str">
        <f t="shared" si="0"/>
        <v>(NULL,"3","1","04-18-0068","165b4464c7f257b79478d07fc588dbb0",""),</v>
      </c>
      <c r="J47" t="str">
        <f>TextJoin(tblUsers[[#This Row],[RoleID]:[ProfilePic]],"Value")</f>
        <v>"3","1","04-18-0068","165b4464c7f257b79478d07fc588dbb0",""</v>
      </c>
    </row>
    <row r="48" spans="2:10" x14ac:dyDescent="0.25">
      <c r="B48">
        <v>46</v>
      </c>
      <c r="C48">
        <v>3</v>
      </c>
      <c r="D48">
        <v>1</v>
      </c>
      <c r="E48" t="s">
        <v>237</v>
      </c>
      <c r="F48" t="str">
        <f>LOWER(MD5_string(tblUsers[[#This Row],[Username]]))</f>
        <v>5bed7ad3686a273e728836bb5e62c8d6</v>
      </c>
      <c r="I48" t="str">
        <f t="shared" si="0"/>
        <v>(NULL,"3","1","04-18-0138","5bed7ad3686a273e728836bb5e62c8d6",""),</v>
      </c>
      <c r="J48" t="str">
        <f>TextJoin(tblUsers[[#This Row],[RoleID]:[ProfilePic]],"Value")</f>
        <v>"3","1","04-18-0138","5bed7ad3686a273e728836bb5e62c8d6",""</v>
      </c>
    </row>
    <row r="49" spans="2:10" x14ac:dyDescent="0.25">
      <c r="B49">
        <v>47</v>
      </c>
      <c r="C49">
        <v>3</v>
      </c>
      <c r="D49">
        <v>1</v>
      </c>
      <c r="E49" t="s">
        <v>238</v>
      </c>
      <c r="F49" t="str">
        <f>LOWER(MD5_string(tblUsers[[#This Row],[Username]]))</f>
        <v>0121db897c8fa844b073ac620d671a7e</v>
      </c>
      <c r="I49" t="str">
        <f t="shared" si="0"/>
        <v>(NULL,"3","1","04-16-0070","0121db897c8fa844b073ac620d671a7e",""),</v>
      </c>
      <c r="J49" t="str">
        <f>TextJoin(tblUsers[[#This Row],[RoleID]:[ProfilePic]],"Value")</f>
        <v>"3","1","04-16-0070","0121db897c8fa844b073ac620d671a7e",""</v>
      </c>
    </row>
    <row r="50" spans="2:10" x14ac:dyDescent="0.25">
      <c r="B50">
        <v>48</v>
      </c>
      <c r="C50">
        <v>3</v>
      </c>
      <c r="D50">
        <v>1</v>
      </c>
      <c r="E50" t="s">
        <v>239</v>
      </c>
      <c r="F50" t="str">
        <f>LOWER(MD5_string(tblUsers[[#This Row],[Username]]))</f>
        <v>c25665798fcb11672f8c9bfaaa3c6b97</v>
      </c>
      <c r="I50" t="str">
        <f t="shared" si="0"/>
        <v>(NULL,"3","1","04-16-0051","c25665798fcb11672f8c9bfaaa3c6b97",""),</v>
      </c>
      <c r="J50" t="str">
        <f>TextJoin(tblUsers[[#This Row],[RoleID]:[ProfilePic]],"Value")</f>
        <v>"3","1","04-16-0051","c25665798fcb11672f8c9bfaaa3c6b97",""</v>
      </c>
    </row>
    <row r="51" spans="2:10" x14ac:dyDescent="0.25">
      <c r="B51">
        <v>49</v>
      </c>
      <c r="C51">
        <v>3</v>
      </c>
      <c r="D51">
        <v>1</v>
      </c>
      <c r="E51" t="s">
        <v>240</v>
      </c>
      <c r="F51" t="str">
        <f>LOWER(MD5_string(tblUsers[[#This Row],[Username]]))</f>
        <v>c844329ca49f279d0baaf384cc8bc7d1</v>
      </c>
      <c r="I51" t="str">
        <f t="shared" si="0"/>
        <v>(NULL,"3","1","04-17-0009","c844329ca49f279d0baaf384cc8bc7d1",""),</v>
      </c>
      <c r="J51" t="str">
        <f>TextJoin(tblUsers[[#This Row],[RoleID]:[ProfilePic]],"Value")</f>
        <v>"3","1","04-17-0009","c844329ca49f279d0baaf384cc8bc7d1",""</v>
      </c>
    </row>
    <row r="52" spans="2:10" x14ac:dyDescent="0.25">
      <c r="B52">
        <v>50</v>
      </c>
      <c r="C52">
        <v>3</v>
      </c>
      <c r="D52">
        <v>1</v>
      </c>
      <c r="E52" t="s">
        <v>241</v>
      </c>
      <c r="F52" t="str">
        <f>LOWER(MD5_string(tblUsers[[#This Row],[Username]]))</f>
        <v>b80d84e9d9aaec443952f94bd433132a</v>
      </c>
      <c r="I52" t="str">
        <f t="shared" si="0"/>
        <v>(NULL,"3","1","04-18-0038","b80d84e9d9aaec443952f94bd433132a",""),</v>
      </c>
      <c r="J52" t="str">
        <f>TextJoin(tblUsers[[#This Row],[RoleID]:[ProfilePic]],"Value")</f>
        <v>"3","1","04-18-0038","b80d84e9d9aaec443952f94bd433132a",""</v>
      </c>
    </row>
    <row r="53" spans="2:10" x14ac:dyDescent="0.25">
      <c r="B53">
        <v>51</v>
      </c>
      <c r="C53">
        <v>3</v>
      </c>
      <c r="D53">
        <v>1</v>
      </c>
      <c r="E53" t="s">
        <v>242</v>
      </c>
      <c r="F53" t="str">
        <f>LOWER(MD5_string(tblUsers[[#This Row],[Username]]))</f>
        <v>607ee6e5d5aafb0912598cc884bab4e7</v>
      </c>
      <c r="I53" t="str">
        <f t="shared" si="0"/>
        <v>(NULL,"3","1","04-17-0017","607ee6e5d5aafb0912598cc884bab4e7",""),</v>
      </c>
      <c r="J53" t="str">
        <f>TextJoin(tblUsers[[#This Row],[RoleID]:[ProfilePic]],"Value")</f>
        <v>"3","1","04-17-0017","607ee6e5d5aafb0912598cc884bab4e7",""</v>
      </c>
    </row>
    <row r="54" spans="2:10" x14ac:dyDescent="0.25">
      <c r="B54">
        <v>52</v>
      </c>
      <c r="C54">
        <v>3</v>
      </c>
      <c r="D54">
        <v>1</v>
      </c>
      <c r="E54" t="s">
        <v>243</v>
      </c>
      <c r="F54" t="str">
        <f>LOWER(MD5_string(tblUsers[[#This Row],[Username]]))</f>
        <v>e7e9d35b022f8c7d8a54004aba219d0e</v>
      </c>
      <c r="I54" t="str">
        <f t="shared" si="0"/>
        <v>(NULL,"3","1","04-16-0014","e7e9d35b022f8c7d8a54004aba219d0e",""),</v>
      </c>
      <c r="J54" t="str">
        <f>TextJoin(tblUsers[[#This Row],[RoleID]:[ProfilePic]],"Value")</f>
        <v>"3","1","04-16-0014","e7e9d35b022f8c7d8a54004aba219d0e",""</v>
      </c>
    </row>
    <row r="55" spans="2:10" x14ac:dyDescent="0.25">
      <c r="B55">
        <v>53</v>
      </c>
      <c r="C55">
        <v>3</v>
      </c>
      <c r="D55">
        <v>1</v>
      </c>
      <c r="E55" t="s">
        <v>244</v>
      </c>
      <c r="F55" t="str">
        <f>LOWER(MD5_string(tblUsers[[#This Row],[Username]]))</f>
        <v>cfc209f6a3e646c25c50580559e4e541</v>
      </c>
      <c r="I55" t="str">
        <f t="shared" si="0"/>
        <v>(NULL,"3","1","04-18-0073","cfc209f6a3e646c25c50580559e4e541",""),</v>
      </c>
      <c r="J55" t="str">
        <f>TextJoin(tblUsers[[#This Row],[RoleID]:[ProfilePic]],"Value")</f>
        <v>"3","1","04-18-0073","cfc209f6a3e646c25c50580559e4e541",""</v>
      </c>
    </row>
    <row r="56" spans="2:10" x14ac:dyDescent="0.25">
      <c r="B56">
        <v>54</v>
      </c>
      <c r="C56">
        <v>3</v>
      </c>
      <c r="D56">
        <v>1</v>
      </c>
      <c r="E56" t="s">
        <v>245</v>
      </c>
      <c r="F56" t="str">
        <f>LOWER(MD5_string(tblUsers[[#This Row],[Username]]))</f>
        <v>98cc4101ec6c2c01d62093eb1e5ad3cb</v>
      </c>
      <c r="I56" t="str">
        <f t="shared" si="0"/>
        <v>(NULL,"3","1","04-18-0040","98cc4101ec6c2c01d62093eb1e5ad3cb",""),</v>
      </c>
      <c r="J56" t="str">
        <f>TextJoin(tblUsers[[#This Row],[RoleID]:[ProfilePic]],"Value")</f>
        <v>"3","1","04-18-0040","98cc4101ec6c2c01d62093eb1e5ad3cb",""</v>
      </c>
    </row>
    <row r="57" spans="2:10" x14ac:dyDescent="0.25">
      <c r="B57">
        <v>55</v>
      </c>
      <c r="C57">
        <v>3</v>
      </c>
      <c r="D57">
        <v>1</v>
      </c>
      <c r="E57" t="s">
        <v>246</v>
      </c>
      <c r="F57" t="str">
        <f>LOWER(MD5_string(tblUsers[[#This Row],[Username]]))</f>
        <v>24f09d7c04015462de5de4f2c95a5f5c</v>
      </c>
      <c r="I57" t="str">
        <f t="shared" si="0"/>
        <v>(NULL,"3","1","04-16-0046","24f09d7c04015462de5de4f2c95a5f5c",""),</v>
      </c>
      <c r="J57" t="str">
        <f>TextJoin(tblUsers[[#This Row],[RoleID]:[ProfilePic]],"Value")</f>
        <v>"3","1","04-16-0046","24f09d7c04015462de5de4f2c95a5f5c",""</v>
      </c>
    </row>
    <row r="58" spans="2:10" x14ac:dyDescent="0.25">
      <c r="B58">
        <v>56</v>
      </c>
      <c r="C58">
        <v>3</v>
      </c>
      <c r="D58">
        <v>1</v>
      </c>
      <c r="E58" t="s">
        <v>247</v>
      </c>
      <c r="F58" t="str">
        <f>LOWER(MD5_string(tblUsers[[#This Row],[Username]]))</f>
        <v>71b9aa1771782288c59bcf66dfcedd91</v>
      </c>
      <c r="I58" t="str">
        <f t="shared" si="0"/>
        <v>(NULL,"3","1","04-17-0092","71b9aa1771782288c59bcf66dfcedd91",""),</v>
      </c>
      <c r="J58" t="str">
        <f>TextJoin(tblUsers[[#This Row],[RoleID]:[ProfilePic]],"Value")</f>
        <v>"3","1","04-17-0092","71b9aa1771782288c59bcf66dfcedd91",""</v>
      </c>
    </row>
    <row r="59" spans="2:10" x14ac:dyDescent="0.25">
      <c r="B59">
        <v>57</v>
      </c>
      <c r="C59">
        <v>3</v>
      </c>
      <c r="D59">
        <v>1</v>
      </c>
      <c r="E59" t="s">
        <v>248</v>
      </c>
      <c r="F59" t="str">
        <f>LOWER(MD5_string(tblUsers[[#This Row],[Username]]))</f>
        <v>effb9e82635eb132526b07cf57a56dae</v>
      </c>
      <c r="I59" t="str">
        <f t="shared" si="0"/>
        <v>(NULL,"3","1","04-16-0043","effb9e82635eb132526b07cf57a56dae",""),</v>
      </c>
      <c r="J59" t="str">
        <f>TextJoin(tblUsers[[#This Row],[RoleID]:[ProfilePic]],"Value")</f>
        <v>"3","1","04-16-0043","effb9e82635eb132526b07cf57a56dae",""</v>
      </c>
    </row>
    <row r="60" spans="2:10" x14ac:dyDescent="0.25">
      <c r="B60">
        <v>58</v>
      </c>
      <c r="C60">
        <v>3</v>
      </c>
      <c r="D60">
        <v>1</v>
      </c>
      <c r="E60" t="s">
        <v>249</v>
      </c>
      <c r="F60" t="str">
        <f>LOWER(MD5_string(tblUsers[[#This Row],[Username]]))</f>
        <v>73ca86dba8270bc388e7f3bcf347a218</v>
      </c>
      <c r="I60" t="str">
        <f t="shared" si="0"/>
        <v>(NULL,"3","1","04-15-0092","73ca86dba8270bc388e7f3bcf347a218",""),</v>
      </c>
      <c r="J60" t="str">
        <f>TextJoin(tblUsers[[#This Row],[RoleID]:[ProfilePic]],"Value")</f>
        <v>"3","1","04-15-0092","73ca86dba8270bc388e7f3bcf347a218",""</v>
      </c>
    </row>
    <row r="61" spans="2:10" x14ac:dyDescent="0.25">
      <c r="B61">
        <v>59</v>
      </c>
      <c r="C61">
        <v>3</v>
      </c>
      <c r="D61">
        <v>1</v>
      </c>
      <c r="E61" t="s">
        <v>250</v>
      </c>
      <c r="F61" t="str">
        <f>LOWER(MD5_string(tblUsers[[#This Row],[Username]]))</f>
        <v>efedcfbd9dd0b54bea63664c04b8d1da</v>
      </c>
      <c r="I61" t="str">
        <f t="shared" si="0"/>
        <v>(NULL,"3","1","04-18-0007","efedcfbd9dd0b54bea63664c04b8d1da",""),</v>
      </c>
      <c r="J61" t="str">
        <f>TextJoin(tblUsers[[#This Row],[RoleID]:[ProfilePic]],"Value")</f>
        <v>"3","1","04-18-0007","efedcfbd9dd0b54bea63664c04b8d1da",""</v>
      </c>
    </row>
    <row r="62" spans="2:10" x14ac:dyDescent="0.25">
      <c r="B62">
        <v>60</v>
      </c>
      <c r="C62">
        <v>3</v>
      </c>
      <c r="D62">
        <v>1</v>
      </c>
      <c r="E62" t="s">
        <v>519</v>
      </c>
      <c r="F62" t="str">
        <f>LOWER(MD5_string(tblUsers[[#This Row],[Username]]))</f>
        <v>7815696ecbf1c96e6894b779456d330e</v>
      </c>
      <c r="I62" t="str">
        <f t="shared" si="0"/>
        <v>(NULL,"3","1","asd","7815696ecbf1c96e6894b779456d330e",""),</v>
      </c>
      <c r="J62" t="str">
        <f>TextJoin(tblUsers[[#This Row],[RoleID]:[ProfilePic]],"Value")</f>
        <v>"3","1","asd","7815696ecbf1c96e6894b779456d330e",""</v>
      </c>
    </row>
    <row r="63" spans="2:10" x14ac:dyDescent="0.25">
      <c r="B63">
        <v>61</v>
      </c>
      <c r="C63">
        <v>3</v>
      </c>
      <c r="D63">
        <v>1</v>
      </c>
      <c r="E63" t="s">
        <v>251</v>
      </c>
      <c r="F63" t="str">
        <f>LOWER(MD5_string(tblUsers[[#This Row],[Username]]))</f>
        <v>17ccadf872c79f3bcf8cfdd551539ec5</v>
      </c>
      <c r="I63" t="str">
        <f t="shared" si="0"/>
        <v>(NULL,"3","1","04-18-0025","17ccadf872c79f3bcf8cfdd551539ec5",""),</v>
      </c>
      <c r="J63" t="str">
        <f>TextJoin(tblUsers[[#This Row],[RoleID]:[ProfilePic]],"Value")</f>
        <v>"3","1","04-18-0025","17ccadf872c79f3bcf8cfdd551539ec5",""</v>
      </c>
    </row>
    <row r="64" spans="2:10" x14ac:dyDescent="0.25">
      <c r="B64">
        <v>62</v>
      </c>
      <c r="C64">
        <v>3</v>
      </c>
      <c r="D64">
        <v>1</v>
      </c>
      <c r="E64" t="s">
        <v>252</v>
      </c>
      <c r="F64" t="str">
        <f>LOWER(MD5_string(tblUsers[[#This Row],[Username]]))</f>
        <v>0e6dff88b70f83adbe59e9f4e7a5fec8</v>
      </c>
      <c r="I64" t="str">
        <f t="shared" si="0"/>
        <v>(NULL,"3","1","04-18-0069","0e6dff88b70f83adbe59e9f4e7a5fec8",""),</v>
      </c>
      <c r="J64" t="str">
        <f>TextJoin(tblUsers[[#This Row],[RoleID]:[ProfilePic]],"Value")</f>
        <v>"3","1","04-18-0069","0e6dff88b70f83adbe59e9f4e7a5fec8",""</v>
      </c>
    </row>
    <row r="65" spans="2:10" x14ac:dyDescent="0.25">
      <c r="B65">
        <v>63</v>
      </c>
      <c r="C65">
        <v>3</v>
      </c>
      <c r="D65">
        <v>1</v>
      </c>
      <c r="E65" t="s">
        <v>253</v>
      </c>
      <c r="F65" t="str">
        <f>LOWER(MD5_string(tblUsers[[#This Row],[Username]]))</f>
        <v>964e44ac672e903927b1bedc9f8072d5</v>
      </c>
      <c r="I65" t="str">
        <f t="shared" si="0"/>
        <v>(NULL,"3","1","04-18-0002","964e44ac672e903927b1bedc9f8072d5",""),</v>
      </c>
      <c r="J65" t="str">
        <f>TextJoin(tblUsers[[#This Row],[RoleID]:[ProfilePic]],"Value")</f>
        <v>"3","1","04-18-0002","964e44ac672e903927b1bedc9f8072d5",""</v>
      </c>
    </row>
    <row r="66" spans="2:10" x14ac:dyDescent="0.25">
      <c r="B66">
        <v>64</v>
      </c>
      <c r="C66">
        <v>3</v>
      </c>
      <c r="D66">
        <v>1</v>
      </c>
      <c r="E66" t="s">
        <v>254</v>
      </c>
      <c r="F66" t="str">
        <f>LOWER(MD5_string(tblUsers[[#This Row],[Username]]))</f>
        <v>3ac52af718c182d1413fa13d5f38d6b8</v>
      </c>
      <c r="I66" t="str">
        <f t="shared" si="0"/>
        <v>(NULL,"3","1","04-17-0061","3ac52af718c182d1413fa13d5f38d6b8",""),</v>
      </c>
      <c r="J66" t="str">
        <f>TextJoin(tblUsers[[#This Row],[RoleID]:[ProfilePic]],"Value")</f>
        <v>"3","1","04-17-0061","3ac52af718c182d1413fa13d5f38d6b8",""</v>
      </c>
    </row>
    <row r="67" spans="2:10" x14ac:dyDescent="0.25">
      <c r="B67">
        <v>65</v>
      </c>
      <c r="C67">
        <v>3</v>
      </c>
      <c r="D67">
        <v>1</v>
      </c>
      <c r="E67" t="s">
        <v>255</v>
      </c>
      <c r="F67" t="str">
        <f>LOWER(MD5_string(tblUsers[[#This Row],[Username]]))</f>
        <v>d73983e713258dfa31817ef34c943876</v>
      </c>
      <c r="I67" t="str">
        <f t="shared" si="0"/>
        <v>(NULL,"3","1","04-18-0041","d73983e713258dfa31817ef34c943876",""),</v>
      </c>
      <c r="J67" t="str">
        <f>TextJoin(tblUsers[[#This Row],[RoleID]:[ProfilePic]],"Value")</f>
        <v>"3","1","04-18-0041","d73983e713258dfa31817ef34c943876",""</v>
      </c>
    </row>
    <row r="68" spans="2:10" x14ac:dyDescent="0.25">
      <c r="B68">
        <v>66</v>
      </c>
      <c r="C68">
        <v>3</v>
      </c>
      <c r="D68">
        <v>1</v>
      </c>
      <c r="E68" t="s">
        <v>256</v>
      </c>
      <c r="F68" t="str">
        <f>LOWER(MD5_string(tblUsers[[#This Row],[Username]]))</f>
        <v>1af682c85c6bdffa47add2d16c48a9c6</v>
      </c>
      <c r="I68" t="str">
        <f t="shared" ref="I68:I93" si="1">"(NULL,"&amp;J68&amp;")"&amp;IF(I69&lt;&gt;"",",",";")</f>
        <v>(NULL,"3","1","04-17-0002","1af682c85c6bdffa47add2d16c48a9c6",""),</v>
      </c>
      <c r="J68" t="str">
        <f>TextJoin(tblUsers[[#This Row],[RoleID]:[ProfilePic]],"Value")</f>
        <v>"3","1","04-17-0002","1af682c85c6bdffa47add2d16c48a9c6",""</v>
      </c>
    </row>
    <row r="69" spans="2:10" x14ac:dyDescent="0.25">
      <c r="B69">
        <v>67</v>
      </c>
      <c r="C69">
        <v>3</v>
      </c>
      <c r="D69">
        <v>1</v>
      </c>
      <c r="E69" t="s">
        <v>257</v>
      </c>
      <c r="F69" t="str">
        <f>LOWER(MD5_string(tblUsers[[#This Row],[Username]]))</f>
        <v>a292e22349f60337f68d65707255769a</v>
      </c>
      <c r="I69" t="str">
        <f t="shared" si="1"/>
        <v>(NULL,"3","1","04-18-0103","a292e22349f60337f68d65707255769a",""),</v>
      </c>
      <c r="J69" t="str">
        <f>TextJoin(tblUsers[[#This Row],[RoleID]:[ProfilePic]],"Value")</f>
        <v>"3","1","04-18-0103","a292e22349f60337f68d65707255769a",""</v>
      </c>
    </row>
    <row r="70" spans="2:10" x14ac:dyDescent="0.25">
      <c r="B70">
        <v>68</v>
      </c>
      <c r="C70">
        <v>3</v>
      </c>
      <c r="D70">
        <v>1</v>
      </c>
      <c r="E70" t="s">
        <v>258</v>
      </c>
      <c r="F70" t="str">
        <f>LOWER(MD5_string(tblUsers[[#This Row],[Username]]))</f>
        <v>edd6b22447e27b53770fc2c2125bc946</v>
      </c>
      <c r="I70" t="str">
        <f t="shared" si="1"/>
        <v>(NULL,"3","1","04-18-0081","edd6b22447e27b53770fc2c2125bc946",""),</v>
      </c>
      <c r="J70" t="str">
        <f>TextJoin(tblUsers[[#This Row],[RoleID]:[ProfilePic]],"Value")</f>
        <v>"3","1","04-18-0081","edd6b22447e27b53770fc2c2125bc946",""</v>
      </c>
    </row>
    <row r="71" spans="2:10" x14ac:dyDescent="0.25">
      <c r="B71">
        <v>69</v>
      </c>
      <c r="C71">
        <v>3</v>
      </c>
      <c r="D71">
        <v>1</v>
      </c>
      <c r="E71" t="s">
        <v>259</v>
      </c>
      <c r="F71" t="str">
        <f>LOWER(MD5_string(tblUsers[[#This Row],[Username]]))</f>
        <v>41fdffca7df835bf91271d5de55382d1</v>
      </c>
      <c r="I71" t="str">
        <f t="shared" si="1"/>
        <v>(NULL,"3","1","04-15-0046","41fdffca7df835bf91271d5de55382d1",""),</v>
      </c>
      <c r="J71" t="str">
        <f>TextJoin(tblUsers[[#This Row],[RoleID]:[ProfilePic]],"Value")</f>
        <v>"3","1","04-15-0046","41fdffca7df835bf91271d5de55382d1",""</v>
      </c>
    </row>
    <row r="72" spans="2:10" x14ac:dyDescent="0.25">
      <c r="B72">
        <v>70</v>
      </c>
      <c r="C72">
        <v>3</v>
      </c>
      <c r="D72">
        <v>1</v>
      </c>
      <c r="E72" t="s">
        <v>260</v>
      </c>
      <c r="F72" t="str">
        <f>LOWER(MD5_string(tblUsers[[#This Row],[Username]]))</f>
        <v>ff892cf2220a984499a8452522aa818f</v>
      </c>
      <c r="I72" t="str">
        <f t="shared" si="1"/>
        <v>(NULL,"3","1","04-15-0001","ff892cf2220a984499a8452522aa818f",""),</v>
      </c>
      <c r="J72" t="str">
        <f>TextJoin(tblUsers[[#This Row],[RoleID]:[ProfilePic]],"Value")</f>
        <v>"3","1","04-15-0001","ff892cf2220a984499a8452522aa818f",""</v>
      </c>
    </row>
    <row r="73" spans="2:10" x14ac:dyDescent="0.25">
      <c r="B73">
        <v>71</v>
      </c>
      <c r="C73">
        <v>3</v>
      </c>
      <c r="D73">
        <v>1</v>
      </c>
      <c r="E73" t="s">
        <v>261</v>
      </c>
      <c r="F73" t="str">
        <f>LOWER(MD5_string(tblUsers[[#This Row],[Username]]))</f>
        <v>8ad5b12f7724caff8400846adbbb5b34</v>
      </c>
      <c r="I73" t="str">
        <f t="shared" si="1"/>
        <v>(NULL,"3","1","04-14-0070","8ad5b12f7724caff8400846adbbb5b34",""),</v>
      </c>
      <c r="J73" t="str">
        <f>TextJoin(tblUsers[[#This Row],[RoleID]:[ProfilePic]],"Value")</f>
        <v>"3","1","04-14-0070","8ad5b12f7724caff8400846adbbb5b34",""</v>
      </c>
    </row>
    <row r="74" spans="2:10" x14ac:dyDescent="0.25">
      <c r="B74">
        <v>72</v>
      </c>
      <c r="C74">
        <v>3</v>
      </c>
      <c r="D74">
        <v>1</v>
      </c>
      <c r="E74" t="s">
        <v>262</v>
      </c>
      <c r="F74" t="str">
        <f>LOWER(MD5_string(tblUsers[[#This Row],[Username]]))</f>
        <v>8eb0f4ed8c9eb78db78b6cc08929256b</v>
      </c>
      <c r="I74" t="str">
        <f t="shared" si="1"/>
        <v>(NULL,"3","1","04-13-0029","8eb0f4ed8c9eb78db78b6cc08929256b",""),</v>
      </c>
      <c r="J74" t="str">
        <f>TextJoin(tblUsers[[#This Row],[RoleID]:[ProfilePic]],"Value")</f>
        <v>"3","1","04-13-0029","8eb0f4ed8c9eb78db78b6cc08929256b",""</v>
      </c>
    </row>
    <row r="75" spans="2:10" x14ac:dyDescent="0.25">
      <c r="B75">
        <v>73</v>
      </c>
      <c r="C75">
        <v>2</v>
      </c>
      <c r="D75">
        <v>1</v>
      </c>
      <c r="E75" t="s">
        <v>688</v>
      </c>
      <c r="F75" s="14" t="str">
        <f>LOWER(MD5_string(tblUsers[[#This Row],[Username]]))</f>
        <v>fc8e8c2509bc748ccfa04fdfc04f4b91</v>
      </c>
      <c r="I75" t="str">
        <f t="shared" si="1"/>
        <v>(NULL,"2","1","1214-92","fc8e8c2509bc748ccfa04fdfc04f4b91",""),</v>
      </c>
      <c r="J75" t="str">
        <f>TextJoin(tblUsers[[#This Row],[RoleID]:[ProfilePic]],"Value")</f>
        <v>"2","1","1214-92","fc8e8c2509bc748ccfa04fdfc04f4b91",""</v>
      </c>
    </row>
    <row r="76" spans="2:10" x14ac:dyDescent="0.25">
      <c r="B76">
        <v>74</v>
      </c>
      <c r="C76">
        <v>2</v>
      </c>
      <c r="D76">
        <v>1</v>
      </c>
      <c r="E76" t="s">
        <v>689</v>
      </c>
      <c r="F76" s="14" t="str">
        <f>LOWER(MD5_string(tblUsers[[#This Row],[Username]]))</f>
        <v>e7f39ad47770038f50e6233bc58b9a66</v>
      </c>
      <c r="I76" t="str">
        <f t="shared" si="1"/>
        <v>(NULL,"2","1","1011-89","e7f39ad47770038f50e6233bc58b9a66",""),</v>
      </c>
      <c r="J76" t="str">
        <f>TextJoin(tblUsers[[#This Row],[RoleID]:[ProfilePic]],"Value")</f>
        <v>"2","1","1011-89","e7f39ad47770038f50e6233bc58b9a66",""</v>
      </c>
    </row>
    <row r="77" spans="2:10" x14ac:dyDescent="0.25">
      <c r="B77">
        <v>75</v>
      </c>
      <c r="C77">
        <v>2</v>
      </c>
      <c r="D77">
        <v>1</v>
      </c>
      <c r="E77" t="s">
        <v>690</v>
      </c>
      <c r="F77" s="14" t="str">
        <f>LOWER(MD5_string(tblUsers[[#This Row],[Username]]))</f>
        <v>6e3b39254ee01b3624f9e0b3383773e7</v>
      </c>
      <c r="I77" t="str">
        <f t="shared" si="1"/>
        <v>(NULL,"2","1","1224-07","6e3b39254ee01b3624f9e0b3383773e7",""),</v>
      </c>
      <c r="J77" t="str">
        <f>TextJoin(tblUsers[[#This Row],[RoleID]:[ProfilePic]],"Value")</f>
        <v>"2","1","1224-07","6e3b39254ee01b3624f9e0b3383773e7",""</v>
      </c>
    </row>
    <row r="78" spans="2:10" x14ac:dyDescent="0.25">
      <c r="B78">
        <v>76</v>
      </c>
      <c r="C78">
        <v>2</v>
      </c>
      <c r="D78">
        <v>1</v>
      </c>
      <c r="E78" t="s">
        <v>691</v>
      </c>
      <c r="F78" s="14" t="str">
        <f>LOWER(MD5_string(tblUsers[[#This Row],[Username]]))</f>
        <v>80a482e6e0023f24631fc50cb1593fae</v>
      </c>
      <c r="I78" t="str">
        <f t="shared" si="1"/>
        <v>(NULL,"2","1","0629-18","80a482e6e0023f24631fc50cb1593fae",""),</v>
      </c>
      <c r="J78" t="str">
        <f>TextJoin(tblUsers[[#This Row],[RoleID]:[ProfilePic]],"Value")</f>
        <v>"2","1","0629-18","80a482e6e0023f24631fc50cb1593fae",""</v>
      </c>
    </row>
    <row r="79" spans="2:10" x14ac:dyDescent="0.25">
      <c r="B79">
        <v>77</v>
      </c>
      <c r="C79">
        <v>2</v>
      </c>
      <c r="D79">
        <v>1</v>
      </c>
      <c r="E79" t="s">
        <v>724</v>
      </c>
      <c r="F79" s="14" t="str">
        <f>LOWER(MD5_string(tblUsers[[#This Row],[Username]]))</f>
        <v>8937b2f98551707d3f5af7149d1650bb</v>
      </c>
      <c r="I79" t="str">
        <f t="shared" si="1"/>
        <v>(NULL,"2","1","0001-18","8937b2f98551707d3f5af7149d1650bb",""),</v>
      </c>
      <c r="J79" t="str">
        <f>TextJoin(tblUsers[[#This Row],[RoleID]:[ProfilePic]],"Value")</f>
        <v>"2","1","0001-18","8937b2f98551707d3f5af7149d1650bb",""</v>
      </c>
    </row>
    <row r="80" spans="2:10" x14ac:dyDescent="0.25">
      <c r="B80">
        <v>78</v>
      </c>
      <c r="C80">
        <v>2</v>
      </c>
      <c r="D80">
        <v>1</v>
      </c>
      <c r="E80" t="s">
        <v>725</v>
      </c>
      <c r="F80" s="14" t="str">
        <f>LOWER(MD5_string(tblUsers[[#This Row],[Username]]))</f>
        <v>01967f469362514d5e472fbb087a3f0e</v>
      </c>
      <c r="I80" t="str">
        <f t="shared" si="1"/>
        <v>(NULL,"2","1","0002-18","01967f469362514d5e472fbb087a3f0e",""),</v>
      </c>
      <c r="J80" t="str">
        <f>TextJoin(tblUsers[[#This Row],[RoleID]:[ProfilePic]],"Value")</f>
        <v>"2","1","0002-18","01967f469362514d5e472fbb087a3f0e",""</v>
      </c>
    </row>
    <row r="81" spans="2:10" x14ac:dyDescent="0.25">
      <c r="B81">
        <v>79</v>
      </c>
      <c r="C81">
        <v>2</v>
      </c>
      <c r="D81">
        <v>1</v>
      </c>
      <c r="E81" t="s">
        <v>726</v>
      </c>
      <c r="F81" s="14" t="str">
        <f>LOWER(MD5_string(tblUsers[[#This Row],[Username]]))</f>
        <v>260182a96df2fec6933ae3b175e5b692</v>
      </c>
      <c r="I81" t="str">
        <f t="shared" si="1"/>
        <v>(NULL,"2","1","0003-18","260182a96df2fec6933ae3b175e5b692",""),</v>
      </c>
      <c r="J81" t="str">
        <f>TextJoin(tblUsers[[#This Row],[RoleID]:[ProfilePic]],"Value")</f>
        <v>"2","1","0003-18","260182a96df2fec6933ae3b175e5b692",""</v>
      </c>
    </row>
    <row r="82" spans="2:10" x14ac:dyDescent="0.25">
      <c r="B82">
        <v>80</v>
      </c>
      <c r="C82">
        <v>2</v>
      </c>
      <c r="D82">
        <v>1</v>
      </c>
      <c r="E82" t="s">
        <v>727</v>
      </c>
      <c r="F82" s="14" t="str">
        <f>LOWER(MD5_string(tblUsers[[#This Row],[Username]]))</f>
        <v>b9ed17333eac7e8a1db3823c874bdb3b</v>
      </c>
      <c r="I82" t="str">
        <f t="shared" si="1"/>
        <v>(NULL,"2","1","0004-18","b9ed17333eac7e8a1db3823c874bdb3b",""),</v>
      </c>
      <c r="J82" t="str">
        <f>TextJoin(tblUsers[[#This Row],[RoleID]:[ProfilePic]],"Value")</f>
        <v>"2","1","0004-18","b9ed17333eac7e8a1db3823c874bdb3b",""</v>
      </c>
    </row>
    <row r="83" spans="2:10" x14ac:dyDescent="0.25">
      <c r="B83">
        <v>81</v>
      </c>
      <c r="C83">
        <v>2</v>
      </c>
      <c r="D83">
        <v>1</v>
      </c>
      <c r="E83" t="s">
        <v>728</v>
      </c>
      <c r="F83" s="14" t="str">
        <f>LOWER(MD5_string(tblUsers[[#This Row],[Username]]))</f>
        <v>04501358ff461f10d30a14ed2ba667ed</v>
      </c>
      <c r="I83" t="str">
        <f t="shared" si="1"/>
        <v>(NULL,"2","1","0005-18","04501358ff461f10d30a14ed2ba667ed",""),</v>
      </c>
      <c r="J83" t="str">
        <f>TextJoin(tblUsers[[#This Row],[RoleID]:[ProfilePic]],"Value")</f>
        <v>"2","1","0005-18","04501358ff461f10d30a14ed2ba667ed",""</v>
      </c>
    </row>
    <row r="84" spans="2:10" x14ac:dyDescent="0.25">
      <c r="B84">
        <v>82</v>
      </c>
      <c r="C84">
        <v>2</v>
      </c>
      <c r="D84">
        <v>1</v>
      </c>
      <c r="E84" t="s">
        <v>729</v>
      </c>
      <c r="F84" s="14" t="str">
        <f>LOWER(MD5_string(tblUsers[[#This Row],[Username]]))</f>
        <v>934830af51121a2b582987e586b19949</v>
      </c>
      <c r="I84" t="str">
        <f t="shared" si="1"/>
        <v>(NULL,"2","1","0006-18","934830af51121a2b582987e586b19949",""),</v>
      </c>
      <c r="J84" t="str">
        <f>TextJoin(tblUsers[[#This Row],[RoleID]:[ProfilePic]],"Value")</f>
        <v>"2","1","0006-18","934830af51121a2b582987e586b19949",""</v>
      </c>
    </row>
    <row r="85" spans="2:10" x14ac:dyDescent="0.25">
      <c r="B85">
        <v>83</v>
      </c>
      <c r="C85">
        <v>2</v>
      </c>
      <c r="D85">
        <v>1</v>
      </c>
      <c r="E85" t="s">
        <v>730</v>
      </c>
      <c r="F85" s="14" t="str">
        <f>LOWER(MD5_string(tblUsers[[#This Row],[Username]]))</f>
        <v>2ba18e8127523482600866d36aa19d86</v>
      </c>
      <c r="I85" t="str">
        <f t="shared" si="1"/>
        <v>(NULL,"2","1","0007-18","2ba18e8127523482600866d36aa19d86",""),</v>
      </c>
      <c r="J85" t="str">
        <f>TextJoin(tblUsers[[#This Row],[RoleID]:[ProfilePic]],"Value")</f>
        <v>"2","1","0007-18","2ba18e8127523482600866d36aa19d86",""</v>
      </c>
    </row>
    <row r="86" spans="2:10" x14ac:dyDescent="0.25">
      <c r="B86">
        <v>84</v>
      </c>
      <c r="C86">
        <v>2</v>
      </c>
      <c r="D86">
        <v>1</v>
      </c>
      <c r="E86" t="s">
        <v>731</v>
      </c>
      <c r="F86" s="14" t="str">
        <f>LOWER(MD5_string(tblUsers[[#This Row],[Username]]))</f>
        <v>2aefea443d130007f382004b194a9bdf</v>
      </c>
      <c r="I86" t="str">
        <f t="shared" si="1"/>
        <v>(NULL,"2","1","0008-18","2aefea443d130007f382004b194a9bdf",""),</v>
      </c>
      <c r="J86" t="str">
        <f>TextJoin(tblUsers[[#This Row],[RoleID]:[ProfilePic]],"Value")</f>
        <v>"2","1","0008-18","2aefea443d130007f382004b194a9bdf",""</v>
      </c>
    </row>
    <row r="87" spans="2:10" x14ac:dyDescent="0.25">
      <c r="B87">
        <v>85</v>
      </c>
      <c r="C87">
        <v>2</v>
      </c>
      <c r="D87">
        <v>1</v>
      </c>
      <c r="E87" t="s">
        <v>732</v>
      </c>
      <c r="F87" s="14" t="str">
        <f>LOWER(MD5_string(tblUsers[[#This Row],[Username]]))</f>
        <v>98cdc7f410569350b590c5813218eef6</v>
      </c>
      <c r="I87" t="str">
        <f t="shared" si="1"/>
        <v>(NULL,"2","1","0009-18","98cdc7f410569350b590c5813218eef6",""),</v>
      </c>
      <c r="J87" t="str">
        <f>TextJoin(tblUsers[[#This Row],[RoleID]:[ProfilePic]],"Value")</f>
        <v>"2","1","0009-18","98cdc7f410569350b590c5813218eef6",""</v>
      </c>
    </row>
    <row r="88" spans="2:10" x14ac:dyDescent="0.25">
      <c r="B88">
        <v>86</v>
      </c>
      <c r="C88">
        <v>2</v>
      </c>
      <c r="D88">
        <v>1</v>
      </c>
      <c r="E88" t="s">
        <v>733</v>
      </c>
      <c r="F88" s="14" t="str">
        <f>LOWER(MD5_string(tblUsers[[#This Row],[Username]]))</f>
        <v>33e62c77b6cd7e6af274b4f1d7ad0624</v>
      </c>
      <c r="I88" t="str">
        <f t="shared" si="1"/>
        <v>(NULL,"2","1","0010-18","33e62c77b6cd7e6af274b4f1d7ad0624",""),</v>
      </c>
      <c r="J88" t="str">
        <f>TextJoin(tblUsers[[#This Row],[RoleID]:[ProfilePic]],"Value")</f>
        <v>"2","1","0010-18","33e62c77b6cd7e6af274b4f1d7ad0624",""</v>
      </c>
    </row>
    <row r="89" spans="2:10" x14ac:dyDescent="0.25">
      <c r="B89">
        <v>87</v>
      </c>
      <c r="C89">
        <v>2</v>
      </c>
      <c r="D89">
        <v>1</v>
      </c>
      <c r="E89" t="s">
        <v>734</v>
      </c>
      <c r="F89" s="14" t="str">
        <f>LOWER(MD5_string(tblUsers[[#This Row],[Username]]))</f>
        <v>ea05ccf66622fca54c79cd641da479b0</v>
      </c>
      <c r="I89" t="str">
        <f t="shared" si="1"/>
        <v>(NULL,"2","1","0011-18","ea05ccf66622fca54c79cd641da479b0",""),</v>
      </c>
      <c r="J89" t="str">
        <f>TextJoin(tblUsers[[#This Row],[RoleID]:[ProfilePic]],"Value")</f>
        <v>"2","1","0011-18","ea05ccf66622fca54c79cd641da479b0",""</v>
      </c>
    </row>
    <row r="90" spans="2:10" x14ac:dyDescent="0.25">
      <c r="B90">
        <v>88</v>
      </c>
      <c r="C90">
        <v>2</v>
      </c>
      <c r="D90">
        <v>1</v>
      </c>
      <c r="E90" t="s">
        <v>735</v>
      </c>
      <c r="F90" s="14" t="str">
        <f>LOWER(MD5_string(tblUsers[[#This Row],[Username]]))</f>
        <v>08258bdcbf985c7c2df15062128093bd</v>
      </c>
      <c r="I90" t="str">
        <f t="shared" si="1"/>
        <v>(NULL,"2","1","0012-18","08258bdcbf985c7c2df15062128093bd",""),</v>
      </c>
      <c r="J90" t="str">
        <f>TextJoin(tblUsers[[#This Row],[RoleID]:[ProfilePic]],"Value")</f>
        <v>"2","1","0012-18","08258bdcbf985c7c2df15062128093bd",""</v>
      </c>
    </row>
    <row r="91" spans="2:10" x14ac:dyDescent="0.25">
      <c r="B91">
        <v>89</v>
      </c>
      <c r="C91">
        <v>2</v>
      </c>
      <c r="D91">
        <v>1</v>
      </c>
      <c r="E91" t="s">
        <v>736</v>
      </c>
      <c r="F91" s="14" t="str">
        <f>LOWER(MD5_string(tblUsers[[#This Row],[Username]]))</f>
        <v>122b3579ec9c9848ecfcd86431308bfe</v>
      </c>
      <c r="I91" t="str">
        <f t="shared" si="1"/>
        <v>(NULL,"2","1","0013-18","122b3579ec9c9848ecfcd86431308bfe",""),</v>
      </c>
      <c r="J91" t="str">
        <f>TextJoin(tblUsers[[#This Row],[RoleID]:[ProfilePic]],"Value")</f>
        <v>"2","1","0013-18","122b3579ec9c9848ecfcd86431308bfe",""</v>
      </c>
    </row>
    <row r="92" spans="2:10" x14ac:dyDescent="0.25">
      <c r="B92">
        <v>90</v>
      </c>
      <c r="C92">
        <v>2</v>
      </c>
      <c r="D92">
        <v>1</v>
      </c>
      <c r="E92" t="s">
        <v>737</v>
      </c>
      <c r="F92" s="14" t="str">
        <f>LOWER(MD5_string(tblUsers[[#This Row],[Username]]))</f>
        <v>fa9d0d92bbed47a58eb83527ae16eca1</v>
      </c>
      <c r="I92" t="str">
        <f t="shared" si="1"/>
        <v>(NULL,"2","1","0014-18","fa9d0d92bbed47a58eb83527ae16eca1",""),</v>
      </c>
      <c r="J92" t="str">
        <f>TextJoin(tblUsers[[#This Row],[RoleID]:[ProfilePic]],"Value")</f>
        <v>"2","1","0014-18","fa9d0d92bbed47a58eb83527ae16eca1",""</v>
      </c>
    </row>
    <row r="93" spans="2:10" x14ac:dyDescent="0.25">
      <c r="B93">
        <v>91</v>
      </c>
      <c r="C93">
        <v>2</v>
      </c>
      <c r="D93">
        <v>1</v>
      </c>
      <c r="E93" t="s">
        <v>738</v>
      </c>
      <c r="F93" s="14" t="str">
        <f>LOWER(MD5_string(tblUsers[[#This Row],[Username]]))</f>
        <v>1e47b9c3ebe3787b80d6de1ae333046d</v>
      </c>
      <c r="I93" t="str">
        <f t="shared" si="1"/>
        <v>(NULL,"2","1","0015-18","1e47b9c3ebe3787b80d6de1ae333046d","");</v>
      </c>
      <c r="J93" t="str">
        <f>TextJoin(tblUsers[[#This Row],[RoleID]:[ProfilePic]],"Value")</f>
        <v>"2","1","0015-18","1e47b9c3ebe3787b80d6de1ae333046d",""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6"/>
  <sheetViews>
    <sheetView topLeftCell="G1" workbookViewId="0">
      <selection activeCell="H13" sqref="H13"/>
    </sheetView>
  </sheetViews>
  <sheetFormatPr defaultRowHeight="15" x14ac:dyDescent="0.25"/>
  <cols>
    <col min="1" max="1" width="0.85546875" customWidth="1"/>
    <col min="2" max="2" width="11.28515625" bestFit="1" customWidth="1"/>
    <col min="3" max="3" width="43" bestFit="1" customWidth="1"/>
    <col min="4" max="4" width="11.140625" bestFit="1" customWidth="1"/>
    <col min="5" max="5" width="10.42578125" bestFit="1" customWidth="1"/>
    <col min="6" max="6" width="17.140625" bestFit="1" customWidth="1"/>
    <col min="7" max="7" width="0.85546875" customWidth="1"/>
    <col min="8" max="8" width="91.140625" bestFit="1" customWidth="1"/>
  </cols>
  <sheetData>
    <row r="1" spans="2:9" ht="5.0999999999999996" customHeight="1" x14ac:dyDescent="0.25"/>
    <row r="2" spans="2:9" x14ac:dyDescent="0.25">
      <c r="B2" t="s">
        <v>11</v>
      </c>
      <c r="C2" t="s">
        <v>30</v>
      </c>
      <c r="D2" t="s">
        <v>14</v>
      </c>
      <c r="E2" t="s">
        <v>15</v>
      </c>
      <c r="F2" t="s">
        <v>16</v>
      </c>
      <c r="H2" t="str">
        <f>TextJoin(tblCourses[#Headers])</f>
        <v>CourseID,Description,Acronym,TotalYrs,CurriculumYear</v>
      </c>
    </row>
    <row r="3" spans="2:9" x14ac:dyDescent="0.25">
      <c r="B3">
        <v>1</v>
      </c>
      <c r="C3" t="s">
        <v>265</v>
      </c>
      <c r="D3" t="s">
        <v>266</v>
      </c>
      <c r="E3">
        <v>5</v>
      </c>
      <c r="F3" t="s">
        <v>517</v>
      </c>
      <c r="H3" t="str">
        <f>"(NULL,"&amp;I3&amp;")"&amp;IF(H4&lt;&gt;"",",",";")</f>
        <v>(NULL,"Bachelor of Science in Computer Engineering","BSCpE","5","S.Y. 2008-2009"),</v>
      </c>
      <c r="I3" t="str">
        <f>TextJoin(tblCourses[[#This Row],[Description]:[CurriculumYear]],"Value")</f>
        <v>"Bachelor of Science in Computer Engineering","BSCpE","5","S.Y. 2008-2009"</v>
      </c>
    </row>
    <row r="4" spans="2:9" x14ac:dyDescent="0.25">
      <c r="B4">
        <v>2</v>
      </c>
      <c r="C4" t="s">
        <v>267</v>
      </c>
      <c r="D4" t="s">
        <v>268</v>
      </c>
      <c r="E4">
        <v>4</v>
      </c>
      <c r="F4" t="s">
        <v>517</v>
      </c>
      <c r="H4" t="str">
        <f t="shared" ref="H4:H6" si="0">"(NULL,"&amp;I4&amp;")"&amp;IF(H5&lt;&gt;"",",",";")</f>
        <v>(NULL,"Bachelor of Science in Information Technology","BSIT","4","S.Y. 2008-2009"),</v>
      </c>
      <c r="I4" t="str">
        <f>TextJoin(tblCourses[[#This Row],[Description]:[CurriculumYear]],"Value")</f>
        <v>"Bachelor of Science in Information Technology","BSIT","4","S.Y. 2008-2009"</v>
      </c>
    </row>
    <row r="5" spans="2:9" x14ac:dyDescent="0.25">
      <c r="B5">
        <v>3</v>
      </c>
      <c r="C5" t="s">
        <v>265</v>
      </c>
      <c r="D5" t="s">
        <v>266</v>
      </c>
      <c r="E5">
        <v>4</v>
      </c>
      <c r="F5" t="s">
        <v>518</v>
      </c>
      <c r="H5" t="str">
        <f t="shared" si="0"/>
        <v>(NULL,"Bachelor of Science in Computer Engineering","BSCpE","4","S.Y. 2018-2019"),</v>
      </c>
      <c r="I5" t="str">
        <f>TextJoin(tblCourses[[#This Row],[Description]:[CurriculumYear]],"Value")</f>
        <v>"Bachelor of Science in Computer Engineering","BSCpE","4","S.Y. 2018-2019"</v>
      </c>
    </row>
    <row r="6" spans="2:9" x14ac:dyDescent="0.25">
      <c r="B6">
        <v>4</v>
      </c>
      <c r="C6" t="s">
        <v>267</v>
      </c>
      <c r="D6" t="s">
        <v>268</v>
      </c>
      <c r="E6">
        <v>4</v>
      </c>
      <c r="F6" t="s">
        <v>518</v>
      </c>
      <c r="H6" t="str">
        <f t="shared" si="0"/>
        <v>(NULL,"Bachelor of Science in Information Technology","BSIT","4","S.Y. 2018-2019");</v>
      </c>
      <c r="I6" t="str">
        <f>TextJoin(tblCourses[[#This Row],[Description]:[CurriculumYear]],"Value")</f>
        <v>"Bachelor of Science in Information Technology","BSIT","4","S.Y. 2018-2019"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M268"/>
  <sheetViews>
    <sheetView topLeftCell="F247" workbookViewId="0">
      <selection activeCell="L3" sqref="L3:L268"/>
    </sheetView>
  </sheetViews>
  <sheetFormatPr defaultRowHeight="15" x14ac:dyDescent="0.25"/>
  <cols>
    <col min="1" max="1" width="0.85546875" customWidth="1"/>
    <col min="2" max="2" width="11.7109375" bestFit="1" customWidth="1"/>
    <col min="3" max="3" width="11.28515625" bestFit="1" customWidth="1"/>
    <col min="4" max="4" width="11.7109375" bestFit="1" customWidth="1"/>
    <col min="5" max="5" width="9.85546875" bestFit="1" customWidth="1"/>
    <col min="7" max="7" width="51.28515625" bestFit="1" customWidth="1"/>
    <col min="8" max="9" width="8" bestFit="1" customWidth="1"/>
    <col min="10" max="10" width="9" bestFit="1" customWidth="1"/>
    <col min="11" max="11" width="9.140625" bestFit="1" customWidth="1"/>
    <col min="12" max="12" width="11" customWidth="1"/>
    <col min="13" max="13" width="79.140625" bestFit="1" customWidth="1"/>
  </cols>
  <sheetData>
    <row r="1" spans="2:13" ht="5.0999999999999996" customHeight="1" x14ac:dyDescent="0.25"/>
    <row r="2" spans="2:13" x14ac:dyDescent="0.25">
      <c r="B2" t="s">
        <v>18</v>
      </c>
      <c r="C2" t="s">
        <v>11</v>
      </c>
      <c r="D2" t="s">
        <v>825</v>
      </c>
      <c r="E2" t="s">
        <v>826</v>
      </c>
      <c r="F2" t="s">
        <v>827</v>
      </c>
      <c r="G2" t="s">
        <v>30</v>
      </c>
      <c r="H2" t="s">
        <v>19</v>
      </c>
      <c r="I2" t="s">
        <v>20</v>
      </c>
      <c r="J2" t="s">
        <v>21</v>
      </c>
    </row>
    <row r="3" spans="2:13" x14ac:dyDescent="0.25">
      <c r="B3">
        <v>1</v>
      </c>
      <c r="C3">
        <v>1</v>
      </c>
      <c r="D3">
        <v>1</v>
      </c>
      <c r="E3">
        <v>1</v>
      </c>
      <c r="F3" t="s">
        <v>269</v>
      </c>
      <c r="G3" t="s">
        <v>270</v>
      </c>
      <c r="H3" s="3">
        <v>3</v>
      </c>
      <c r="I3" s="3">
        <v>3</v>
      </c>
      <c r="J3">
        <v>0</v>
      </c>
      <c r="L3" t="str">
        <f>"(NULL,"&amp;M3&amp;")"&amp;IF(L4&lt;&gt;"",",",";")</f>
        <v>(NULL,"1","1","1","ENG 111","Communication Skills 1","3","3","0"),</v>
      </c>
      <c r="M3" t="str">
        <f>TextJoin(tblCourseSubjs[[#This Row],[CourseID]:[LabHrs]],"Value")</f>
        <v>"1","1","1","ENG 111","Communication Skills 1","3","3","0"</v>
      </c>
    </row>
    <row r="4" spans="2:13" x14ac:dyDescent="0.25">
      <c r="B4">
        <v>2</v>
      </c>
      <c r="C4">
        <v>1</v>
      </c>
      <c r="D4">
        <v>1</v>
      </c>
      <c r="E4">
        <v>1</v>
      </c>
      <c r="F4" t="s">
        <v>271</v>
      </c>
      <c r="G4" t="s">
        <v>272</v>
      </c>
      <c r="H4" s="3">
        <v>3</v>
      </c>
      <c r="I4" s="3">
        <v>3</v>
      </c>
      <c r="J4">
        <v>0</v>
      </c>
      <c r="L4" t="str">
        <f t="shared" ref="L4:L67" si="0">"(NULL,"&amp;M4&amp;")"&amp;IF(L5&lt;&gt;"",",",";")</f>
        <v>(NULL,"1","1","1","MAT 111","College Algebra","3","3","0"),</v>
      </c>
      <c r="M4" t="str">
        <f>TextJoin(tblCourseSubjs[[#This Row],[CourseID]:[LabHrs]],"Value")</f>
        <v>"1","1","1","MAT 111","College Algebra","3","3","0"</v>
      </c>
    </row>
    <row r="5" spans="2:13" x14ac:dyDescent="0.25">
      <c r="B5">
        <v>3</v>
      </c>
      <c r="C5">
        <v>1</v>
      </c>
      <c r="D5">
        <v>1</v>
      </c>
      <c r="E5">
        <v>1</v>
      </c>
      <c r="F5" t="s">
        <v>273</v>
      </c>
      <c r="G5" t="s">
        <v>274</v>
      </c>
      <c r="H5" s="3">
        <v>3</v>
      </c>
      <c r="I5" s="3">
        <v>3</v>
      </c>
      <c r="J5">
        <v>0</v>
      </c>
      <c r="L5" t="str">
        <f t="shared" si="0"/>
        <v>(NULL,"1","1","1","MAT 112","Plane &amp; Spherical Trigonometry","3","3","0"),</v>
      </c>
      <c r="M5" t="str">
        <f>TextJoin(tblCourseSubjs[[#This Row],[CourseID]:[LabHrs]],"Value")</f>
        <v>"1","1","1","MAT 112","Plane &amp; Spherical Trigonometry","3","3","0"</v>
      </c>
    </row>
    <row r="6" spans="2:13" x14ac:dyDescent="0.25">
      <c r="B6">
        <v>4</v>
      </c>
      <c r="C6">
        <v>1</v>
      </c>
      <c r="D6">
        <v>1</v>
      </c>
      <c r="E6">
        <v>1</v>
      </c>
      <c r="F6" t="s">
        <v>275</v>
      </c>
      <c r="G6" t="s">
        <v>276</v>
      </c>
      <c r="H6" s="3">
        <v>4</v>
      </c>
      <c r="I6" s="3">
        <v>2</v>
      </c>
      <c r="J6">
        <v>1</v>
      </c>
      <c r="L6" t="str">
        <f t="shared" si="0"/>
        <v>(NULL,"1","1","1","CPE 111","General Inorganic Chemistry","4","2","1"),</v>
      </c>
      <c r="M6" t="str">
        <f>TextJoin(tblCourseSubjs[[#This Row],[CourseID]:[LabHrs]],"Value")</f>
        <v>"1","1","1","CPE 111","General Inorganic Chemistry","4","2","1"</v>
      </c>
    </row>
    <row r="7" spans="2:13" x14ac:dyDescent="0.25">
      <c r="B7">
        <v>5</v>
      </c>
      <c r="C7">
        <v>1</v>
      </c>
      <c r="D7">
        <v>1</v>
      </c>
      <c r="E7">
        <v>1</v>
      </c>
      <c r="F7" t="s">
        <v>277</v>
      </c>
      <c r="G7" t="s">
        <v>278</v>
      </c>
      <c r="H7" s="3">
        <v>2</v>
      </c>
      <c r="I7" s="3">
        <v>0</v>
      </c>
      <c r="J7">
        <v>6</v>
      </c>
      <c r="L7" t="str">
        <f t="shared" si="0"/>
        <v>(NULL,"1","1","1","DFT 111","Engineering Drawing 1","2","0","6"),</v>
      </c>
      <c r="M7" t="str">
        <f>TextJoin(tblCourseSubjs[[#This Row],[CourseID]:[LabHrs]],"Value")</f>
        <v>"1","1","1","DFT 111","Engineering Drawing 1","2","0","6"</v>
      </c>
    </row>
    <row r="8" spans="2:13" x14ac:dyDescent="0.25">
      <c r="B8">
        <v>6</v>
      </c>
      <c r="C8">
        <v>1</v>
      </c>
      <c r="D8">
        <v>1</v>
      </c>
      <c r="E8">
        <v>1</v>
      </c>
      <c r="F8" t="s">
        <v>279</v>
      </c>
      <c r="G8" t="s">
        <v>280</v>
      </c>
      <c r="H8" s="3">
        <v>3</v>
      </c>
      <c r="I8" s="3">
        <v>2</v>
      </c>
      <c r="J8">
        <v>3</v>
      </c>
      <c r="L8" t="str">
        <f t="shared" si="0"/>
        <v>(NULL,"1","1","1","COM 111","Computer Fundamentals &amp; Programming","3","2","3"),</v>
      </c>
      <c r="M8" t="str">
        <f>TextJoin(tblCourseSubjs[[#This Row],[CourseID]:[LabHrs]],"Value")</f>
        <v>"1","1","1","COM 111","Computer Fundamentals &amp; Programming","3","2","3"</v>
      </c>
    </row>
    <row r="9" spans="2:13" x14ac:dyDescent="0.25">
      <c r="B9">
        <v>7</v>
      </c>
      <c r="C9">
        <v>1</v>
      </c>
      <c r="D9">
        <v>1</v>
      </c>
      <c r="E9">
        <v>1</v>
      </c>
      <c r="F9" t="s">
        <v>281</v>
      </c>
      <c r="G9" t="s">
        <v>282</v>
      </c>
      <c r="H9" s="3">
        <v>3</v>
      </c>
      <c r="I9" s="3">
        <v>3</v>
      </c>
      <c r="J9">
        <v>0</v>
      </c>
      <c r="L9" t="str">
        <f t="shared" si="0"/>
        <v>(NULL,"1","1","1","FIL 111","Sining ng Pakikipagtalastasan","3","3","0"),</v>
      </c>
      <c r="M9" t="str">
        <f>TextJoin(tblCourseSubjs[[#This Row],[CourseID]:[LabHrs]],"Value")</f>
        <v>"1","1","1","FIL 111","Sining ng Pakikipagtalastasan","3","3","0"</v>
      </c>
    </row>
    <row r="10" spans="2:13" x14ac:dyDescent="0.25">
      <c r="B10">
        <v>8</v>
      </c>
      <c r="C10">
        <v>1</v>
      </c>
      <c r="D10">
        <v>1</v>
      </c>
      <c r="E10">
        <v>1</v>
      </c>
      <c r="F10" t="s">
        <v>283</v>
      </c>
      <c r="G10" t="s">
        <v>284</v>
      </c>
      <c r="H10" s="3">
        <v>2</v>
      </c>
      <c r="I10" s="3">
        <v>0</v>
      </c>
      <c r="J10">
        <v>0</v>
      </c>
      <c r="L10" t="str">
        <f t="shared" si="0"/>
        <v>(NULL,"1","1","1","PED 111","Physical Fitness / Gymnastics","2","0","0"),</v>
      </c>
      <c r="M10" t="str">
        <f>TextJoin(tblCourseSubjs[[#This Row],[CourseID]:[LabHrs]],"Value")</f>
        <v>"1","1","1","PED 111","Physical Fitness / Gymnastics","2","0","0"</v>
      </c>
    </row>
    <row r="11" spans="2:13" x14ac:dyDescent="0.25">
      <c r="B11">
        <v>9</v>
      </c>
      <c r="C11">
        <v>1</v>
      </c>
      <c r="D11">
        <v>1</v>
      </c>
      <c r="E11">
        <v>1</v>
      </c>
      <c r="F11" t="s">
        <v>285</v>
      </c>
      <c r="G11" t="s">
        <v>286</v>
      </c>
      <c r="H11" s="3">
        <v>3</v>
      </c>
      <c r="I11" s="3">
        <v>0</v>
      </c>
      <c r="J11">
        <v>0</v>
      </c>
      <c r="L11" t="str">
        <f t="shared" si="0"/>
        <v>(NULL,"1","1","1","NSTP 111","National Service Training Program 1","3","0","0"),</v>
      </c>
      <c r="M11" t="str">
        <f>TextJoin(tblCourseSubjs[[#This Row],[CourseID]:[LabHrs]],"Value")</f>
        <v>"1","1","1","NSTP 111","National Service Training Program 1","3","0","0"</v>
      </c>
    </row>
    <row r="12" spans="2:13" x14ac:dyDescent="0.25">
      <c r="B12">
        <v>10</v>
      </c>
      <c r="C12">
        <v>1</v>
      </c>
      <c r="D12">
        <v>2</v>
      </c>
      <c r="E12">
        <v>1</v>
      </c>
      <c r="F12" t="s">
        <v>287</v>
      </c>
      <c r="G12" t="s">
        <v>288</v>
      </c>
      <c r="H12" s="3">
        <v>3</v>
      </c>
      <c r="I12" s="3">
        <v>3</v>
      </c>
      <c r="J12">
        <v>0</v>
      </c>
      <c r="L12" t="str">
        <f t="shared" si="0"/>
        <v>(NULL,"1","2","1","ENG 112","Communication Skills 2","3","3","0"),</v>
      </c>
      <c r="M12" t="str">
        <f>TextJoin(tblCourseSubjs[[#This Row],[CourseID]:[LabHrs]],"Value")</f>
        <v>"1","2","1","ENG 112","Communication Skills 2","3","3","0"</v>
      </c>
    </row>
    <row r="13" spans="2:13" x14ac:dyDescent="0.25">
      <c r="B13">
        <v>11</v>
      </c>
      <c r="C13">
        <v>1</v>
      </c>
      <c r="D13">
        <v>2</v>
      </c>
      <c r="E13">
        <v>1</v>
      </c>
      <c r="F13" t="s">
        <v>289</v>
      </c>
      <c r="G13" t="s">
        <v>290</v>
      </c>
      <c r="H13" s="3">
        <v>2</v>
      </c>
      <c r="I13" s="3">
        <v>2</v>
      </c>
      <c r="J13">
        <v>0</v>
      </c>
      <c r="L13" t="str">
        <f t="shared" si="0"/>
        <v>(NULL,"1","2","1","MAT 123","Analytic Geometry","2","2","0"),</v>
      </c>
      <c r="M13" t="str">
        <f>TextJoin(tblCourseSubjs[[#This Row],[CourseID]:[LabHrs]],"Value")</f>
        <v>"1","2","1","MAT 123","Analytic Geometry","2","2","0"</v>
      </c>
    </row>
    <row r="14" spans="2:13" x14ac:dyDescent="0.25">
      <c r="B14">
        <v>12</v>
      </c>
      <c r="C14">
        <v>1</v>
      </c>
      <c r="D14">
        <v>2</v>
      </c>
      <c r="E14">
        <v>1</v>
      </c>
      <c r="F14" t="s">
        <v>291</v>
      </c>
      <c r="G14" t="s">
        <v>292</v>
      </c>
      <c r="H14" s="3">
        <v>3</v>
      </c>
      <c r="I14" s="3">
        <v>3</v>
      </c>
      <c r="J14">
        <v>0</v>
      </c>
      <c r="L14" t="str">
        <f t="shared" si="0"/>
        <v>(NULL,"1","2","1","FIL 122","Gamiting Filipino","3","3","0"),</v>
      </c>
      <c r="M14" t="str">
        <f>TextJoin(tblCourseSubjs[[#This Row],[CourseID]:[LabHrs]],"Value")</f>
        <v>"1","2","1","FIL 122","Gamiting Filipino","3","3","0"</v>
      </c>
    </row>
    <row r="15" spans="2:13" x14ac:dyDescent="0.25">
      <c r="B15">
        <v>13</v>
      </c>
      <c r="C15">
        <v>1</v>
      </c>
      <c r="D15">
        <v>2</v>
      </c>
      <c r="E15">
        <v>1</v>
      </c>
      <c r="F15" t="s">
        <v>293</v>
      </c>
      <c r="G15" t="s">
        <v>294</v>
      </c>
      <c r="H15" s="3">
        <v>2</v>
      </c>
      <c r="I15" s="3">
        <v>2</v>
      </c>
      <c r="J15">
        <v>0</v>
      </c>
      <c r="L15" t="str">
        <f t="shared" si="0"/>
        <v>(NULL,"1","2","1","MAT 125","Advance Algebra","2","2","0"),</v>
      </c>
      <c r="M15" t="str">
        <f>TextJoin(tblCourseSubjs[[#This Row],[CourseID]:[LabHrs]],"Value")</f>
        <v>"1","2","1","MAT 125","Advance Algebra","2","2","0"</v>
      </c>
    </row>
    <row r="16" spans="2:13" x14ac:dyDescent="0.25">
      <c r="B16">
        <v>14</v>
      </c>
      <c r="C16">
        <v>1</v>
      </c>
      <c r="D16">
        <v>2</v>
      </c>
      <c r="E16">
        <v>1</v>
      </c>
      <c r="F16" t="s">
        <v>295</v>
      </c>
      <c r="G16" t="s">
        <v>296</v>
      </c>
      <c r="H16" s="3">
        <v>2</v>
      </c>
      <c r="I16" s="3">
        <v>2</v>
      </c>
      <c r="J16">
        <v>0</v>
      </c>
      <c r="L16" t="str">
        <f t="shared" si="0"/>
        <v>(NULL,"1","2","1","MAT 124","Solid Mensuration","2","2","0"),</v>
      </c>
      <c r="M16" t="str">
        <f>TextJoin(tblCourseSubjs[[#This Row],[CourseID]:[LabHrs]],"Value")</f>
        <v>"1","2","1","MAT 124","Solid Mensuration","2","2","0"</v>
      </c>
    </row>
    <row r="17" spans="2:13" x14ac:dyDescent="0.25">
      <c r="B17">
        <v>15</v>
      </c>
      <c r="C17">
        <v>1</v>
      </c>
      <c r="D17">
        <v>2</v>
      </c>
      <c r="E17">
        <v>1</v>
      </c>
      <c r="F17" t="s">
        <v>297</v>
      </c>
      <c r="G17" t="s">
        <v>298</v>
      </c>
      <c r="H17" s="3">
        <v>3</v>
      </c>
      <c r="I17" s="3">
        <v>3</v>
      </c>
      <c r="J17">
        <v>0</v>
      </c>
      <c r="L17" t="str">
        <f t="shared" si="0"/>
        <v>(NULL,"1","2","1","RIZ 125","Rizal's Life, Works &amp; Writings","3","3","0"),</v>
      </c>
      <c r="M17" t="str">
        <f>TextJoin(tblCourseSubjs[[#This Row],[CourseID]:[LabHrs]],"Value")</f>
        <v>"1","2","1","RIZ 125","Rizal's Life, Works &amp; Writings","3","3","0"</v>
      </c>
    </row>
    <row r="18" spans="2:13" x14ac:dyDescent="0.25">
      <c r="B18">
        <v>16</v>
      </c>
      <c r="C18">
        <v>1</v>
      </c>
      <c r="D18">
        <v>2</v>
      </c>
      <c r="E18">
        <v>1</v>
      </c>
      <c r="F18" t="s">
        <v>447</v>
      </c>
      <c r="G18" t="s">
        <v>299</v>
      </c>
      <c r="H18" s="3">
        <v>2</v>
      </c>
      <c r="I18" s="3">
        <v>0</v>
      </c>
      <c r="J18">
        <v>6</v>
      </c>
      <c r="L18" t="str">
        <f t="shared" si="0"/>
        <v>(NULL,"1","2","1","DFT 122","Computer Aided Drafting","2","0","6"),</v>
      </c>
      <c r="M18" t="str">
        <f>TextJoin(tblCourseSubjs[[#This Row],[CourseID]:[LabHrs]],"Value")</f>
        <v>"1","2","1","DFT 122","Computer Aided Drafting","2","0","6"</v>
      </c>
    </row>
    <row r="19" spans="2:13" x14ac:dyDescent="0.25">
      <c r="B19">
        <v>17</v>
      </c>
      <c r="C19">
        <v>1</v>
      </c>
      <c r="D19">
        <v>2</v>
      </c>
      <c r="E19">
        <v>1</v>
      </c>
      <c r="F19" t="s">
        <v>300</v>
      </c>
      <c r="G19" t="s">
        <v>301</v>
      </c>
      <c r="H19" s="3">
        <v>2</v>
      </c>
      <c r="I19" s="3">
        <v>0</v>
      </c>
      <c r="J19">
        <v>0</v>
      </c>
      <c r="L19" t="str">
        <f t="shared" si="0"/>
        <v>(NULL,"1","2","1","PED 122","Rhythmic Activities","2","0","0"),</v>
      </c>
      <c r="M19" t="str">
        <f>TextJoin(tblCourseSubjs[[#This Row],[CourseID]:[LabHrs]],"Value")</f>
        <v>"1","2","1","PED 122","Rhythmic Activities","2","0","0"</v>
      </c>
    </row>
    <row r="20" spans="2:13" x14ac:dyDescent="0.25">
      <c r="B20">
        <v>18</v>
      </c>
      <c r="C20">
        <v>1</v>
      </c>
      <c r="D20">
        <v>2</v>
      </c>
      <c r="E20">
        <v>1</v>
      </c>
      <c r="F20" t="s">
        <v>302</v>
      </c>
      <c r="G20" t="s">
        <v>303</v>
      </c>
      <c r="H20" s="3">
        <v>3</v>
      </c>
      <c r="I20" s="3">
        <v>0</v>
      </c>
      <c r="J20">
        <v>0</v>
      </c>
      <c r="L20" t="str">
        <f t="shared" si="0"/>
        <v>(NULL,"1","2","1","NSTP 122","National Service Training Program 2","3","0","0"),</v>
      </c>
      <c r="M20" t="str">
        <f>TextJoin(tblCourseSubjs[[#This Row],[CourseID]:[LabHrs]],"Value")</f>
        <v>"1","2","1","NSTP 122","National Service Training Program 2","3","0","0"</v>
      </c>
    </row>
    <row r="21" spans="2:13" x14ac:dyDescent="0.25">
      <c r="B21">
        <v>19</v>
      </c>
      <c r="C21">
        <v>1</v>
      </c>
      <c r="D21">
        <v>2</v>
      </c>
      <c r="E21">
        <v>1</v>
      </c>
      <c r="F21" t="s">
        <v>304</v>
      </c>
      <c r="G21" t="s">
        <v>305</v>
      </c>
      <c r="H21" s="3">
        <v>3</v>
      </c>
      <c r="I21" s="3">
        <v>3</v>
      </c>
      <c r="J21">
        <v>0</v>
      </c>
      <c r="L21" t="str">
        <f t="shared" si="0"/>
        <v>(NULL,"1","2","1","HUM 121","Philosophy of Man","3","3","0"),</v>
      </c>
      <c r="M21" t="str">
        <f>TextJoin(tblCourseSubjs[[#This Row],[CourseID]:[LabHrs]],"Value")</f>
        <v>"1","2","1","HUM 121","Philosophy of Man","3","3","0"</v>
      </c>
    </row>
    <row r="22" spans="2:13" x14ac:dyDescent="0.25">
      <c r="B22">
        <v>20</v>
      </c>
      <c r="C22">
        <v>1</v>
      </c>
      <c r="D22">
        <v>1</v>
      </c>
      <c r="E22">
        <v>2</v>
      </c>
      <c r="F22" t="s">
        <v>306</v>
      </c>
      <c r="G22" t="s">
        <v>307</v>
      </c>
      <c r="H22" s="3">
        <v>3</v>
      </c>
      <c r="I22" s="3">
        <v>3</v>
      </c>
      <c r="J22">
        <v>0</v>
      </c>
      <c r="L22" t="str">
        <f t="shared" si="0"/>
        <v>(NULL,"1","1","2","ENG 213","Technical Communications","3","3","0"),</v>
      </c>
      <c r="M22" t="str">
        <f>TextJoin(tblCourseSubjs[[#This Row],[CourseID]:[LabHrs]],"Value")</f>
        <v>"1","1","2","ENG 213","Technical Communications","3","3","0"</v>
      </c>
    </row>
    <row r="23" spans="2:13" x14ac:dyDescent="0.25">
      <c r="B23">
        <v>21</v>
      </c>
      <c r="C23">
        <v>1</v>
      </c>
      <c r="D23">
        <v>1</v>
      </c>
      <c r="E23">
        <v>2</v>
      </c>
      <c r="F23" t="s">
        <v>308</v>
      </c>
      <c r="G23" t="s">
        <v>309</v>
      </c>
      <c r="H23" s="3">
        <v>4</v>
      </c>
      <c r="I23" s="3">
        <v>4</v>
      </c>
      <c r="J23">
        <v>0</v>
      </c>
      <c r="L23" t="str">
        <f t="shared" si="0"/>
        <v>(NULL,"1","1","2","MAT 216","Differential Calculus","4","4","0"),</v>
      </c>
      <c r="M23" t="str">
        <f>TextJoin(tblCourseSubjs[[#This Row],[CourseID]:[LabHrs]],"Value")</f>
        <v>"1","1","2","MAT 216","Differential Calculus","4","4","0"</v>
      </c>
    </row>
    <row r="24" spans="2:13" x14ac:dyDescent="0.25">
      <c r="B24">
        <v>22</v>
      </c>
      <c r="C24">
        <v>1</v>
      </c>
      <c r="D24">
        <v>1</v>
      </c>
      <c r="E24">
        <v>2</v>
      </c>
      <c r="F24" t="s">
        <v>310</v>
      </c>
      <c r="G24" t="s">
        <v>311</v>
      </c>
      <c r="H24" s="3">
        <v>4</v>
      </c>
      <c r="I24" s="3">
        <v>3</v>
      </c>
      <c r="J24">
        <v>3</v>
      </c>
      <c r="L24" t="str">
        <f t="shared" si="0"/>
        <v>(NULL,"1","1","2","PHY 211","General Physics 1","4","3","3"),</v>
      </c>
      <c r="M24" t="str">
        <f>TextJoin(tblCourseSubjs[[#This Row],[CourseID]:[LabHrs]],"Value")</f>
        <v>"1","1","2","PHY 211","General Physics 1","4","3","3"</v>
      </c>
    </row>
    <row r="25" spans="2:13" x14ac:dyDescent="0.25">
      <c r="B25">
        <v>23</v>
      </c>
      <c r="C25">
        <v>1</v>
      </c>
      <c r="D25">
        <v>1</v>
      </c>
      <c r="E25">
        <v>2</v>
      </c>
      <c r="F25" t="s">
        <v>312</v>
      </c>
      <c r="G25" t="s">
        <v>313</v>
      </c>
      <c r="H25">
        <v>3</v>
      </c>
      <c r="I25" s="1">
        <v>3</v>
      </c>
      <c r="J25" s="1">
        <v>0</v>
      </c>
      <c r="L25" t="str">
        <f t="shared" si="0"/>
        <v>(NULL,"1","1","2","SS 212","Economics w/ Land Reform and Taxation","3","3","0"),</v>
      </c>
      <c r="M25" t="str">
        <f>TextJoin(tblCourseSubjs[[#This Row],[CourseID]:[LabHrs]],"Value")</f>
        <v>"1","1","2","SS 212","Economics w/ Land Reform and Taxation","3","3","0"</v>
      </c>
    </row>
    <row r="26" spans="2:13" x14ac:dyDescent="0.25">
      <c r="B26">
        <v>24</v>
      </c>
      <c r="C26">
        <v>1</v>
      </c>
      <c r="D26">
        <v>1</v>
      </c>
      <c r="E26">
        <v>2</v>
      </c>
      <c r="F26" t="s">
        <v>314</v>
      </c>
      <c r="G26" t="s">
        <v>315</v>
      </c>
      <c r="H26">
        <v>3</v>
      </c>
      <c r="I26" s="1">
        <v>3</v>
      </c>
      <c r="J26" s="1">
        <v>0</v>
      </c>
      <c r="L26" t="str">
        <f t="shared" si="0"/>
        <v>(NULL,"1","1","2","SS 211","Philippine History &amp; Culture","3","3","0"),</v>
      </c>
      <c r="M26" t="str">
        <f>TextJoin(tblCourseSubjs[[#This Row],[CourseID]:[LabHrs]],"Value")</f>
        <v>"1","1","2","SS 211","Philippine History &amp; Culture","3","3","0"</v>
      </c>
    </row>
    <row r="27" spans="2:13" x14ac:dyDescent="0.25">
      <c r="B27">
        <v>25</v>
      </c>
      <c r="C27">
        <v>1</v>
      </c>
      <c r="D27">
        <v>1</v>
      </c>
      <c r="E27">
        <v>2</v>
      </c>
      <c r="F27" t="s">
        <v>316</v>
      </c>
      <c r="G27" t="s">
        <v>317</v>
      </c>
      <c r="H27">
        <v>1</v>
      </c>
      <c r="I27" s="1">
        <v>0</v>
      </c>
      <c r="J27" s="1">
        <v>3</v>
      </c>
      <c r="L27" t="str">
        <f t="shared" si="0"/>
        <v>(NULL,"1","1","2","CPE 211","Computer Hardware Fundamentals","1","0","3"),</v>
      </c>
      <c r="M27" t="str">
        <f>TextJoin(tblCourseSubjs[[#This Row],[CourseID]:[LabHrs]],"Value")</f>
        <v>"1","1","2","CPE 211","Computer Hardware Fundamentals","1","0","3"</v>
      </c>
    </row>
    <row r="28" spans="2:13" x14ac:dyDescent="0.25">
      <c r="B28">
        <v>26</v>
      </c>
      <c r="C28">
        <v>1</v>
      </c>
      <c r="D28">
        <v>1</v>
      </c>
      <c r="E28">
        <v>2</v>
      </c>
      <c r="F28" t="s">
        <v>318</v>
      </c>
      <c r="G28" t="s">
        <v>319</v>
      </c>
      <c r="H28">
        <v>2</v>
      </c>
      <c r="I28" s="1">
        <v>0</v>
      </c>
      <c r="J28" s="1">
        <v>0</v>
      </c>
      <c r="L28" t="str">
        <f t="shared" si="0"/>
        <v>(NULL,"1","1","2","PED 223","Specialized Athletics","2","0","0"),</v>
      </c>
      <c r="M28" t="str">
        <f>TextJoin(tblCourseSubjs[[#This Row],[CourseID]:[LabHrs]],"Value")</f>
        <v>"1","1","2","PED 223","Specialized Athletics","2","0","0"</v>
      </c>
    </row>
    <row r="29" spans="2:13" x14ac:dyDescent="0.25">
      <c r="B29">
        <v>27</v>
      </c>
      <c r="C29">
        <v>1</v>
      </c>
      <c r="D29">
        <v>1</v>
      </c>
      <c r="E29">
        <v>2</v>
      </c>
      <c r="F29" t="s">
        <v>320</v>
      </c>
      <c r="G29" t="s">
        <v>321</v>
      </c>
      <c r="H29">
        <v>3</v>
      </c>
      <c r="I29" s="1">
        <v>3</v>
      </c>
      <c r="J29" s="1">
        <v>0</v>
      </c>
      <c r="L29" t="str">
        <f t="shared" si="0"/>
        <v>(NULL,"1","1","2","HUM 212","Art Appreciation","3","3","0"),</v>
      </c>
      <c r="M29" t="str">
        <f>TextJoin(tblCourseSubjs[[#This Row],[CourseID]:[LabHrs]],"Value")</f>
        <v>"1","1","2","HUM 212","Art Appreciation","3","3","0"</v>
      </c>
    </row>
    <row r="30" spans="2:13" x14ac:dyDescent="0.25">
      <c r="B30">
        <v>28</v>
      </c>
      <c r="C30">
        <v>1</v>
      </c>
      <c r="D30">
        <v>2</v>
      </c>
      <c r="E30">
        <v>2</v>
      </c>
      <c r="F30" t="s">
        <v>322</v>
      </c>
      <c r="G30" t="s">
        <v>323</v>
      </c>
      <c r="H30">
        <v>3</v>
      </c>
      <c r="I30" s="1">
        <v>3</v>
      </c>
      <c r="J30" s="1">
        <v>0</v>
      </c>
      <c r="L30" t="str">
        <f t="shared" si="0"/>
        <v>(NULL,"1","2","2","MAT 228","Statistics and Probabilities","3","3","0"),</v>
      </c>
      <c r="M30" t="str">
        <f>TextJoin(tblCourseSubjs[[#This Row],[CourseID]:[LabHrs]],"Value")</f>
        <v>"1","2","2","MAT 228","Statistics and Probabilities","3","3","0"</v>
      </c>
    </row>
    <row r="31" spans="2:13" x14ac:dyDescent="0.25">
      <c r="B31">
        <v>29</v>
      </c>
      <c r="C31">
        <v>1</v>
      </c>
      <c r="D31">
        <v>2</v>
      </c>
      <c r="E31">
        <v>2</v>
      </c>
      <c r="F31" t="s">
        <v>324</v>
      </c>
      <c r="G31" t="s">
        <v>325</v>
      </c>
      <c r="H31">
        <v>4</v>
      </c>
      <c r="I31" s="1">
        <v>4</v>
      </c>
      <c r="J31" s="1">
        <v>0</v>
      </c>
      <c r="L31" t="str">
        <f t="shared" si="0"/>
        <v>(NULL,"1","2","2","MAT 227","Integral Calculus","4","4","0"),</v>
      </c>
      <c r="M31" t="str">
        <f>TextJoin(tblCourseSubjs[[#This Row],[CourseID]:[LabHrs]],"Value")</f>
        <v>"1","2","2","MAT 227","Integral Calculus","4","4","0"</v>
      </c>
    </row>
    <row r="32" spans="2:13" x14ac:dyDescent="0.25">
      <c r="B32">
        <v>30</v>
      </c>
      <c r="C32">
        <v>1</v>
      </c>
      <c r="D32">
        <v>2</v>
      </c>
      <c r="E32">
        <v>2</v>
      </c>
      <c r="F32" t="s">
        <v>326</v>
      </c>
      <c r="G32" t="s">
        <v>327</v>
      </c>
      <c r="H32">
        <v>4</v>
      </c>
      <c r="I32" s="1">
        <v>3</v>
      </c>
      <c r="J32" s="1">
        <v>3</v>
      </c>
      <c r="L32" t="str">
        <f t="shared" si="0"/>
        <v>(NULL,"1","2","2","PHY 222","General Physics 2","4","3","3"),</v>
      </c>
      <c r="M32" t="str">
        <f>TextJoin(tblCourseSubjs[[#This Row],[CourseID]:[LabHrs]],"Value")</f>
        <v>"1","2","2","PHY 222","General Physics 2","4","3","3"</v>
      </c>
    </row>
    <row r="33" spans="2:13" x14ac:dyDescent="0.25">
      <c r="B33">
        <v>31</v>
      </c>
      <c r="C33">
        <v>1</v>
      </c>
      <c r="D33">
        <v>2</v>
      </c>
      <c r="E33">
        <v>2</v>
      </c>
      <c r="F33" t="s">
        <v>328</v>
      </c>
      <c r="G33" t="s">
        <v>329</v>
      </c>
      <c r="H33">
        <v>4</v>
      </c>
      <c r="I33" s="1">
        <v>3</v>
      </c>
      <c r="J33" s="1">
        <v>3</v>
      </c>
      <c r="L33" t="str">
        <f t="shared" si="0"/>
        <v>(NULL,"1","2","2","COM 222","Data Structure &amp; Algorithm Analysis","4","3","3"),</v>
      </c>
      <c r="M33" t="str">
        <f>TextJoin(tblCourseSubjs[[#This Row],[CourseID]:[LabHrs]],"Value")</f>
        <v>"1","2","2","COM 222","Data Structure &amp; Algorithm Analysis","4","3","3"</v>
      </c>
    </row>
    <row r="34" spans="2:13" x14ac:dyDescent="0.25">
      <c r="B34">
        <v>32</v>
      </c>
      <c r="C34">
        <v>1</v>
      </c>
      <c r="D34">
        <v>2</v>
      </c>
      <c r="E34">
        <v>2</v>
      </c>
      <c r="F34" t="s">
        <v>330</v>
      </c>
      <c r="G34" t="s">
        <v>331</v>
      </c>
      <c r="H34">
        <v>3</v>
      </c>
      <c r="I34" s="1">
        <v>3</v>
      </c>
      <c r="J34" s="1">
        <v>0</v>
      </c>
      <c r="L34" t="str">
        <f t="shared" si="0"/>
        <v>(NULL,"1","2","2","SS 222","General Psychology","3","3","0"),</v>
      </c>
      <c r="M34" t="str">
        <f>TextJoin(tblCourseSubjs[[#This Row],[CourseID]:[LabHrs]],"Value")</f>
        <v>"1","2","2","SS 222","General Psychology","3","3","0"</v>
      </c>
    </row>
    <row r="35" spans="2:13" x14ac:dyDescent="0.25">
      <c r="B35">
        <v>33</v>
      </c>
      <c r="C35">
        <v>1</v>
      </c>
      <c r="D35">
        <v>2</v>
      </c>
      <c r="E35">
        <v>2</v>
      </c>
      <c r="F35" t="s">
        <v>332</v>
      </c>
      <c r="G35" t="s">
        <v>333</v>
      </c>
      <c r="H35">
        <v>3</v>
      </c>
      <c r="I35" s="1">
        <v>3</v>
      </c>
      <c r="J35" s="1">
        <v>0</v>
      </c>
      <c r="L35" t="str">
        <f t="shared" si="0"/>
        <v>(NULL,"1","2","2","HUM 223","Philippine Literature","3","3","0"),</v>
      </c>
      <c r="M35" t="str">
        <f>TextJoin(tblCourseSubjs[[#This Row],[CourseID]:[LabHrs]],"Value")</f>
        <v>"1","2","2","HUM 223","Philippine Literature","3","3","0"</v>
      </c>
    </row>
    <row r="36" spans="2:13" x14ac:dyDescent="0.25">
      <c r="B36">
        <v>34</v>
      </c>
      <c r="C36">
        <v>1</v>
      </c>
      <c r="D36">
        <v>2</v>
      </c>
      <c r="E36">
        <v>2</v>
      </c>
      <c r="F36" t="s">
        <v>334</v>
      </c>
      <c r="G36" t="s">
        <v>335</v>
      </c>
      <c r="H36" s="4">
        <v>2</v>
      </c>
      <c r="I36" s="3">
        <v>0</v>
      </c>
      <c r="J36" s="3">
        <v>0</v>
      </c>
      <c r="L36" t="str">
        <f t="shared" si="0"/>
        <v>(NULL,"1","2","2","PED 224","Group Games","2","0","0"),</v>
      </c>
      <c r="M36" t="str">
        <f>TextJoin(tblCourseSubjs[[#This Row],[CourseID]:[LabHrs]],"Value")</f>
        <v>"1","2","2","PED 224","Group Games","2","0","0"</v>
      </c>
    </row>
    <row r="37" spans="2:13" x14ac:dyDescent="0.25">
      <c r="B37">
        <v>35</v>
      </c>
      <c r="C37">
        <v>1</v>
      </c>
      <c r="D37">
        <v>1</v>
      </c>
      <c r="E37">
        <v>3</v>
      </c>
      <c r="F37" t="s">
        <v>337</v>
      </c>
      <c r="G37" t="s">
        <v>338</v>
      </c>
      <c r="H37">
        <v>3</v>
      </c>
      <c r="I37" s="1">
        <v>3</v>
      </c>
      <c r="J37" s="1">
        <v>0</v>
      </c>
      <c r="L37" t="str">
        <f t="shared" si="0"/>
        <v>(NULL,"1","1","3","MAT 310","Engineering Economy","3","3","0"),</v>
      </c>
      <c r="M37" t="str">
        <f>TextJoin(tblCourseSubjs[[#This Row],[CourseID]:[LabHrs]],"Value")</f>
        <v>"1","1","3","MAT 310","Engineering Economy","3","3","0"</v>
      </c>
    </row>
    <row r="38" spans="2:13" x14ac:dyDescent="0.25">
      <c r="B38">
        <v>36</v>
      </c>
      <c r="C38">
        <v>1</v>
      </c>
      <c r="D38">
        <v>1</v>
      </c>
      <c r="E38">
        <v>3</v>
      </c>
      <c r="F38" t="s">
        <v>339</v>
      </c>
      <c r="G38" t="s">
        <v>340</v>
      </c>
      <c r="H38">
        <v>3</v>
      </c>
      <c r="I38" s="1">
        <v>3</v>
      </c>
      <c r="J38" s="1">
        <v>0</v>
      </c>
      <c r="L38" t="str">
        <f t="shared" si="0"/>
        <v>(NULL,"1","1","3","MAT 319","Different Equations","3","3","0"),</v>
      </c>
      <c r="M38" t="str">
        <f>TextJoin(tblCourseSubjs[[#This Row],[CourseID]:[LabHrs]],"Value")</f>
        <v>"1","1","3","MAT 319","Different Equations","3","3","0"</v>
      </c>
    </row>
    <row r="39" spans="2:13" x14ac:dyDescent="0.25">
      <c r="B39">
        <v>37</v>
      </c>
      <c r="C39">
        <v>1</v>
      </c>
      <c r="D39">
        <v>1</v>
      </c>
      <c r="E39">
        <v>3</v>
      </c>
      <c r="F39" t="s">
        <v>341</v>
      </c>
      <c r="G39" t="s">
        <v>342</v>
      </c>
      <c r="H39">
        <v>3</v>
      </c>
      <c r="I39" s="1">
        <v>3</v>
      </c>
      <c r="J39" s="1">
        <v>0</v>
      </c>
      <c r="L39" t="str">
        <f t="shared" si="0"/>
        <v>(NULL,"1","1","3","EGR 311","Statics of Rigid Bodies","3","3","0"),</v>
      </c>
      <c r="M39" t="str">
        <f>TextJoin(tblCourseSubjs[[#This Row],[CourseID]:[LabHrs]],"Value")</f>
        <v>"1","1","3","EGR 311","Statics of Rigid Bodies","3","3","0"</v>
      </c>
    </row>
    <row r="40" spans="2:13" x14ac:dyDescent="0.25">
      <c r="B40">
        <v>38</v>
      </c>
      <c r="C40">
        <v>1</v>
      </c>
      <c r="D40">
        <v>1</v>
      </c>
      <c r="E40">
        <v>3</v>
      </c>
      <c r="F40" t="s">
        <v>343</v>
      </c>
      <c r="G40" t="s">
        <v>344</v>
      </c>
      <c r="H40">
        <v>4</v>
      </c>
      <c r="I40" s="1">
        <v>3</v>
      </c>
      <c r="J40" s="1">
        <v>3</v>
      </c>
      <c r="L40" t="str">
        <f t="shared" si="0"/>
        <v>(NULL,"1","1","3","ECA 311","Circuit Analysis 1","4","3","3"),</v>
      </c>
      <c r="M40" t="str">
        <f>TextJoin(tblCourseSubjs[[#This Row],[CourseID]:[LabHrs]],"Value")</f>
        <v>"1","1","3","ECA 311","Circuit Analysis 1","4","3","3"</v>
      </c>
    </row>
    <row r="41" spans="2:13" x14ac:dyDescent="0.25">
      <c r="B41">
        <v>39</v>
      </c>
      <c r="C41">
        <v>1</v>
      </c>
      <c r="D41">
        <v>1</v>
      </c>
      <c r="E41">
        <v>3</v>
      </c>
      <c r="F41" t="s">
        <v>345</v>
      </c>
      <c r="G41" t="s">
        <v>346</v>
      </c>
      <c r="H41">
        <v>3</v>
      </c>
      <c r="I41" s="1">
        <v>3</v>
      </c>
      <c r="J41" s="1">
        <v>0</v>
      </c>
      <c r="L41" t="str">
        <f t="shared" si="0"/>
        <v>(NULL,"1","1","3","EGR 312","Electromagnetics","3","3","0"),</v>
      </c>
      <c r="M41" t="str">
        <f>TextJoin(tblCourseSubjs[[#This Row],[CourseID]:[LabHrs]],"Value")</f>
        <v>"1","1","3","EGR 312","Electromagnetics","3","3","0"</v>
      </c>
    </row>
    <row r="42" spans="2:13" x14ac:dyDescent="0.25">
      <c r="B42">
        <v>40</v>
      </c>
      <c r="C42">
        <v>1</v>
      </c>
      <c r="D42">
        <v>1</v>
      </c>
      <c r="E42">
        <v>3</v>
      </c>
      <c r="F42" t="s">
        <v>347</v>
      </c>
      <c r="G42" t="s">
        <v>348</v>
      </c>
      <c r="H42">
        <v>4</v>
      </c>
      <c r="I42" s="1">
        <v>3</v>
      </c>
      <c r="J42" s="1">
        <v>3</v>
      </c>
      <c r="L42" t="str">
        <f t="shared" si="0"/>
        <v>(NULL,"1","1","3","ECE 311","Electronics 1","4","3","3"),</v>
      </c>
      <c r="M42" t="str">
        <f>TextJoin(tblCourseSubjs[[#This Row],[CourseID]:[LabHrs]],"Value")</f>
        <v>"1","1","3","ECE 311","Electronics 1","4","3","3"</v>
      </c>
    </row>
    <row r="43" spans="2:13" x14ac:dyDescent="0.25">
      <c r="B43">
        <v>41</v>
      </c>
      <c r="C43">
        <v>1</v>
      </c>
      <c r="D43">
        <v>1</v>
      </c>
      <c r="E43">
        <v>3</v>
      </c>
      <c r="F43" t="s">
        <v>349</v>
      </c>
      <c r="G43" t="s">
        <v>350</v>
      </c>
      <c r="H43">
        <v>4</v>
      </c>
      <c r="I43" s="1">
        <v>2</v>
      </c>
      <c r="J43" s="1">
        <v>3</v>
      </c>
      <c r="L43" t="str">
        <f t="shared" si="0"/>
        <v>(NULL,"1","1","3","CPE 312","Computer Systems Organization w/ Assembly Language","4","2","3"),</v>
      </c>
      <c r="M43" t="str">
        <f>TextJoin(tblCourseSubjs[[#This Row],[CourseID]:[LabHrs]],"Value")</f>
        <v>"1","1","3","CPE 312","Computer Systems Organization w/ Assembly Language","4","2","3"</v>
      </c>
    </row>
    <row r="44" spans="2:13" x14ac:dyDescent="0.25">
      <c r="B44">
        <v>42</v>
      </c>
      <c r="C44">
        <v>1</v>
      </c>
      <c r="D44">
        <v>1</v>
      </c>
      <c r="E44">
        <v>3</v>
      </c>
      <c r="F44" t="s">
        <v>351</v>
      </c>
      <c r="G44" t="s">
        <v>610</v>
      </c>
      <c r="H44">
        <v>3</v>
      </c>
      <c r="I44" s="1">
        <v>3</v>
      </c>
      <c r="J44" s="1">
        <v>0</v>
      </c>
      <c r="L44" t="str">
        <f t="shared" si="0"/>
        <v>(NULL,"1","1","3","MAT 311","Discrete Mathematics","3","3","0"),</v>
      </c>
      <c r="M44" t="str">
        <f>TextJoin(tblCourseSubjs[[#This Row],[CourseID]:[LabHrs]],"Value")</f>
        <v>"1","1","3","MAT 311","Discrete Mathematics","3","3","0"</v>
      </c>
    </row>
    <row r="45" spans="2:13" x14ac:dyDescent="0.25">
      <c r="B45">
        <v>43</v>
      </c>
      <c r="C45">
        <v>1</v>
      </c>
      <c r="D45">
        <v>2</v>
      </c>
      <c r="E45">
        <v>3</v>
      </c>
      <c r="F45" t="s">
        <v>352</v>
      </c>
      <c r="G45" t="s">
        <v>353</v>
      </c>
      <c r="H45">
        <v>3</v>
      </c>
      <c r="I45" s="1">
        <v>3</v>
      </c>
      <c r="J45" s="1">
        <v>0</v>
      </c>
      <c r="L45" t="str">
        <f t="shared" si="0"/>
        <v>(NULL,"1","2","3","MAT 322","Advance Engineering Mathematics","3","3","0"),</v>
      </c>
      <c r="M45" t="str">
        <f>TextJoin(tblCourseSubjs[[#This Row],[CourseID]:[LabHrs]],"Value")</f>
        <v>"1","2","3","MAT 322","Advance Engineering Mathematics","3","3","0"</v>
      </c>
    </row>
    <row r="46" spans="2:13" x14ac:dyDescent="0.25">
      <c r="B46">
        <v>44</v>
      </c>
      <c r="C46">
        <v>1</v>
      </c>
      <c r="D46">
        <v>2</v>
      </c>
      <c r="E46">
        <v>3</v>
      </c>
      <c r="F46" t="s">
        <v>354</v>
      </c>
      <c r="G46" t="s">
        <v>355</v>
      </c>
      <c r="H46">
        <v>2</v>
      </c>
      <c r="I46" s="1">
        <v>2</v>
      </c>
      <c r="J46" s="1">
        <v>0</v>
      </c>
      <c r="L46" t="str">
        <f t="shared" si="0"/>
        <v>(NULL,"1","2","3","EGR 322","Dynamics of Rigid Bodies","2","2","0"),</v>
      </c>
      <c r="M46" t="str">
        <f>TextJoin(tblCourseSubjs[[#This Row],[CourseID]:[LabHrs]],"Value")</f>
        <v>"1","2","3","EGR 322","Dynamics of Rigid Bodies","2","2","0"</v>
      </c>
    </row>
    <row r="47" spans="2:13" x14ac:dyDescent="0.25">
      <c r="B47">
        <v>45</v>
      </c>
      <c r="C47">
        <v>1</v>
      </c>
      <c r="D47">
        <v>2</v>
      </c>
      <c r="E47">
        <v>3</v>
      </c>
      <c r="F47" t="s">
        <v>356</v>
      </c>
      <c r="G47" t="s">
        <v>357</v>
      </c>
      <c r="H47">
        <v>3</v>
      </c>
      <c r="I47" s="1">
        <v>3</v>
      </c>
      <c r="J47" s="1">
        <v>0</v>
      </c>
      <c r="L47" t="str">
        <f t="shared" si="0"/>
        <v>(NULL,"1","2","3","EGR 323","Engineering Materials","3","3","0"),</v>
      </c>
      <c r="M47" t="str">
        <f>TextJoin(tblCourseSubjs[[#This Row],[CourseID]:[LabHrs]],"Value")</f>
        <v>"1","2","3","EGR 323","Engineering Materials","3","3","0"</v>
      </c>
    </row>
    <row r="48" spans="2:13" x14ac:dyDescent="0.25">
      <c r="B48">
        <v>46</v>
      </c>
      <c r="C48">
        <v>1</v>
      </c>
      <c r="D48">
        <v>2</v>
      </c>
      <c r="E48">
        <v>3</v>
      </c>
      <c r="F48" t="s">
        <v>358</v>
      </c>
      <c r="G48" t="s">
        <v>359</v>
      </c>
      <c r="H48">
        <v>3</v>
      </c>
      <c r="I48" s="1">
        <v>2</v>
      </c>
      <c r="J48" s="1">
        <v>3</v>
      </c>
      <c r="L48" t="str">
        <f t="shared" si="0"/>
        <v>(NULL,"1","2","3","NT 321","CISCO 1","3","2","3"),</v>
      </c>
      <c r="M48" t="str">
        <f>TextJoin(tblCourseSubjs[[#This Row],[CourseID]:[LabHrs]],"Value")</f>
        <v>"1","2","3","NT 321","CISCO 1","3","2","3"</v>
      </c>
    </row>
    <row r="49" spans="2:13" x14ac:dyDescent="0.25">
      <c r="B49">
        <v>47</v>
      </c>
      <c r="C49">
        <v>1</v>
      </c>
      <c r="D49">
        <v>2</v>
      </c>
      <c r="E49">
        <v>3</v>
      </c>
      <c r="F49" t="s">
        <v>360</v>
      </c>
      <c r="G49" t="s">
        <v>361</v>
      </c>
      <c r="H49">
        <v>4</v>
      </c>
      <c r="I49" s="1">
        <v>3</v>
      </c>
      <c r="J49" s="1">
        <v>3</v>
      </c>
      <c r="L49" t="str">
        <f t="shared" si="0"/>
        <v>(NULL,"1","2","3","ECE 322","Electronics 2","4","3","3"),</v>
      </c>
      <c r="M49" t="str">
        <f>TextJoin(tblCourseSubjs[[#This Row],[CourseID]:[LabHrs]],"Value")</f>
        <v>"1","2","3","ECE 322","Electronics 2","4","3","3"</v>
      </c>
    </row>
    <row r="50" spans="2:13" x14ac:dyDescent="0.25">
      <c r="B50">
        <v>48</v>
      </c>
      <c r="C50">
        <v>1</v>
      </c>
      <c r="D50">
        <v>2</v>
      </c>
      <c r="E50">
        <v>3</v>
      </c>
      <c r="F50" t="s">
        <v>362</v>
      </c>
      <c r="G50" t="s">
        <v>363</v>
      </c>
      <c r="H50">
        <v>4</v>
      </c>
      <c r="I50" s="1">
        <v>3</v>
      </c>
      <c r="J50" s="1">
        <v>3</v>
      </c>
      <c r="L50" t="str">
        <f t="shared" si="0"/>
        <v>(NULL,"1","2","3","ECA 322","Circuit Analysis 2","4","3","3"),</v>
      </c>
      <c r="M50" t="str">
        <f>TextJoin(tblCourseSubjs[[#This Row],[CourseID]:[LabHrs]],"Value")</f>
        <v>"1","2","3","ECA 322","Circuit Analysis 2","4","3","3"</v>
      </c>
    </row>
    <row r="51" spans="2:13" x14ac:dyDescent="0.25">
      <c r="B51">
        <v>49</v>
      </c>
      <c r="C51">
        <v>1</v>
      </c>
      <c r="D51">
        <v>2</v>
      </c>
      <c r="E51">
        <v>3</v>
      </c>
      <c r="F51" t="s">
        <v>364</v>
      </c>
      <c r="G51" t="s">
        <v>365</v>
      </c>
      <c r="H51">
        <v>4</v>
      </c>
      <c r="I51" s="1">
        <v>3</v>
      </c>
      <c r="J51" s="1">
        <v>3</v>
      </c>
      <c r="L51" t="str">
        <f t="shared" si="0"/>
        <v>(NULL,"1","2","3","CPE 323","Logic Circuit &amp; Switching Theory","4","3","3"),</v>
      </c>
      <c r="M51" t="str">
        <f>TextJoin(tblCourseSubjs[[#This Row],[CourseID]:[LabHrs]],"Value")</f>
        <v>"1","2","3","CPE 323","Logic Circuit &amp; Switching Theory","4","3","3"</v>
      </c>
    </row>
    <row r="52" spans="2:13" x14ac:dyDescent="0.25">
      <c r="B52">
        <v>50</v>
      </c>
      <c r="C52">
        <v>1</v>
      </c>
      <c r="D52">
        <v>2</v>
      </c>
      <c r="E52">
        <v>3</v>
      </c>
      <c r="F52" t="s">
        <v>366</v>
      </c>
      <c r="G52" t="s">
        <v>367</v>
      </c>
      <c r="H52">
        <v>4</v>
      </c>
      <c r="I52" s="1">
        <v>3</v>
      </c>
      <c r="J52" s="1">
        <v>3</v>
      </c>
      <c r="L52" t="str">
        <f t="shared" si="0"/>
        <v>(NULL,"1","2","3","CPE 324","Operating System","4","3","3"),</v>
      </c>
      <c r="M52" t="str">
        <f>TextJoin(tblCourseSubjs[[#This Row],[CourseID]:[LabHrs]],"Value")</f>
        <v>"1","2","3","CPE 324","Operating System","4","3","3"</v>
      </c>
    </row>
    <row r="53" spans="2:13" x14ac:dyDescent="0.25">
      <c r="B53">
        <v>51</v>
      </c>
      <c r="C53">
        <v>1</v>
      </c>
      <c r="D53">
        <v>1</v>
      </c>
      <c r="E53">
        <v>4</v>
      </c>
      <c r="F53" t="s">
        <v>368</v>
      </c>
      <c r="G53" t="s">
        <v>369</v>
      </c>
      <c r="H53">
        <v>3</v>
      </c>
      <c r="I53" s="1">
        <v>2</v>
      </c>
      <c r="J53" s="1">
        <v>3</v>
      </c>
      <c r="L53" t="str">
        <f t="shared" si="0"/>
        <v>(NULL,"1","1","4","MAT 413","Numerical Analysis w/ Computer Application","3","2","3"),</v>
      </c>
      <c r="M53" t="str">
        <f>TextJoin(tblCourseSubjs[[#This Row],[CourseID]:[LabHrs]],"Value")</f>
        <v>"1","1","4","MAT 413","Numerical Analysis w/ Computer Application","3","2","3"</v>
      </c>
    </row>
    <row r="54" spans="2:13" x14ac:dyDescent="0.25">
      <c r="B54">
        <v>52</v>
      </c>
      <c r="C54">
        <v>1</v>
      </c>
      <c r="D54">
        <v>1</v>
      </c>
      <c r="E54">
        <v>4</v>
      </c>
      <c r="F54" t="s">
        <v>370</v>
      </c>
      <c r="G54" t="s">
        <v>371</v>
      </c>
      <c r="H54">
        <v>3</v>
      </c>
      <c r="I54" s="1">
        <v>2</v>
      </c>
      <c r="J54" s="1">
        <v>3</v>
      </c>
      <c r="L54" t="str">
        <f t="shared" si="0"/>
        <v>(NULL,"1","1","4","NT 412","CISCO 2","3","2","3"),</v>
      </c>
      <c r="M54" t="str">
        <f>TextJoin(tblCourseSubjs[[#This Row],[CourseID]:[LabHrs]],"Value")</f>
        <v>"1","1","4","NT 412","CISCO 2","3","2","3"</v>
      </c>
    </row>
    <row r="55" spans="2:13" x14ac:dyDescent="0.25">
      <c r="B55">
        <v>53</v>
      </c>
      <c r="C55">
        <v>1</v>
      </c>
      <c r="D55">
        <v>1</v>
      </c>
      <c r="E55">
        <v>4</v>
      </c>
      <c r="F55" t="s">
        <v>372</v>
      </c>
      <c r="G55" t="s">
        <v>373</v>
      </c>
      <c r="H55">
        <v>3</v>
      </c>
      <c r="I55" s="1">
        <v>3</v>
      </c>
      <c r="J55" s="1">
        <v>0</v>
      </c>
      <c r="L55" t="str">
        <f t="shared" si="0"/>
        <v>(NULL,"1","1","4","ECM 411","Principles of Communication","3","3","0"),</v>
      </c>
      <c r="M55" t="str">
        <f>TextJoin(tblCourseSubjs[[#This Row],[CourseID]:[LabHrs]],"Value")</f>
        <v>"1","1","4","ECM 411","Principles of Communication","3","3","0"</v>
      </c>
    </row>
    <row r="56" spans="2:13" x14ac:dyDescent="0.25">
      <c r="B56">
        <v>54</v>
      </c>
      <c r="C56">
        <v>1</v>
      </c>
      <c r="D56">
        <v>1</v>
      </c>
      <c r="E56">
        <v>4</v>
      </c>
      <c r="F56" t="s">
        <v>374</v>
      </c>
      <c r="G56" t="s">
        <v>375</v>
      </c>
      <c r="H56">
        <v>4</v>
      </c>
      <c r="I56" s="1">
        <v>3</v>
      </c>
      <c r="J56" s="1">
        <v>3</v>
      </c>
      <c r="L56" t="str">
        <f t="shared" si="0"/>
        <v>(NULL,"1","1","4","CPE 416","Advance Logic Circuit &amp; Switching Theory","4","3","3"),</v>
      </c>
      <c r="M56" t="str">
        <f>TextJoin(tblCourseSubjs[[#This Row],[CourseID]:[LabHrs]],"Value")</f>
        <v>"1","1","4","CPE 416","Advance Logic Circuit &amp; Switching Theory","4","3","3"</v>
      </c>
    </row>
    <row r="57" spans="2:13" x14ac:dyDescent="0.25">
      <c r="B57">
        <v>55</v>
      </c>
      <c r="C57">
        <v>1</v>
      </c>
      <c r="D57">
        <v>1</v>
      </c>
      <c r="E57">
        <v>4</v>
      </c>
      <c r="F57" t="s">
        <v>376</v>
      </c>
      <c r="G57" t="s">
        <v>377</v>
      </c>
      <c r="H57">
        <v>4</v>
      </c>
      <c r="I57" s="1">
        <v>3</v>
      </c>
      <c r="J57" s="1">
        <v>3</v>
      </c>
      <c r="L57" t="str">
        <f t="shared" si="0"/>
        <v>(NULL,"1","1","4","EGR 414","Control Systems","4","3","3"),</v>
      </c>
      <c r="M57" t="str">
        <f>TextJoin(tblCourseSubjs[[#This Row],[CourseID]:[LabHrs]],"Value")</f>
        <v>"1","1","4","EGR 414","Control Systems","4","3","3"</v>
      </c>
    </row>
    <row r="58" spans="2:13" x14ac:dyDescent="0.25">
      <c r="B58">
        <v>56</v>
      </c>
      <c r="C58">
        <v>1</v>
      </c>
      <c r="D58">
        <v>1</v>
      </c>
      <c r="E58">
        <v>4</v>
      </c>
      <c r="F58" t="s">
        <v>378</v>
      </c>
      <c r="G58" t="s">
        <v>379</v>
      </c>
      <c r="H58">
        <v>3</v>
      </c>
      <c r="I58" s="1">
        <v>3</v>
      </c>
      <c r="J58" s="1">
        <v>0</v>
      </c>
      <c r="L58" t="str">
        <f t="shared" si="0"/>
        <v>(NULL,"1","1","4","EGR 415","Mechanics of Deformable Bodies","3","3","0"),</v>
      </c>
      <c r="M58" t="str">
        <f>TextJoin(tblCourseSubjs[[#This Row],[CourseID]:[LabHrs]],"Value")</f>
        <v>"1","1","4","EGR 415","Mechanics of Deformable Bodies","3","3","0"</v>
      </c>
    </row>
    <row r="59" spans="2:13" x14ac:dyDescent="0.25">
      <c r="B59">
        <v>57</v>
      </c>
      <c r="C59">
        <v>1</v>
      </c>
      <c r="D59">
        <v>1</v>
      </c>
      <c r="E59">
        <v>4</v>
      </c>
      <c r="F59" t="s">
        <v>380</v>
      </c>
      <c r="G59" t="s">
        <v>381</v>
      </c>
      <c r="H59">
        <v>4</v>
      </c>
      <c r="I59" s="1">
        <v>3</v>
      </c>
      <c r="J59" s="1">
        <v>3</v>
      </c>
      <c r="L59" t="str">
        <f t="shared" si="0"/>
        <v>(NULL,"1","1","4","CPE 415","Digital Signal Processing","4","3","3"),</v>
      </c>
      <c r="M59" t="str">
        <f>TextJoin(tblCourseSubjs[[#This Row],[CourseID]:[LabHrs]],"Value")</f>
        <v>"1","1","4","CPE 415","Digital Signal Processing","4","3","3"</v>
      </c>
    </row>
    <row r="60" spans="2:13" x14ac:dyDescent="0.25">
      <c r="B60">
        <v>58</v>
      </c>
      <c r="C60">
        <v>1</v>
      </c>
      <c r="D60">
        <v>1</v>
      </c>
      <c r="E60">
        <v>4</v>
      </c>
      <c r="F60" t="s">
        <v>382</v>
      </c>
      <c r="G60" t="s">
        <v>383</v>
      </c>
      <c r="H60">
        <v>1</v>
      </c>
      <c r="I60" s="1">
        <v>0</v>
      </c>
      <c r="J60" s="1">
        <v>3</v>
      </c>
      <c r="L60" t="str">
        <f t="shared" si="0"/>
        <v>(NULL,"1","1","4","CPE 417","Computer Engineering Drafting and Design","1","0","3"),</v>
      </c>
      <c r="M60" t="str">
        <f>TextJoin(tblCourseSubjs[[#This Row],[CourseID]:[LabHrs]],"Value")</f>
        <v>"1","1","4","CPE 417","Computer Engineering Drafting and Design","1","0","3"</v>
      </c>
    </row>
    <row r="61" spans="2:13" x14ac:dyDescent="0.25">
      <c r="B61">
        <v>59</v>
      </c>
      <c r="C61">
        <v>1</v>
      </c>
      <c r="D61">
        <v>2</v>
      </c>
      <c r="E61">
        <v>4</v>
      </c>
      <c r="F61" t="s">
        <v>384</v>
      </c>
      <c r="G61" t="s">
        <v>385</v>
      </c>
      <c r="H61">
        <v>3</v>
      </c>
      <c r="I61" s="1">
        <v>3</v>
      </c>
      <c r="J61" s="1">
        <v>0</v>
      </c>
      <c r="L61" t="str">
        <f t="shared" si="0"/>
        <v>(NULL,"1","2","4","SS 524","Society &amp; Culture w/ HIV Aids Education","3","3","0"),</v>
      </c>
      <c r="M61" t="str">
        <f>TextJoin(tblCourseSubjs[[#This Row],[CourseID]:[LabHrs]],"Value")</f>
        <v>"1","2","4","SS 524","Society &amp; Culture w/ HIV Aids Education","3","3","0"</v>
      </c>
    </row>
    <row r="62" spans="2:13" x14ac:dyDescent="0.25">
      <c r="B62">
        <v>60</v>
      </c>
      <c r="C62">
        <v>1</v>
      </c>
      <c r="D62">
        <v>2</v>
      </c>
      <c r="E62">
        <v>4</v>
      </c>
      <c r="F62" t="s">
        <v>386</v>
      </c>
      <c r="G62" t="s">
        <v>387</v>
      </c>
      <c r="H62">
        <v>4</v>
      </c>
      <c r="I62" s="1">
        <v>3</v>
      </c>
      <c r="J62" s="1">
        <v>3</v>
      </c>
      <c r="L62" t="str">
        <f t="shared" si="0"/>
        <v>(NULL,"1","2","4","CPE 427","Microprocessor &amp; Microcontroller Systems","4","3","3"),</v>
      </c>
      <c r="M62" t="str">
        <f>TextJoin(tblCourseSubjs[[#This Row],[CourseID]:[LabHrs]],"Value")</f>
        <v>"1","2","4","CPE 427","Microprocessor &amp; Microcontroller Systems","4","3","3"</v>
      </c>
    </row>
    <row r="63" spans="2:13" x14ac:dyDescent="0.25">
      <c r="B63">
        <v>61</v>
      </c>
      <c r="C63">
        <v>1</v>
      </c>
      <c r="D63">
        <v>2</v>
      </c>
      <c r="E63">
        <v>4</v>
      </c>
      <c r="F63" t="s">
        <v>388</v>
      </c>
      <c r="G63" t="s">
        <v>389</v>
      </c>
      <c r="H63">
        <v>3</v>
      </c>
      <c r="I63" s="1">
        <v>3</v>
      </c>
      <c r="J63" s="1">
        <v>3</v>
      </c>
      <c r="L63" t="str">
        <f t="shared" si="0"/>
        <v>(NULL,"1","2","4","CPE 428","Data Communications","3","3","3"),</v>
      </c>
      <c r="M63" t="str">
        <f>TextJoin(tblCourseSubjs[[#This Row],[CourseID]:[LabHrs]],"Value")</f>
        <v>"1","2","4","CPE 428","Data Communications","3","3","3"</v>
      </c>
    </row>
    <row r="64" spans="2:13" x14ac:dyDescent="0.25">
      <c r="B64">
        <v>62</v>
      </c>
      <c r="C64">
        <v>1</v>
      </c>
      <c r="D64">
        <v>2</v>
      </c>
      <c r="E64">
        <v>4</v>
      </c>
      <c r="F64" t="s">
        <v>390</v>
      </c>
      <c r="G64" t="s">
        <v>391</v>
      </c>
      <c r="H64">
        <v>4</v>
      </c>
      <c r="I64" s="1">
        <v>3</v>
      </c>
      <c r="J64" s="1">
        <v>3</v>
      </c>
      <c r="L64" t="str">
        <f t="shared" si="0"/>
        <v>(NULL,"1","2","4","CPE 424","Computer System Architecture","4","3","3"),</v>
      </c>
      <c r="M64" t="str">
        <f>TextJoin(tblCourseSubjs[[#This Row],[CourseID]:[LabHrs]],"Value")</f>
        <v>"1","2","4","CPE 424","Computer System Architecture","4","3","3"</v>
      </c>
    </row>
    <row r="65" spans="2:13" x14ac:dyDescent="0.25">
      <c r="B65">
        <v>63</v>
      </c>
      <c r="C65">
        <v>1</v>
      </c>
      <c r="D65">
        <v>2</v>
      </c>
      <c r="E65">
        <v>4</v>
      </c>
      <c r="F65" t="s">
        <v>392</v>
      </c>
      <c r="G65" t="s">
        <v>393</v>
      </c>
      <c r="H65">
        <v>2</v>
      </c>
      <c r="I65" s="1">
        <v>2</v>
      </c>
      <c r="J65" s="1">
        <v>0</v>
      </c>
      <c r="L65" t="str">
        <f t="shared" si="0"/>
        <v>(NULL,"1","2","4","ENV 421","Environmental Engineering","2","2","0"),</v>
      </c>
      <c r="M65" t="str">
        <f>TextJoin(tblCourseSubjs[[#This Row],[CourseID]:[LabHrs]],"Value")</f>
        <v>"1","2","4","ENV 421","Environmental Engineering","2","2","0"</v>
      </c>
    </row>
    <row r="66" spans="2:13" x14ac:dyDescent="0.25">
      <c r="B66">
        <v>64</v>
      </c>
      <c r="C66">
        <v>2</v>
      </c>
      <c r="D66">
        <v>2</v>
      </c>
      <c r="E66">
        <v>3</v>
      </c>
      <c r="F66" t="s">
        <v>394</v>
      </c>
      <c r="G66" t="s">
        <v>371</v>
      </c>
      <c r="H66">
        <v>3</v>
      </c>
      <c r="I66" s="1">
        <v>2</v>
      </c>
      <c r="J66" s="1">
        <v>3</v>
      </c>
      <c r="L66" t="str">
        <f t="shared" si="0"/>
        <v>(NULL,"2","2","3","FEL 322","CISCO 2","3","2","3"),</v>
      </c>
      <c r="M66" t="str">
        <f>TextJoin(tblCourseSubjs[[#This Row],[CourseID]:[LabHrs]],"Value")</f>
        <v>"2","2","3","FEL 322","CISCO 2","3","2","3"</v>
      </c>
    </row>
    <row r="67" spans="2:13" x14ac:dyDescent="0.25">
      <c r="B67">
        <v>65</v>
      </c>
      <c r="C67">
        <v>1</v>
      </c>
      <c r="D67">
        <v>2</v>
      </c>
      <c r="E67">
        <v>4</v>
      </c>
      <c r="F67" t="s">
        <v>395</v>
      </c>
      <c r="G67" t="s">
        <v>396</v>
      </c>
      <c r="H67">
        <v>3</v>
      </c>
      <c r="I67" s="1">
        <v>2</v>
      </c>
      <c r="J67" s="1">
        <v>3</v>
      </c>
      <c r="L67" t="str">
        <f t="shared" si="0"/>
        <v>(NULL,"1","2","4","EL 421","Elective 1","3","2","3"),</v>
      </c>
      <c r="M67" t="str">
        <f>TextJoin(tblCourseSubjs[[#This Row],[CourseID]:[LabHrs]],"Value")</f>
        <v>"1","2","4","EL 421","Elective 1","3","2","3"</v>
      </c>
    </row>
    <row r="68" spans="2:13" x14ac:dyDescent="0.25">
      <c r="B68">
        <v>66</v>
      </c>
      <c r="C68">
        <v>1</v>
      </c>
      <c r="D68">
        <v>3</v>
      </c>
      <c r="E68">
        <v>4</v>
      </c>
      <c r="F68" t="s">
        <v>397</v>
      </c>
      <c r="G68" t="s">
        <v>398</v>
      </c>
      <c r="H68">
        <v>3</v>
      </c>
      <c r="I68">
        <v>0</v>
      </c>
      <c r="J68">
        <v>240</v>
      </c>
      <c r="L68" t="str">
        <f t="shared" ref="L68:L131" si="1">"(NULL,"&amp;M68&amp;")"&amp;IF(L69&lt;&gt;"",",",";")</f>
        <v>(NULL,"1","3","4","OJT 231","Practicum","3","0","240"),</v>
      </c>
      <c r="M68" t="str">
        <f>TextJoin(tblCourseSubjs[[#This Row],[CourseID]:[LabHrs]],"Value")</f>
        <v>"1","3","4","OJT 231","Practicum","3","0","240"</v>
      </c>
    </row>
    <row r="69" spans="2:13" x14ac:dyDescent="0.25">
      <c r="B69">
        <v>67</v>
      </c>
      <c r="C69">
        <v>1</v>
      </c>
      <c r="D69">
        <v>1</v>
      </c>
      <c r="E69">
        <v>5</v>
      </c>
      <c r="F69" t="s">
        <v>400</v>
      </c>
      <c r="G69" t="s">
        <v>401</v>
      </c>
      <c r="H69">
        <v>3</v>
      </c>
      <c r="I69" s="1">
        <v>3</v>
      </c>
      <c r="J69" s="1">
        <v>0</v>
      </c>
      <c r="L69" t="str">
        <f t="shared" si="1"/>
        <v>(NULL,"1","1","5","COM 515","System Analysis &amp; Design","3","3","0"),</v>
      </c>
      <c r="M69" t="str">
        <f>TextJoin(tblCourseSubjs[[#This Row],[CourseID]:[LabHrs]],"Value")</f>
        <v>"1","1","5","COM 515","System Analysis &amp; Design","3","3","0"</v>
      </c>
    </row>
    <row r="70" spans="2:13" x14ac:dyDescent="0.25">
      <c r="B70">
        <v>68</v>
      </c>
      <c r="C70">
        <v>1</v>
      </c>
      <c r="D70">
        <v>1</v>
      </c>
      <c r="E70">
        <v>5</v>
      </c>
      <c r="F70" t="s">
        <v>402</v>
      </c>
      <c r="G70" t="s">
        <v>403</v>
      </c>
      <c r="H70">
        <v>3</v>
      </c>
      <c r="I70" s="1">
        <v>2</v>
      </c>
      <c r="J70" s="1">
        <v>3</v>
      </c>
      <c r="L70" t="str">
        <f t="shared" si="1"/>
        <v>(NULL,"1","1","5","COM 516","Object Oriented Programming","3","2","3"),</v>
      </c>
      <c r="M70" t="str">
        <f>TextJoin(tblCourseSubjs[[#This Row],[CourseID]:[LabHrs]],"Value")</f>
        <v>"1","1","5","COM 516","Object Oriented Programming","3","2","3"</v>
      </c>
    </row>
    <row r="71" spans="2:13" x14ac:dyDescent="0.25">
      <c r="B71">
        <v>69</v>
      </c>
      <c r="C71">
        <v>1</v>
      </c>
      <c r="D71">
        <v>1</v>
      </c>
      <c r="E71">
        <v>5</v>
      </c>
      <c r="F71" t="s">
        <v>404</v>
      </c>
      <c r="G71" t="s">
        <v>405</v>
      </c>
      <c r="H71">
        <v>2</v>
      </c>
      <c r="I71" s="1">
        <v>2</v>
      </c>
      <c r="J71" s="1">
        <v>0</v>
      </c>
      <c r="L71" t="str">
        <f t="shared" si="1"/>
        <v>(NULL,"1","1","5","ETH 511","Engineering Ethics and Computer Laws","2","2","0"),</v>
      </c>
      <c r="M71" t="str">
        <f>TextJoin(tblCourseSubjs[[#This Row],[CourseID]:[LabHrs]],"Value")</f>
        <v>"1","1","5","ETH 511","Engineering Ethics and Computer Laws","2","2","0"</v>
      </c>
    </row>
    <row r="72" spans="2:13" x14ac:dyDescent="0.25">
      <c r="B72">
        <v>70</v>
      </c>
      <c r="C72">
        <v>1</v>
      </c>
      <c r="D72">
        <v>1</v>
      </c>
      <c r="E72">
        <v>5</v>
      </c>
      <c r="F72" t="s">
        <v>406</v>
      </c>
      <c r="G72" t="s">
        <v>407</v>
      </c>
      <c r="H72">
        <v>4</v>
      </c>
      <c r="I72" s="1">
        <v>3</v>
      </c>
      <c r="J72" s="1">
        <v>3</v>
      </c>
      <c r="L72" t="str">
        <f t="shared" si="1"/>
        <v>(NULL,"1","1","5","CPE 510","Computer Networks","4","3","3"),</v>
      </c>
      <c r="M72" t="str">
        <f>TextJoin(tblCourseSubjs[[#This Row],[CourseID]:[LabHrs]],"Value")</f>
        <v>"1","1","5","CPE 510","Computer Networks","4","3","3"</v>
      </c>
    </row>
    <row r="73" spans="2:13" x14ac:dyDescent="0.25">
      <c r="B73">
        <v>71</v>
      </c>
      <c r="C73">
        <v>1</v>
      </c>
      <c r="D73">
        <v>1</v>
      </c>
      <c r="E73">
        <v>5</v>
      </c>
      <c r="F73" t="s">
        <v>408</v>
      </c>
      <c r="G73" t="s">
        <v>409</v>
      </c>
      <c r="H73">
        <v>3</v>
      </c>
      <c r="I73" s="1">
        <v>2</v>
      </c>
      <c r="J73" s="1">
        <v>3</v>
      </c>
      <c r="L73" t="str">
        <f t="shared" si="1"/>
        <v>(NULL,"1","1","5","EEL 512","Elective 2","3","2","3"),</v>
      </c>
      <c r="M73" t="str">
        <f>TextJoin(tblCourseSubjs[[#This Row],[CourseID]:[LabHrs]],"Value")</f>
        <v>"1","1","5","EEL 512","Elective 2","3","2","3"</v>
      </c>
    </row>
    <row r="74" spans="2:13" x14ac:dyDescent="0.25">
      <c r="B74">
        <v>72</v>
      </c>
      <c r="C74">
        <v>1</v>
      </c>
      <c r="D74">
        <v>1</v>
      </c>
      <c r="E74">
        <v>5</v>
      </c>
      <c r="F74" t="s">
        <v>410</v>
      </c>
      <c r="G74" t="s">
        <v>411</v>
      </c>
      <c r="H74">
        <v>2</v>
      </c>
      <c r="I74" s="1">
        <v>2</v>
      </c>
      <c r="J74" s="1">
        <v>0</v>
      </c>
      <c r="L74" t="str">
        <f t="shared" si="1"/>
        <v>(NULL,"1","1","5","SAF 521","Safety Engineering","2","2","0"),</v>
      </c>
      <c r="M74" t="str">
        <f>TextJoin(tblCourseSubjs[[#This Row],[CourseID]:[LabHrs]],"Value")</f>
        <v>"1","1","5","SAF 521","Safety Engineering","2","2","0"</v>
      </c>
    </row>
    <row r="75" spans="2:13" x14ac:dyDescent="0.25">
      <c r="B75">
        <v>73</v>
      </c>
      <c r="C75">
        <v>1</v>
      </c>
      <c r="D75">
        <v>1</v>
      </c>
      <c r="E75">
        <v>5</v>
      </c>
      <c r="F75" t="s">
        <v>412</v>
      </c>
      <c r="G75" t="s">
        <v>413</v>
      </c>
      <c r="H75">
        <v>2</v>
      </c>
      <c r="I75" s="1">
        <v>2</v>
      </c>
      <c r="J75" s="1">
        <v>0</v>
      </c>
      <c r="L75" t="str">
        <f t="shared" si="1"/>
        <v>(NULL,"1","1","5","EDR 511","Engineering Design, Research &amp; Dev't 1","2","2","0"),</v>
      </c>
      <c r="M75" t="str">
        <f>TextJoin(tblCourseSubjs[[#This Row],[CourseID]:[LabHrs]],"Value")</f>
        <v>"1","1","5","EDR 511","Engineering Design, Research &amp; Dev't 1","2","2","0"</v>
      </c>
    </row>
    <row r="76" spans="2:13" x14ac:dyDescent="0.25">
      <c r="B76">
        <v>74</v>
      </c>
      <c r="C76">
        <v>1</v>
      </c>
      <c r="D76">
        <v>2</v>
      </c>
      <c r="E76">
        <v>4</v>
      </c>
      <c r="F76" t="s">
        <v>414</v>
      </c>
      <c r="G76" t="s">
        <v>415</v>
      </c>
      <c r="H76">
        <v>3</v>
      </c>
      <c r="I76" s="1">
        <v>2</v>
      </c>
      <c r="J76" s="1">
        <v>3</v>
      </c>
      <c r="L76" t="str">
        <f t="shared" si="1"/>
        <v>(NULL,"1","2","4","NT 423","CISCO 3","3","2","3"),</v>
      </c>
      <c r="M76" t="str">
        <f>TextJoin(tblCourseSubjs[[#This Row],[CourseID]:[LabHrs]],"Value")</f>
        <v>"1","2","4","NT 423","CISCO 3","3","2","3"</v>
      </c>
    </row>
    <row r="77" spans="2:13" x14ac:dyDescent="0.25">
      <c r="B77">
        <v>75</v>
      </c>
      <c r="C77">
        <v>1</v>
      </c>
      <c r="D77">
        <v>2</v>
      </c>
      <c r="E77">
        <v>5</v>
      </c>
      <c r="F77" t="s">
        <v>416</v>
      </c>
      <c r="G77" t="s">
        <v>417</v>
      </c>
      <c r="H77">
        <v>3</v>
      </c>
      <c r="I77" s="1">
        <v>3</v>
      </c>
      <c r="J77" s="1">
        <v>0</v>
      </c>
      <c r="L77" t="str">
        <f t="shared" si="1"/>
        <v>(NULL,"1","2","5","EGR 528","Engineering Management","3","3","0"),</v>
      </c>
      <c r="M77" t="str">
        <f>TextJoin(tblCourseSubjs[[#This Row],[CourseID]:[LabHrs]],"Value")</f>
        <v>"1","2","5","EGR 528","Engineering Management","3","3","0"</v>
      </c>
    </row>
    <row r="78" spans="2:13" x14ac:dyDescent="0.25">
      <c r="B78">
        <v>76</v>
      </c>
      <c r="C78">
        <v>1</v>
      </c>
      <c r="D78">
        <v>2</v>
      </c>
      <c r="E78">
        <v>5</v>
      </c>
      <c r="F78" t="s">
        <v>418</v>
      </c>
      <c r="G78" t="s">
        <v>419</v>
      </c>
      <c r="H78">
        <v>3</v>
      </c>
      <c r="I78" s="1">
        <v>2</v>
      </c>
      <c r="J78" s="1">
        <v>3</v>
      </c>
      <c r="L78" t="str">
        <f t="shared" si="1"/>
        <v>(NULL,"1","2","5","COM 527","Software Engineering","3","2","3"),</v>
      </c>
      <c r="M78" t="str">
        <f>TextJoin(tblCourseSubjs[[#This Row],[CourseID]:[LabHrs]],"Value")</f>
        <v>"1","2","5","COM 527","Software Engineering","3","2","3"</v>
      </c>
    </row>
    <row r="79" spans="2:13" x14ac:dyDescent="0.25">
      <c r="B79">
        <v>77</v>
      </c>
      <c r="C79">
        <v>1</v>
      </c>
      <c r="D79">
        <v>2</v>
      </c>
      <c r="E79">
        <v>5</v>
      </c>
      <c r="F79" t="s">
        <v>420</v>
      </c>
      <c r="G79" t="s">
        <v>421</v>
      </c>
      <c r="H79">
        <v>3</v>
      </c>
      <c r="I79" s="1">
        <v>3</v>
      </c>
      <c r="J79" s="1">
        <v>0</v>
      </c>
      <c r="L79" t="str">
        <f t="shared" si="1"/>
        <v>(NULL,"1","2","5","ENT 521","Entrepreneurship","3","3","0"),</v>
      </c>
      <c r="M79" t="str">
        <f>TextJoin(tblCourseSubjs[[#This Row],[CourseID]:[LabHrs]],"Value")</f>
        <v>"1","2","5","ENT 521","Entrepreneurship","3","3","0"</v>
      </c>
    </row>
    <row r="80" spans="2:13" x14ac:dyDescent="0.25">
      <c r="B80">
        <v>78</v>
      </c>
      <c r="C80">
        <v>1</v>
      </c>
      <c r="D80">
        <v>2</v>
      </c>
      <c r="E80">
        <v>5</v>
      </c>
      <c r="F80" t="s">
        <v>422</v>
      </c>
      <c r="G80" t="s">
        <v>423</v>
      </c>
      <c r="H80">
        <v>2</v>
      </c>
      <c r="I80" s="1">
        <v>0</v>
      </c>
      <c r="J80" s="1">
        <v>6</v>
      </c>
      <c r="L80" t="str">
        <f t="shared" si="1"/>
        <v>(NULL,"1","2","5","EDR 522","Engineering Design, Research &amp; Dev't 2","2","0","6"),</v>
      </c>
      <c r="M80" t="str">
        <f>TextJoin(tblCourseSubjs[[#This Row],[CourseID]:[LabHrs]],"Value")</f>
        <v>"1","2","5","EDR 522","Engineering Design, Research &amp; Dev't 2","2","0","6"</v>
      </c>
    </row>
    <row r="81" spans="2:13" x14ac:dyDescent="0.25">
      <c r="B81">
        <v>79</v>
      </c>
      <c r="C81">
        <v>1</v>
      </c>
      <c r="D81">
        <v>2</v>
      </c>
      <c r="E81">
        <v>5</v>
      </c>
      <c r="F81" t="s">
        <v>424</v>
      </c>
      <c r="G81" t="s">
        <v>425</v>
      </c>
      <c r="H81">
        <v>3</v>
      </c>
      <c r="I81" s="1">
        <v>2</v>
      </c>
      <c r="J81" s="1">
        <v>3</v>
      </c>
      <c r="L81" t="str">
        <f t="shared" si="1"/>
        <v>(NULL,"1","2","5","WWL 523","Elective 3","3","2","3"),</v>
      </c>
      <c r="M81" t="str">
        <f>TextJoin(tblCourseSubjs[[#This Row],[CourseID]:[LabHrs]],"Value")</f>
        <v>"1","2","5","WWL 523","Elective 3","3","2","3"</v>
      </c>
    </row>
    <row r="82" spans="2:13" x14ac:dyDescent="0.25">
      <c r="B82">
        <v>80</v>
      </c>
      <c r="C82">
        <v>1</v>
      </c>
      <c r="D82">
        <v>2</v>
      </c>
      <c r="E82">
        <v>5</v>
      </c>
      <c r="F82" t="s">
        <v>426</v>
      </c>
      <c r="G82" t="s">
        <v>427</v>
      </c>
      <c r="H82">
        <v>1</v>
      </c>
      <c r="I82" s="1">
        <v>0</v>
      </c>
      <c r="J82" s="1">
        <v>3</v>
      </c>
      <c r="L82" t="str">
        <f t="shared" si="1"/>
        <v>(NULL,"1","2","5","SFT 521","Seminars &amp; Field Trip","1","0","3"),</v>
      </c>
      <c r="M82" t="str">
        <f>TextJoin(tblCourseSubjs[[#This Row],[CourseID]:[LabHrs]],"Value")</f>
        <v>"1","2","5","SFT 521","Seminars &amp; Field Trip","1","0","3"</v>
      </c>
    </row>
    <row r="83" spans="2:13" x14ac:dyDescent="0.25">
      <c r="B83">
        <v>81</v>
      </c>
      <c r="C83">
        <v>2</v>
      </c>
      <c r="D83">
        <v>1</v>
      </c>
      <c r="E83">
        <v>1</v>
      </c>
      <c r="F83" t="s">
        <v>269</v>
      </c>
      <c r="G83" t="s">
        <v>270</v>
      </c>
      <c r="H83">
        <v>3</v>
      </c>
      <c r="I83" s="1">
        <v>3</v>
      </c>
      <c r="J83" s="1">
        <v>0</v>
      </c>
      <c r="L83" t="str">
        <f t="shared" si="1"/>
        <v>(NULL,"2","1","1","ENG 111","Communication Skills 1","3","3","0"),</v>
      </c>
      <c r="M83" t="str">
        <f>TextJoin(tblCourseSubjs[[#This Row],[CourseID]:[LabHrs]],"Value")</f>
        <v>"2","1","1","ENG 111","Communication Skills 1","3","3","0"</v>
      </c>
    </row>
    <row r="84" spans="2:13" x14ac:dyDescent="0.25">
      <c r="B84">
        <v>82</v>
      </c>
      <c r="C84">
        <v>2</v>
      </c>
      <c r="D84">
        <v>1</v>
      </c>
      <c r="E84">
        <v>1</v>
      </c>
      <c r="F84" t="s">
        <v>281</v>
      </c>
      <c r="G84" t="s">
        <v>428</v>
      </c>
      <c r="H84">
        <v>3</v>
      </c>
      <c r="I84" s="1">
        <v>3</v>
      </c>
      <c r="J84" s="1">
        <v>0</v>
      </c>
      <c r="L84" t="str">
        <f t="shared" si="1"/>
        <v>(NULL,"2","1","1","FIL 111","Komunikasyon sa Akademikong Filipino","3","3","0"),</v>
      </c>
      <c r="M84" t="str">
        <f>TextJoin(tblCourseSubjs[[#This Row],[CourseID]:[LabHrs]],"Value")</f>
        <v>"2","1","1","FIL 111","Komunikasyon sa Akademikong Filipino","3","3","0"</v>
      </c>
    </row>
    <row r="85" spans="2:13" x14ac:dyDescent="0.25">
      <c r="B85">
        <v>83</v>
      </c>
      <c r="C85">
        <v>2</v>
      </c>
      <c r="D85">
        <v>1</v>
      </c>
      <c r="E85">
        <v>1</v>
      </c>
      <c r="F85" t="s">
        <v>271</v>
      </c>
      <c r="G85" t="s">
        <v>272</v>
      </c>
      <c r="H85">
        <v>3</v>
      </c>
      <c r="I85" s="1">
        <v>3</v>
      </c>
      <c r="J85" s="1">
        <v>0</v>
      </c>
      <c r="L85" t="str">
        <f t="shared" si="1"/>
        <v>(NULL,"2","1","1","MAT 111","College Algebra","3","3","0"),</v>
      </c>
      <c r="M85" t="str">
        <f>TextJoin(tblCourseSubjs[[#This Row],[CourseID]:[LabHrs]],"Value")</f>
        <v>"2","1","1","MAT 111","College Algebra","3","3","0"</v>
      </c>
    </row>
    <row r="86" spans="2:13" x14ac:dyDescent="0.25">
      <c r="B86">
        <v>84</v>
      </c>
      <c r="C86">
        <v>2</v>
      </c>
      <c r="D86">
        <v>1</v>
      </c>
      <c r="E86">
        <v>1</v>
      </c>
      <c r="F86" t="s">
        <v>429</v>
      </c>
      <c r="G86" t="s">
        <v>430</v>
      </c>
      <c r="H86">
        <v>3</v>
      </c>
      <c r="I86" s="1">
        <v>2</v>
      </c>
      <c r="J86" s="1">
        <v>1</v>
      </c>
      <c r="L86" t="str">
        <f t="shared" si="1"/>
        <v>(NULL,"2","1","1","IT 110","IT Fundamentals","3","2","1"),</v>
      </c>
      <c r="M86" t="str">
        <f>TextJoin(tblCourseSubjs[[#This Row],[CourseID]:[LabHrs]],"Value")</f>
        <v>"2","1","1","IT 110","IT Fundamentals","3","2","1"</v>
      </c>
    </row>
    <row r="87" spans="2:13" x14ac:dyDescent="0.25">
      <c r="B87">
        <v>85</v>
      </c>
      <c r="C87">
        <v>2</v>
      </c>
      <c r="D87">
        <v>1</v>
      </c>
      <c r="E87">
        <v>1</v>
      </c>
      <c r="F87" t="s">
        <v>431</v>
      </c>
      <c r="G87" t="s">
        <v>432</v>
      </c>
      <c r="H87">
        <v>3</v>
      </c>
      <c r="I87" s="1">
        <v>2</v>
      </c>
      <c r="J87" s="1">
        <v>1</v>
      </c>
      <c r="L87" t="str">
        <f t="shared" si="1"/>
        <v>(NULL,"2","1","1","IT 111","Programming 1 (C+)","3","2","1"),</v>
      </c>
      <c r="M87" t="str">
        <f>TextJoin(tblCourseSubjs[[#This Row],[CourseID]:[LabHrs]],"Value")</f>
        <v>"2","1","1","IT 111","Programming 1 (C+)","3","2","1"</v>
      </c>
    </row>
    <row r="88" spans="2:13" x14ac:dyDescent="0.25">
      <c r="B88">
        <v>86</v>
      </c>
      <c r="C88">
        <v>2</v>
      </c>
      <c r="D88">
        <v>1</v>
      </c>
      <c r="E88">
        <v>1</v>
      </c>
      <c r="F88" t="s">
        <v>433</v>
      </c>
      <c r="G88" t="s">
        <v>434</v>
      </c>
      <c r="H88">
        <v>3</v>
      </c>
      <c r="I88" s="1">
        <v>2</v>
      </c>
      <c r="J88" s="1">
        <v>1</v>
      </c>
      <c r="L88" t="str">
        <f t="shared" si="1"/>
        <v>(NULL,"2","1","1","TVET 111","Office Productivity","3","2","1"),</v>
      </c>
      <c r="M88" t="str">
        <f>TextJoin(tblCourseSubjs[[#This Row],[CourseID]:[LabHrs]],"Value")</f>
        <v>"2","1","1","TVET 111","Office Productivity","3","2","1"</v>
      </c>
    </row>
    <row r="89" spans="2:13" x14ac:dyDescent="0.25">
      <c r="B89">
        <v>87</v>
      </c>
      <c r="C89">
        <v>2</v>
      </c>
      <c r="D89">
        <v>1</v>
      </c>
      <c r="E89">
        <v>1</v>
      </c>
      <c r="F89" t="s">
        <v>435</v>
      </c>
      <c r="G89" t="s">
        <v>331</v>
      </c>
      <c r="H89">
        <v>3</v>
      </c>
      <c r="I89" s="1">
        <v>3</v>
      </c>
      <c r="J89" s="1">
        <v>0</v>
      </c>
      <c r="L89" t="str">
        <f t="shared" si="1"/>
        <v>(NULL,"2","1","1","SS 111","General Psychology","3","3","0"),</v>
      </c>
      <c r="M89" t="str">
        <f>TextJoin(tblCourseSubjs[[#This Row],[CourseID]:[LabHrs]],"Value")</f>
        <v>"2","1","1","SS 111","General Psychology","3","3","0"</v>
      </c>
    </row>
    <row r="90" spans="2:13" x14ac:dyDescent="0.25">
      <c r="B90">
        <v>88</v>
      </c>
      <c r="C90">
        <v>2</v>
      </c>
      <c r="D90">
        <v>1</v>
      </c>
      <c r="E90">
        <v>1</v>
      </c>
      <c r="F90" t="s">
        <v>436</v>
      </c>
      <c r="G90" t="s">
        <v>276</v>
      </c>
      <c r="H90">
        <v>3</v>
      </c>
      <c r="I90" s="1">
        <v>2</v>
      </c>
      <c r="J90" s="1">
        <v>1</v>
      </c>
      <c r="L90" t="str">
        <f t="shared" si="1"/>
        <v>(NULL,"2","1","1","NS 111","General Inorganic Chemistry","3","2","1"),</v>
      </c>
      <c r="M90" t="str">
        <f>TextJoin(tblCourseSubjs[[#This Row],[CourseID]:[LabHrs]],"Value")</f>
        <v>"2","1","1","NS 111","General Inorganic Chemistry","3","2","1"</v>
      </c>
    </row>
    <row r="91" spans="2:13" x14ac:dyDescent="0.25">
      <c r="B91">
        <v>89</v>
      </c>
      <c r="C91">
        <v>2</v>
      </c>
      <c r="D91">
        <v>1</v>
      </c>
      <c r="E91">
        <v>1</v>
      </c>
      <c r="F91" t="s">
        <v>437</v>
      </c>
      <c r="G91" t="s">
        <v>438</v>
      </c>
      <c r="H91">
        <v>3</v>
      </c>
      <c r="I91">
        <v>0</v>
      </c>
      <c r="J91">
        <v>0</v>
      </c>
      <c r="L91" t="str">
        <f t="shared" si="1"/>
        <v>(NULL,"2","1","1","PE 111","Gymnastics","3","0","0"),</v>
      </c>
      <c r="M91" t="str">
        <f>TextJoin(tblCourseSubjs[[#This Row],[CourseID]:[LabHrs]],"Value")</f>
        <v>"2","1","1","PE 111","Gymnastics","3","0","0"</v>
      </c>
    </row>
    <row r="92" spans="2:13" x14ac:dyDescent="0.25">
      <c r="B92">
        <v>90</v>
      </c>
      <c r="C92">
        <v>2</v>
      </c>
      <c r="D92">
        <v>1</v>
      </c>
      <c r="E92">
        <v>1</v>
      </c>
      <c r="F92" t="s">
        <v>285</v>
      </c>
      <c r="G92" t="s">
        <v>286</v>
      </c>
      <c r="H92">
        <v>2</v>
      </c>
      <c r="I92">
        <v>0</v>
      </c>
      <c r="J92">
        <v>0</v>
      </c>
      <c r="L92" t="str">
        <f t="shared" si="1"/>
        <v>(NULL,"2","1","1","NSTP 111","National Service Training Program 1","2","0","0"),</v>
      </c>
      <c r="M92" t="str">
        <f>TextJoin(tblCourseSubjs[[#This Row],[CourseID]:[LabHrs]],"Value")</f>
        <v>"2","1","1","NSTP 111","National Service Training Program 1","2","0","0"</v>
      </c>
    </row>
    <row r="93" spans="2:13" x14ac:dyDescent="0.25">
      <c r="B93">
        <v>91</v>
      </c>
      <c r="C93">
        <v>2</v>
      </c>
      <c r="D93">
        <v>2</v>
      </c>
      <c r="E93">
        <v>1</v>
      </c>
      <c r="F93" t="s">
        <v>287</v>
      </c>
      <c r="G93" t="s">
        <v>288</v>
      </c>
      <c r="H93">
        <v>3</v>
      </c>
      <c r="I93" s="1">
        <v>3</v>
      </c>
      <c r="J93" s="1">
        <v>0</v>
      </c>
      <c r="L93" t="str">
        <f t="shared" si="1"/>
        <v>(NULL,"2","2","1","ENG 112","Communication Skills 2","3","3","0"),</v>
      </c>
      <c r="M93" t="str">
        <f>TextJoin(tblCourseSubjs[[#This Row],[CourseID]:[LabHrs]],"Value")</f>
        <v>"2","2","1","ENG 112","Communication Skills 2","3","3","0"</v>
      </c>
    </row>
    <row r="94" spans="2:13" x14ac:dyDescent="0.25">
      <c r="B94">
        <v>92</v>
      </c>
      <c r="C94">
        <v>2</v>
      </c>
      <c r="D94">
        <v>2</v>
      </c>
      <c r="E94">
        <v>1</v>
      </c>
      <c r="F94" t="s">
        <v>291</v>
      </c>
      <c r="G94" t="s">
        <v>439</v>
      </c>
      <c r="H94">
        <v>3</v>
      </c>
      <c r="I94" s="1">
        <v>3</v>
      </c>
      <c r="J94" s="1">
        <v>0</v>
      </c>
      <c r="L94" t="str">
        <f t="shared" si="1"/>
        <v>(NULL,"2","2","1","FIL 122","Pagbasa at Pagsulat Tungo sa Pananaliksik","3","3","0"),</v>
      </c>
      <c r="M94" t="str">
        <f>TextJoin(tblCourseSubjs[[#This Row],[CourseID]:[LabHrs]],"Value")</f>
        <v>"2","2","1","FIL 122","Pagbasa at Pagsulat Tungo sa Pananaliksik","3","3","0"</v>
      </c>
    </row>
    <row r="95" spans="2:13" x14ac:dyDescent="0.25">
      <c r="B95">
        <v>93</v>
      </c>
      <c r="C95">
        <v>2</v>
      </c>
      <c r="D95">
        <v>2</v>
      </c>
      <c r="E95">
        <v>1</v>
      </c>
      <c r="F95" t="s">
        <v>273</v>
      </c>
      <c r="G95" t="s">
        <v>440</v>
      </c>
      <c r="H95">
        <v>3</v>
      </c>
      <c r="I95" s="1">
        <v>3</v>
      </c>
      <c r="J95" s="1">
        <v>0</v>
      </c>
      <c r="L95" t="str">
        <f t="shared" si="1"/>
        <v>(NULL,"2","2","1","MAT 112","Trigonometry","3","3","0"),</v>
      </c>
      <c r="M95" t="str">
        <f>TextJoin(tblCourseSubjs[[#This Row],[CourseID]:[LabHrs]],"Value")</f>
        <v>"2","2","1","MAT 112","Trigonometry","3","3","0"</v>
      </c>
    </row>
    <row r="96" spans="2:13" x14ac:dyDescent="0.25">
      <c r="B96">
        <v>94</v>
      </c>
      <c r="C96">
        <v>2</v>
      </c>
      <c r="D96">
        <v>2</v>
      </c>
      <c r="E96">
        <v>1</v>
      </c>
      <c r="F96" t="s">
        <v>441</v>
      </c>
      <c r="G96" t="s">
        <v>442</v>
      </c>
      <c r="H96">
        <v>3</v>
      </c>
      <c r="I96" s="1">
        <v>2</v>
      </c>
      <c r="J96" s="1">
        <v>1</v>
      </c>
      <c r="L96" t="str">
        <f t="shared" si="1"/>
        <v>(NULL,"2","2","1","IT 122","Programming 2 (C++)","3","2","1"),</v>
      </c>
      <c r="M96" t="str">
        <f>TextJoin(tblCourseSubjs[[#This Row],[CourseID]:[LabHrs]],"Value")</f>
        <v>"2","2","1","IT 122","Programming 2 (C++)","3","2","1"</v>
      </c>
    </row>
    <row r="97" spans="2:13" x14ac:dyDescent="0.25">
      <c r="B97">
        <v>95</v>
      </c>
      <c r="C97">
        <v>2</v>
      </c>
      <c r="D97">
        <v>2</v>
      </c>
      <c r="E97">
        <v>1</v>
      </c>
      <c r="F97" t="s">
        <v>443</v>
      </c>
      <c r="G97" t="s">
        <v>444</v>
      </c>
      <c r="H97">
        <v>3</v>
      </c>
      <c r="I97" s="1">
        <v>2</v>
      </c>
      <c r="J97" s="1">
        <v>1</v>
      </c>
      <c r="L97" t="str">
        <f t="shared" si="1"/>
        <v>(NULL,"2","2","1","IT 223","Applied Operating System","3","2","1"),</v>
      </c>
      <c r="M97" t="str">
        <f>TextJoin(tblCourseSubjs[[#This Row],[CourseID]:[LabHrs]],"Value")</f>
        <v>"2","2","1","IT 223","Applied Operating System","3","2","1"</v>
      </c>
    </row>
    <row r="98" spans="2:13" x14ac:dyDescent="0.25">
      <c r="B98">
        <v>96</v>
      </c>
      <c r="C98">
        <v>2</v>
      </c>
      <c r="D98">
        <v>2</v>
      </c>
      <c r="E98">
        <v>1</v>
      </c>
      <c r="F98" t="s">
        <v>445</v>
      </c>
      <c r="G98" t="s">
        <v>446</v>
      </c>
      <c r="H98">
        <v>3</v>
      </c>
      <c r="I98" s="1">
        <v>3</v>
      </c>
      <c r="J98" s="1">
        <v>0</v>
      </c>
      <c r="L98" t="str">
        <f t="shared" si="1"/>
        <v>(NULL,"2","2","1","TVET 122","Quality Consciousness, Habits and Processes","3","3","0"),</v>
      </c>
      <c r="M98" t="str">
        <f>TextJoin(tblCourseSubjs[[#This Row],[CourseID]:[LabHrs]],"Value")</f>
        <v>"2","2","1","TVET 122","Quality Consciousness, Habits and Processes","3","3","0"</v>
      </c>
    </row>
    <row r="99" spans="2:13" x14ac:dyDescent="0.25">
      <c r="B99">
        <v>97</v>
      </c>
      <c r="C99">
        <v>2</v>
      </c>
      <c r="D99">
        <v>2</v>
      </c>
      <c r="E99">
        <v>1</v>
      </c>
      <c r="F99" t="s">
        <v>447</v>
      </c>
      <c r="G99" t="s">
        <v>299</v>
      </c>
      <c r="H99">
        <v>2</v>
      </c>
      <c r="I99" s="1">
        <v>0</v>
      </c>
      <c r="J99" s="1">
        <v>2</v>
      </c>
      <c r="L99" t="str">
        <f t="shared" si="1"/>
        <v>(NULL,"2","2","1","DFT 122","Computer Aided Drafting","2","0","2"),</v>
      </c>
      <c r="M99" t="str">
        <f>TextJoin(tblCourseSubjs[[#This Row],[CourseID]:[LabHrs]],"Value")</f>
        <v>"2","2","1","DFT 122","Computer Aided Drafting","2","0","2"</v>
      </c>
    </row>
    <row r="100" spans="2:13" x14ac:dyDescent="0.25">
      <c r="B100">
        <v>98</v>
      </c>
      <c r="C100">
        <v>2</v>
      </c>
      <c r="D100">
        <v>2</v>
      </c>
      <c r="E100">
        <v>1</v>
      </c>
      <c r="F100" t="s">
        <v>304</v>
      </c>
      <c r="G100" t="s">
        <v>305</v>
      </c>
      <c r="H100">
        <v>3</v>
      </c>
      <c r="I100" s="1">
        <v>3</v>
      </c>
      <c r="J100" s="1">
        <v>0</v>
      </c>
      <c r="L100" t="str">
        <f t="shared" si="1"/>
        <v>(NULL,"2","2","1","HUM 121","Philosophy of Man","3","3","0"),</v>
      </c>
      <c r="M100" t="str">
        <f>TextJoin(tblCourseSubjs[[#This Row],[CourseID]:[LabHrs]],"Value")</f>
        <v>"2","2","1","HUM 121","Philosophy of Man","3","3","0"</v>
      </c>
    </row>
    <row r="101" spans="2:13" x14ac:dyDescent="0.25">
      <c r="B101">
        <v>99</v>
      </c>
      <c r="C101">
        <v>2</v>
      </c>
      <c r="D101">
        <v>2</v>
      </c>
      <c r="E101">
        <v>1</v>
      </c>
      <c r="F101" t="s">
        <v>448</v>
      </c>
      <c r="G101" t="s">
        <v>311</v>
      </c>
      <c r="H101">
        <v>3</v>
      </c>
      <c r="I101" s="1">
        <v>3</v>
      </c>
      <c r="J101" s="1">
        <v>0</v>
      </c>
      <c r="L101" t="str">
        <f t="shared" si="1"/>
        <v>(NULL,"2","2","1","NS 212","General Physics 1","3","3","0"),</v>
      </c>
      <c r="M101" t="str">
        <f>TextJoin(tblCourseSubjs[[#This Row],[CourseID]:[LabHrs]],"Value")</f>
        <v>"2","2","1","NS 212","General Physics 1","3","3","0"</v>
      </c>
    </row>
    <row r="102" spans="2:13" x14ac:dyDescent="0.25">
      <c r="B102">
        <v>100</v>
      </c>
      <c r="C102">
        <v>2</v>
      </c>
      <c r="D102">
        <v>2</v>
      </c>
      <c r="E102">
        <v>1</v>
      </c>
      <c r="F102" t="s">
        <v>449</v>
      </c>
      <c r="G102" t="s">
        <v>301</v>
      </c>
      <c r="H102">
        <v>2</v>
      </c>
      <c r="I102" s="2">
        <v>0</v>
      </c>
      <c r="J102" s="1">
        <v>0</v>
      </c>
      <c r="L102" t="str">
        <f t="shared" si="1"/>
        <v>(NULL,"2","2","1","PE 122","Rhythmic Activities","2","0","0"),</v>
      </c>
      <c r="M102" t="str">
        <f>TextJoin(tblCourseSubjs[[#This Row],[CourseID]:[LabHrs]],"Value")</f>
        <v>"2","2","1","PE 122","Rhythmic Activities","2","0","0"</v>
      </c>
    </row>
    <row r="103" spans="2:13" x14ac:dyDescent="0.25">
      <c r="B103">
        <v>101</v>
      </c>
      <c r="C103">
        <v>2</v>
      </c>
      <c r="D103">
        <v>2</v>
      </c>
      <c r="E103">
        <v>1</v>
      </c>
      <c r="F103" t="s">
        <v>302</v>
      </c>
      <c r="G103" t="s">
        <v>303</v>
      </c>
      <c r="H103">
        <v>3</v>
      </c>
      <c r="I103">
        <v>0</v>
      </c>
      <c r="J103">
        <v>0</v>
      </c>
      <c r="L103" t="str">
        <f t="shared" si="1"/>
        <v>(NULL,"2","2","1","NSTP 122","National Service Training Program 2","3","0","0"),</v>
      </c>
      <c r="M103" t="str">
        <f>TextJoin(tblCourseSubjs[[#This Row],[CourseID]:[LabHrs]],"Value")</f>
        <v>"2","2","1","NSTP 122","National Service Training Program 2","3","0","0"</v>
      </c>
    </row>
    <row r="104" spans="2:13" x14ac:dyDescent="0.25">
      <c r="B104">
        <v>102</v>
      </c>
      <c r="C104">
        <v>2</v>
      </c>
      <c r="D104">
        <v>1</v>
      </c>
      <c r="E104">
        <v>2</v>
      </c>
      <c r="F104" t="s">
        <v>306</v>
      </c>
      <c r="G104" t="s">
        <v>307</v>
      </c>
      <c r="H104">
        <v>3</v>
      </c>
      <c r="I104" s="1">
        <v>3</v>
      </c>
      <c r="J104" s="1">
        <v>0</v>
      </c>
      <c r="L104" t="str">
        <f t="shared" si="1"/>
        <v>(NULL,"2","1","2","ENG 213","Technical Communications","3","3","0"),</v>
      </c>
      <c r="M104" t="str">
        <f>TextJoin(tblCourseSubjs[[#This Row],[CourseID]:[LabHrs]],"Value")</f>
        <v>"2","1","2","ENG 213","Technical Communications","3","3","0"</v>
      </c>
    </row>
    <row r="105" spans="2:13" x14ac:dyDescent="0.25">
      <c r="B105">
        <v>103</v>
      </c>
      <c r="C105">
        <v>2</v>
      </c>
      <c r="D105">
        <v>1</v>
      </c>
      <c r="E105">
        <v>2</v>
      </c>
      <c r="F105" t="s">
        <v>450</v>
      </c>
      <c r="G105" t="s">
        <v>451</v>
      </c>
      <c r="H105">
        <v>3</v>
      </c>
      <c r="I105" s="1">
        <v>3</v>
      </c>
      <c r="J105" s="1">
        <v>0</v>
      </c>
      <c r="L105" t="str">
        <f t="shared" si="1"/>
        <v>(NULL,"2","1","2","FIL 213","Masining na Pagpapahayag","3","3","0"),</v>
      </c>
      <c r="M105" t="str">
        <f>TextJoin(tblCourseSubjs[[#This Row],[CourseID]:[LabHrs]],"Value")</f>
        <v>"2","1","2","FIL 213","Masining na Pagpapahayag","3","3","0"</v>
      </c>
    </row>
    <row r="106" spans="2:13" x14ac:dyDescent="0.25">
      <c r="B106">
        <v>104</v>
      </c>
      <c r="C106">
        <v>2</v>
      </c>
      <c r="D106">
        <v>1</v>
      </c>
      <c r="E106">
        <v>2</v>
      </c>
      <c r="F106" t="s">
        <v>452</v>
      </c>
      <c r="G106" t="s">
        <v>453</v>
      </c>
      <c r="H106">
        <v>3</v>
      </c>
      <c r="I106" s="1">
        <v>2</v>
      </c>
      <c r="J106" s="1">
        <v>1</v>
      </c>
      <c r="L106" t="str">
        <f t="shared" si="1"/>
        <v>(NULL,"2","1","2","IT 214","Computer System Organization","3","2","1"),</v>
      </c>
      <c r="M106" t="str">
        <f>TextJoin(tblCourseSubjs[[#This Row],[CourseID]:[LabHrs]],"Value")</f>
        <v>"2","1","2","IT 214","Computer System Organization","3","2","1"</v>
      </c>
    </row>
    <row r="107" spans="2:13" x14ac:dyDescent="0.25">
      <c r="B107">
        <v>105</v>
      </c>
      <c r="C107">
        <v>2</v>
      </c>
      <c r="D107">
        <v>1</v>
      </c>
      <c r="E107">
        <v>2</v>
      </c>
      <c r="F107" t="s">
        <v>454</v>
      </c>
      <c r="G107" t="s">
        <v>455</v>
      </c>
      <c r="H107">
        <v>3</v>
      </c>
      <c r="I107" s="1">
        <v>2</v>
      </c>
      <c r="J107" s="1">
        <v>1</v>
      </c>
      <c r="L107" t="str">
        <f t="shared" si="1"/>
        <v>(NULL,"2","1","2","IT 211","Object Oriented Programming (Visual Basic)","3","2","1"),</v>
      </c>
      <c r="M107" t="str">
        <f>TextJoin(tblCourseSubjs[[#This Row],[CourseID]:[LabHrs]],"Value")</f>
        <v>"2","1","2","IT 211","Object Oriented Programming (Visual Basic)","3","2","1"</v>
      </c>
    </row>
    <row r="108" spans="2:13" x14ac:dyDescent="0.25">
      <c r="B108">
        <v>106</v>
      </c>
      <c r="C108">
        <v>2</v>
      </c>
      <c r="D108">
        <v>1</v>
      </c>
      <c r="E108">
        <v>2</v>
      </c>
      <c r="F108" t="s">
        <v>456</v>
      </c>
      <c r="G108" t="s">
        <v>329</v>
      </c>
      <c r="H108">
        <v>3</v>
      </c>
      <c r="I108" s="1">
        <v>2</v>
      </c>
      <c r="J108" s="1">
        <v>1</v>
      </c>
      <c r="L108" t="str">
        <f t="shared" si="1"/>
        <v>(NULL,"2","1","2","IT 212","Data Structure &amp; Algorithm Analysis","3","2","1"),</v>
      </c>
      <c r="M108" t="str">
        <f>TextJoin(tblCourseSubjs[[#This Row],[CourseID]:[LabHrs]],"Value")</f>
        <v>"2","1","2","IT 212","Data Structure &amp; Algorithm Analysis","3","2","1"</v>
      </c>
    </row>
    <row r="109" spans="2:13" x14ac:dyDescent="0.25">
      <c r="B109">
        <v>107</v>
      </c>
      <c r="C109">
        <v>2</v>
      </c>
      <c r="D109">
        <v>1</v>
      </c>
      <c r="E109">
        <v>2</v>
      </c>
      <c r="F109" t="s">
        <v>457</v>
      </c>
      <c r="G109" t="s">
        <v>458</v>
      </c>
      <c r="H109">
        <v>3</v>
      </c>
      <c r="I109" s="1">
        <v>3</v>
      </c>
      <c r="J109" s="1">
        <v>0</v>
      </c>
      <c r="L109" t="str">
        <f t="shared" si="1"/>
        <v>(NULL,"2","1","2","ACC 211","Fundamentals of Accounting","3","3","0"),</v>
      </c>
      <c r="M109" t="str">
        <f>TextJoin(tblCourseSubjs[[#This Row],[CourseID]:[LabHrs]],"Value")</f>
        <v>"2","1","2","ACC 211","Fundamentals of Accounting","3","3","0"</v>
      </c>
    </row>
    <row r="110" spans="2:13" x14ac:dyDescent="0.25">
      <c r="B110">
        <v>108</v>
      </c>
      <c r="C110">
        <v>2</v>
      </c>
      <c r="D110">
        <v>1</v>
      </c>
      <c r="E110">
        <v>2</v>
      </c>
      <c r="F110" t="s">
        <v>312</v>
      </c>
      <c r="G110" t="s">
        <v>313</v>
      </c>
      <c r="H110">
        <v>3</v>
      </c>
      <c r="I110" s="1">
        <v>3</v>
      </c>
      <c r="J110" s="1">
        <v>0</v>
      </c>
      <c r="L110" t="str">
        <f t="shared" si="1"/>
        <v>(NULL,"2","1","2","SS 212","Economics w/ Land Reform and Taxation","3","3","0"),</v>
      </c>
      <c r="M110" t="str">
        <f>TextJoin(tblCourseSubjs[[#This Row],[CourseID]:[LabHrs]],"Value")</f>
        <v>"2","1","2","SS 212","Economics w/ Land Reform and Taxation","3","3","0"</v>
      </c>
    </row>
    <row r="111" spans="2:13" x14ac:dyDescent="0.25">
      <c r="B111">
        <v>109</v>
      </c>
      <c r="C111">
        <v>2</v>
      </c>
      <c r="D111">
        <v>1</v>
      </c>
      <c r="E111">
        <v>2</v>
      </c>
      <c r="F111" t="s">
        <v>320</v>
      </c>
      <c r="G111" t="s">
        <v>321</v>
      </c>
      <c r="H111">
        <v>3</v>
      </c>
      <c r="I111" s="1">
        <v>3</v>
      </c>
      <c r="J111" s="1">
        <v>0</v>
      </c>
      <c r="L111" t="str">
        <f t="shared" si="1"/>
        <v>(NULL,"2","1","2","HUM 212","Art Appreciation","3","3","0"),</v>
      </c>
      <c r="M111" t="str">
        <f>TextJoin(tblCourseSubjs[[#This Row],[CourseID]:[LabHrs]],"Value")</f>
        <v>"2","1","2","HUM 212","Art Appreciation","3","3","0"</v>
      </c>
    </row>
    <row r="112" spans="2:13" x14ac:dyDescent="0.25">
      <c r="B112">
        <v>110</v>
      </c>
      <c r="C112">
        <v>2</v>
      </c>
      <c r="D112">
        <v>1</v>
      </c>
      <c r="E112">
        <v>2</v>
      </c>
      <c r="F112" t="s">
        <v>459</v>
      </c>
      <c r="G112" t="s">
        <v>319</v>
      </c>
      <c r="H112">
        <v>2</v>
      </c>
      <c r="I112" s="1">
        <v>0</v>
      </c>
      <c r="J112" s="1">
        <v>0</v>
      </c>
      <c r="L112" t="str">
        <f t="shared" si="1"/>
        <v>(NULL,"2","1","2","PE 213","Specialized Athletics","2","0","0"),</v>
      </c>
      <c r="M112" t="str">
        <f>TextJoin(tblCourseSubjs[[#This Row],[CourseID]:[LabHrs]],"Value")</f>
        <v>"2","1","2","PE 213","Specialized Athletics","2","0","0"</v>
      </c>
    </row>
    <row r="113" spans="2:13" x14ac:dyDescent="0.25">
      <c r="B113">
        <v>111</v>
      </c>
      <c r="C113">
        <v>2</v>
      </c>
      <c r="D113">
        <v>2</v>
      </c>
      <c r="E113">
        <v>2</v>
      </c>
      <c r="F113" t="s">
        <v>460</v>
      </c>
      <c r="G113" t="s">
        <v>461</v>
      </c>
      <c r="H113">
        <v>3</v>
      </c>
      <c r="I113" s="1">
        <v>2</v>
      </c>
      <c r="J113" s="1">
        <v>1</v>
      </c>
      <c r="L113" t="str">
        <f t="shared" si="1"/>
        <v>(NULL,"2","2","2","IT 225","Database Management System","3","2","1"),</v>
      </c>
      <c r="M113" t="str">
        <f>TextJoin(tblCourseSubjs[[#This Row],[CourseID]:[LabHrs]],"Value")</f>
        <v>"2","2","2","IT 225","Database Management System","3","2","1"</v>
      </c>
    </row>
    <row r="114" spans="2:13" x14ac:dyDescent="0.25">
      <c r="B114">
        <v>112</v>
      </c>
      <c r="C114">
        <v>2</v>
      </c>
      <c r="D114">
        <v>2</v>
      </c>
      <c r="E114">
        <v>2</v>
      </c>
      <c r="F114" t="s">
        <v>462</v>
      </c>
      <c r="G114" t="s">
        <v>401</v>
      </c>
      <c r="H114">
        <v>3</v>
      </c>
      <c r="I114" s="1">
        <v>2</v>
      </c>
      <c r="J114" s="1">
        <v>1</v>
      </c>
      <c r="L114" t="str">
        <f t="shared" si="1"/>
        <v>(NULL,"2","2","2","IT 226","System Analysis &amp; Design","3","2","1"),</v>
      </c>
      <c r="M114" t="str">
        <f>TextJoin(tblCourseSubjs[[#This Row],[CourseID]:[LabHrs]],"Value")</f>
        <v>"2","2","2","IT 226","System Analysis &amp; Design","3","2","1"</v>
      </c>
    </row>
    <row r="115" spans="2:13" x14ac:dyDescent="0.25">
      <c r="B115">
        <v>113</v>
      </c>
      <c r="C115">
        <v>2</v>
      </c>
      <c r="D115">
        <v>2</v>
      </c>
      <c r="E115">
        <v>2</v>
      </c>
      <c r="F115" t="s">
        <v>463</v>
      </c>
      <c r="G115" t="s">
        <v>464</v>
      </c>
      <c r="H115">
        <v>3</v>
      </c>
      <c r="I115" s="1">
        <v>2</v>
      </c>
      <c r="J115" s="1">
        <v>1</v>
      </c>
      <c r="L115" t="str">
        <f t="shared" si="1"/>
        <v>(NULL,"2","2","2","IT 227","Network Management","3","2","1"),</v>
      </c>
      <c r="M115" t="str">
        <f>TextJoin(tblCourseSubjs[[#This Row],[CourseID]:[LabHrs]],"Value")</f>
        <v>"2","2","2","IT 227","Network Management","3","2","1"</v>
      </c>
    </row>
    <row r="116" spans="2:13" x14ac:dyDescent="0.25">
      <c r="B116">
        <v>114</v>
      </c>
      <c r="C116">
        <v>2</v>
      </c>
      <c r="D116">
        <v>2</v>
      </c>
      <c r="E116">
        <v>2</v>
      </c>
      <c r="F116" t="s">
        <v>465</v>
      </c>
      <c r="G116" t="s">
        <v>466</v>
      </c>
      <c r="H116">
        <v>4</v>
      </c>
      <c r="I116" s="1">
        <v>2</v>
      </c>
      <c r="J116" s="1">
        <v>2</v>
      </c>
      <c r="L116" t="str">
        <f t="shared" si="1"/>
        <v>(NULL,"2","2","2","LDS 121","Logic Design and Switching Theory","4","2","2"),</v>
      </c>
      <c r="M116" t="str">
        <f>TextJoin(tblCourseSubjs[[#This Row],[CourseID]:[LabHrs]],"Value")</f>
        <v>"2","2","2","LDS 121","Logic Design and Switching Theory","4","2","2"</v>
      </c>
    </row>
    <row r="117" spans="2:13" x14ac:dyDescent="0.25">
      <c r="B117">
        <v>115</v>
      </c>
      <c r="C117">
        <v>2</v>
      </c>
      <c r="D117">
        <v>2</v>
      </c>
      <c r="E117">
        <v>2</v>
      </c>
      <c r="F117" t="s">
        <v>467</v>
      </c>
      <c r="G117" t="s">
        <v>468</v>
      </c>
      <c r="H117">
        <v>3</v>
      </c>
      <c r="I117" s="1">
        <v>2</v>
      </c>
      <c r="J117" s="1">
        <v>1</v>
      </c>
      <c r="L117" t="str">
        <f t="shared" si="1"/>
        <v>(NULL,"2","2","2","FEL 221","Free Elective (SAP)","3","2","1"),</v>
      </c>
      <c r="M117" t="str">
        <f>TextJoin(tblCourseSubjs[[#This Row],[CourseID]:[LabHrs]],"Value")</f>
        <v>"2","2","2","FEL 221","Free Elective (SAP)","3","2","1"</v>
      </c>
    </row>
    <row r="118" spans="2:13" x14ac:dyDescent="0.25">
      <c r="B118">
        <v>116</v>
      </c>
      <c r="C118">
        <v>2</v>
      </c>
      <c r="D118">
        <v>2</v>
      </c>
      <c r="E118">
        <v>2</v>
      </c>
      <c r="F118" t="s">
        <v>469</v>
      </c>
      <c r="G118" t="s">
        <v>470</v>
      </c>
      <c r="H118">
        <v>3</v>
      </c>
      <c r="I118" s="1">
        <v>3</v>
      </c>
      <c r="J118" s="1">
        <v>0</v>
      </c>
      <c r="L118" t="str">
        <f t="shared" si="1"/>
        <v>(NULL,"2","2","2","MAT 223","Probability &amp; Statistics","3","3","0"),</v>
      </c>
      <c r="M118" t="str">
        <f>TextJoin(tblCourseSubjs[[#This Row],[CourseID]:[LabHrs]],"Value")</f>
        <v>"2","2","2","MAT 223","Probability &amp; Statistics","3","3","0"</v>
      </c>
    </row>
    <row r="119" spans="2:13" x14ac:dyDescent="0.25">
      <c r="B119">
        <v>117</v>
      </c>
      <c r="C119">
        <v>2</v>
      </c>
      <c r="D119">
        <v>2</v>
      </c>
      <c r="E119">
        <v>2</v>
      </c>
      <c r="F119" t="s">
        <v>471</v>
      </c>
      <c r="G119" t="s">
        <v>327</v>
      </c>
      <c r="H119">
        <v>3</v>
      </c>
      <c r="I119" s="1">
        <v>2</v>
      </c>
      <c r="J119" s="1">
        <v>1</v>
      </c>
      <c r="L119" t="str">
        <f t="shared" si="1"/>
        <v>(NULL,"2","2","2","NS 222","General Physics 2","3","2","1"),</v>
      </c>
      <c r="M119" t="str">
        <f>TextJoin(tblCourseSubjs[[#This Row],[CourseID]:[LabHrs]],"Value")</f>
        <v>"2","2","2","NS 222","General Physics 2","3","2","1"</v>
      </c>
    </row>
    <row r="120" spans="2:13" x14ac:dyDescent="0.25">
      <c r="B120">
        <v>118</v>
      </c>
      <c r="C120">
        <v>2</v>
      </c>
      <c r="D120">
        <v>2</v>
      </c>
      <c r="E120">
        <v>2</v>
      </c>
      <c r="F120" t="s">
        <v>472</v>
      </c>
      <c r="G120" t="s">
        <v>473</v>
      </c>
      <c r="H120">
        <v>3</v>
      </c>
      <c r="I120" s="1">
        <v>3</v>
      </c>
      <c r="J120" s="1">
        <v>0</v>
      </c>
      <c r="L120" t="str">
        <f t="shared" si="1"/>
        <v>(NULL,"2","2","2","SS 223","Philippine History","3","3","0"),</v>
      </c>
      <c r="M120" t="str">
        <f>TextJoin(tblCourseSubjs[[#This Row],[CourseID]:[LabHrs]],"Value")</f>
        <v>"2","2","2","SS 223","Philippine History","3","3","0"</v>
      </c>
    </row>
    <row r="121" spans="2:13" x14ac:dyDescent="0.25">
      <c r="B121">
        <v>119</v>
      </c>
      <c r="C121">
        <v>2</v>
      </c>
      <c r="D121">
        <v>2</v>
      </c>
      <c r="E121">
        <v>2</v>
      </c>
      <c r="F121" t="s">
        <v>474</v>
      </c>
      <c r="G121" t="s">
        <v>335</v>
      </c>
      <c r="H121">
        <v>2</v>
      </c>
      <c r="I121" s="1">
        <v>0</v>
      </c>
      <c r="J121" s="1">
        <v>0</v>
      </c>
      <c r="L121" t="str">
        <f t="shared" si="1"/>
        <v>(NULL,"2","2","2","PE 224","Group Games","2","0","0"),</v>
      </c>
      <c r="M121" t="str">
        <f>TextJoin(tblCourseSubjs[[#This Row],[CourseID]:[LabHrs]],"Value")</f>
        <v>"2","2","2","PE 224","Group Games","2","0","0"</v>
      </c>
    </row>
    <row r="122" spans="2:13" x14ac:dyDescent="0.25">
      <c r="B122">
        <v>120</v>
      </c>
      <c r="C122">
        <v>2</v>
      </c>
      <c r="D122">
        <v>1</v>
      </c>
      <c r="E122">
        <v>3</v>
      </c>
      <c r="F122" t="s">
        <v>475</v>
      </c>
      <c r="G122" t="s">
        <v>476</v>
      </c>
      <c r="H122">
        <v>3</v>
      </c>
      <c r="I122" s="1">
        <v>2</v>
      </c>
      <c r="J122" s="1">
        <v>1</v>
      </c>
      <c r="L122" t="str">
        <f t="shared" si="1"/>
        <v>(NULL,"2","1","3","IT 317","Web Development","3","2","1"),</v>
      </c>
      <c r="M122" t="str">
        <f>TextJoin(tblCourseSubjs[[#This Row],[CourseID]:[LabHrs]],"Value")</f>
        <v>"2","1","3","IT 317","Web Development","3","2","1"</v>
      </c>
    </row>
    <row r="123" spans="2:13" x14ac:dyDescent="0.25">
      <c r="B123">
        <v>121</v>
      </c>
      <c r="C123">
        <v>2</v>
      </c>
      <c r="D123">
        <v>1</v>
      </c>
      <c r="E123">
        <v>3</v>
      </c>
      <c r="F123" t="s">
        <v>477</v>
      </c>
      <c r="G123" t="s">
        <v>389</v>
      </c>
      <c r="H123">
        <v>3</v>
      </c>
      <c r="I123" s="1">
        <v>2</v>
      </c>
      <c r="J123" s="1">
        <v>1</v>
      </c>
      <c r="L123" t="str">
        <f t="shared" si="1"/>
        <v>(NULL,"2","1","3","IT 318","Data Communications","3","2","1"),</v>
      </c>
      <c r="M123" t="str">
        <f>TextJoin(tblCourseSubjs[[#This Row],[CourseID]:[LabHrs]],"Value")</f>
        <v>"2","1","3","IT 318","Data Communications","3","2","1"</v>
      </c>
    </row>
    <row r="124" spans="2:13" x14ac:dyDescent="0.25">
      <c r="B124">
        <v>122</v>
      </c>
      <c r="C124">
        <v>2</v>
      </c>
      <c r="D124">
        <v>1</v>
      </c>
      <c r="E124">
        <v>3</v>
      </c>
      <c r="F124" t="s">
        <v>478</v>
      </c>
      <c r="G124" t="s">
        <v>479</v>
      </c>
      <c r="H124">
        <v>3</v>
      </c>
      <c r="I124" s="1">
        <v>2</v>
      </c>
      <c r="J124" s="1">
        <v>1</v>
      </c>
      <c r="L124" t="str">
        <f t="shared" si="1"/>
        <v>(NULL,"2","1","3","EEL 311","IT Elective 1 (MIS)","3","2","1"),</v>
      </c>
      <c r="M124" t="str">
        <f>TextJoin(tblCourseSubjs[[#This Row],[CourseID]:[LabHrs]],"Value")</f>
        <v>"2","1","3","EEL 311","IT Elective 1 (MIS)","3","2","1"</v>
      </c>
    </row>
    <row r="125" spans="2:13" x14ac:dyDescent="0.25">
      <c r="B125">
        <v>123</v>
      </c>
      <c r="C125">
        <v>2</v>
      </c>
      <c r="D125">
        <v>1</v>
      </c>
      <c r="E125">
        <v>3</v>
      </c>
      <c r="F125" t="s">
        <v>480</v>
      </c>
      <c r="G125" t="s">
        <v>359</v>
      </c>
      <c r="H125">
        <v>3</v>
      </c>
      <c r="I125" s="1">
        <v>2</v>
      </c>
      <c r="J125" s="1">
        <v>1</v>
      </c>
      <c r="L125" t="str">
        <f t="shared" si="1"/>
        <v>(NULL,"2","1","3","FEL 312","CISCO 1","3","2","1"),</v>
      </c>
      <c r="M125" t="str">
        <f>TextJoin(tblCourseSubjs[[#This Row],[CourseID]:[LabHrs]],"Value")</f>
        <v>"2","1","3","FEL 312","CISCO 1","3","2","1"</v>
      </c>
    </row>
    <row r="126" spans="2:13" x14ac:dyDescent="0.25">
      <c r="B126">
        <v>124</v>
      </c>
      <c r="C126">
        <v>2</v>
      </c>
      <c r="D126">
        <v>1</v>
      </c>
      <c r="E126">
        <v>3</v>
      </c>
      <c r="F126" t="s">
        <v>481</v>
      </c>
      <c r="G126" t="s">
        <v>298</v>
      </c>
      <c r="H126">
        <v>3</v>
      </c>
      <c r="I126" s="1">
        <v>3</v>
      </c>
      <c r="J126" s="1">
        <v>0</v>
      </c>
      <c r="L126" t="str">
        <f t="shared" si="1"/>
        <v>(NULL,"2","1","3","RIZ 311","Rizal's Life, Works &amp; Writings","3","3","0"),</v>
      </c>
      <c r="M126" t="str">
        <f>TextJoin(tblCourseSubjs[[#This Row],[CourseID]:[LabHrs]],"Value")</f>
        <v>"2","1","3","RIZ 311","Rizal's Life, Works &amp; Writings","3","3","0"</v>
      </c>
    </row>
    <row r="127" spans="2:13" x14ac:dyDescent="0.25">
      <c r="B127">
        <v>125</v>
      </c>
      <c r="C127">
        <v>2</v>
      </c>
      <c r="D127">
        <v>1</v>
      </c>
      <c r="E127">
        <v>3</v>
      </c>
      <c r="F127" t="s">
        <v>482</v>
      </c>
      <c r="G127" t="s">
        <v>483</v>
      </c>
      <c r="H127">
        <v>3</v>
      </c>
      <c r="I127" s="1">
        <v>3</v>
      </c>
      <c r="J127" s="1">
        <v>0</v>
      </c>
      <c r="L127" t="str">
        <f t="shared" si="1"/>
        <v>(NULL,"2","1","3","SS 313","Philippine Government &amp; Constitution","3","3","0"),</v>
      </c>
      <c r="M127" t="str">
        <f>TextJoin(tblCourseSubjs[[#This Row],[CourseID]:[LabHrs]],"Value")</f>
        <v>"2","1","3","SS 313","Philippine Government &amp; Constitution","3","3","0"</v>
      </c>
    </row>
    <row r="128" spans="2:13" x14ac:dyDescent="0.25">
      <c r="B128">
        <v>126</v>
      </c>
      <c r="C128">
        <v>2</v>
      </c>
      <c r="D128">
        <v>1</v>
      </c>
      <c r="E128">
        <v>3</v>
      </c>
      <c r="F128" t="s">
        <v>484</v>
      </c>
      <c r="G128" t="s">
        <v>333</v>
      </c>
      <c r="H128">
        <v>3</v>
      </c>
      <c r="I128" s="1">
        <v>3</v>
      </c>
      <c r="J128" s="1">
        <v>0</v>
      </c>
      <c r="L128" t="str">
        <f t="shared" si="1"/>
        <v>(NULL,"2","1","3","HUM 314","Philippine Literature","3","3","0"),</v>
      </c>
      <c r="M128" t="str">
        <f>TextJoin(tblCourseSubjs[[#This Row],[CourseID]:[LabHrs]],"Value")</f>
        <v>"2","1","3","HUM 314","Philippine Literature","3","3","0"</v>
      </c>
    </row>
    <row r="129" spans="2:13" x14ac:dyDescent="0.25">
      <c r="B129">
        <v>127</v>
      </c>
      <c r="C129">
        <v>2</v>
      </c>
      <c r="D129">
        <v>1</v>
      </c>
      <c r="E129">
        <v>3</v>
      </c>
      <c r="F129" t="s">
        <v>485</v>
      </c>
      <c r="G129" t="s">
        <v>610</v>
      </c>
      <c r="H129">
        <v>3</v>
      </c>
      <c r="I129" s="2">
        <v>3</v>
      </c>
      <c r="J129" s="1">
        <v>0</v>
      </c>
      <c r="L129" t="str">
        <f t="shared" si="1"/>
        <v>(NULL,"2","1","3","MAT 314","Discrete Mathematics","3","3","0"),</v>
      </c>
      <c r="M129" t="str">
        <f>TextJoin(tblCourseSubjs[[#This Row],[CourseID]:[LabHrs]],"Value")</f>
        <v>"2","1","3","MAT 314","Discrete Mathematics","3","3","0"</v>
      </c>
    </row>
    <row r="130" spans="2:13" x14ac:dyDescent="0.25">
      <c r="B130">
        <v>128</v>
      </c>
      <c r="C130">
        <v>2</v>
      </c>
      <c r="D130">
        <v>2</v>
      </c>
      <c r="E130">
        <v>3</v>
      </c>
      <c r="F130" t="s">
        <v>486</v>
      </c>
      <c r="G130" t="s">
        <v>419</v>
      </c>
      <c r="H130">
        <v>3</v>
      </c>
      <c r="I130" s="1">
        <v>2</v>
      </c>
      <c r="J130" s="1">
        <v>1</v>
      </c>
      <c r="L130" t="str">
        <f t="shared" si="1"/>
        <v>(NULL,"2","2","3","IT 323","Software Engineering","3","2","1"),</v>
      </c>
      <c r="M130" t="str">
        <f>TextJoin(tblCourseSubjs[[#This Row],[CourseID]:[LabHrs]],"Value")</f>
        <v>"2","2","3","IT 323","Software Engineering","3","2","1"</v>
      </c>
    </row>
    <row r="131" spans="2:13" x14ac:dyDescent="0.25">
      <c r="B131">
        <v>129</v>
      </c>
      <c r="C131">
        <v>2</v>
      </c>
      <c r="D131">
        <v>2</v>
      </c>
      <c r="E131">
        <v>3</v>
      </c>
      <c r="F131" t="s">
        <v>487</v>
      </c>
      <c r="G131" t="s">
        <v>488</v>
      </c>
      <c r="H131">
        <v>3</v>
      </c>
      <c r="I131" s="1">
        <v>2</v>
      </c>
      <c r="J131" s="1">
        <v>1</v>
      </c>
      <c r="L131" t="str">
        <f t="shared" si="1"/>
        <v>(NULL,"2","2","3","IT 324","Multimedia System","3","2","1"),</v>
      </c>
      <c r="M131" t="str">
        <f>TextJoin(tblCourseSubjs[[#This Row],[CourseID]:[LabHrs]],"Value")</f>
        <v>"2","2","3","IT 324","Multimedia System","3","2","1"</v>
      </c>
    </row>
    <row r="132" spans="2:13" x14ac:dyDescent="0.25">
      <c r="B132">
        <v>130</v>
      </c>
      <c r="C132">
        <v>2</v>
      </c>
      <c r="D132">
        <v>2</v>
      </c>
      <c r="E132">
        <v>3</v>
      </c>
      <c r="F132" t="s">
        <v>489</v>
      </c>
      <c r="G132" t="s">
        <v>490</v>
      </c>
      <c r="H132">
        <v>3</v>
      </c>
      <c r="I132" s="1">
        <v>2</v>
      </c>
      <c r="J132" s="1">
        <v>1</v>
      </c>
      <c r="L132" t="str">
        <f t="shared" ref="L132:L195" si="2">"(NULL,"&amp;M132&amp;")"&amp;IF(L133&lt;&gt;"",",",";")</f>
        <v>(NULL,"2","2","3","IT 322","Advance Database Management Systems","3","2","1"),</v>
      </c>
      <c r="M132" t="str">
        <f>TextJoin(tblCourseSubjs[[#This Row],[CourseID]:[LabHrs]],"Value")</f>
        <v>"2","2","3","IT 322","Advance Database Management Systems","3","2","1"</v>
      </c>
    </row>
    <row r="133" spans="2:13" x14ac:dyDescent="0.25">
      <c r="B133">
        <v>131</v>
      </c>
      <c r="C133">
        <v>2</v>
      </c>
      <c r="D133">
        <v>2</v>
      </c>
      <c r="E133">
        <v>3</v>
      </c>
      <c r="F133" t="s">
        <v>491</v>
      </c>
      <c r="G133" t="s">
        <v>492</v>
      </c>
      <c r="H133">
        <v>3</v>
      </c>
      <c r="I133" s="1">
        <v>2</v>
      </c>
      <c r="J133" s="1">
        <v>1</v>
      </c>
      <c r="L133" t="str">
        <f t="shared" si="2"/>
        <v>(NULL,"2","2","3","TEC 311","Technopreneurship","3","2","1"),</v>
      </c>
      <c r="M133" t="str">
        <f>TextJoin(tblCourseSubjs[[#This Row],[CourseID]:[LabHrs]],"Value")</f>
        <v>"2","2","3","TEC 311","Technopreneurship","3","2","1"</v>
      </c>
    </row>
    <row r="134" spans="2:13" x14ac:dyDescent="0.25">
      <c r="B134">
        <v>132</v>
      </c>
      <c r="C134">
        <v>2</v>
      </c>
      <c r="D134">
        <v>1</v>
      </c>
      <c r="E134">
        <v>4</v>
      </c>
      <c r="F134" t="s">
        <v>493</v>
      </c>
      <c r="G134" t="s">
        <v>415</v>
      </c>
      <c r="H134">
        <v>3</v>
      </c>
      <c r="I134" s="1">
        <v>2</v>
      </c>
      <c r="J134" s="1">
        <v>1</v>
      </c>
      <c r="L134" t="str">
        <f t="shared" si="2"/>
        <v>(NULL,"2","1","4","FEL 414","CISCO 3","3","2","1"),</v>
      </c>
      <c r="M134" t="str">
        <f>TextJoin(tblCourseSubjs[[#This Row],[CourseID]:[LabHrs]],"Value")</f>
        <v>"2","1","4","FEL 414","CISCO 3","3","2","1"</v>
      </c>
    </row>
    <row r="135" spans="2:13" x14ac:dyDescent="0.25">
      <c r="B135">
        <v>133</v>
      </c>
      <c r="C135">
        <v>2</v>
      </c>
      <c r="D135">
        <v>2</v>
      </c>
      <c r="E135">
        <v>3</v>
      </c>
      <c r="F135" t="s">
        <v>494</v>
      </c>
      <c r="G135" t="s">
        <v>385</v>
      </c>
      <c r="H135">
        <v>3</v>
      </c>
      <c r="I135" s="1">
        <v>3</v>
      </c>
      <c r="J135" s="1">
        <v>0</v>
      </c>
      <c r="L135" t="str">
        <f t="shared" si="2"/>
        <v>(NULL,"2","2","3","SS 325","Society &amp; Culture w/ HIV Aids Education","3","3","0"),</v>
      </c>
      <c r="M135" t="str">
        <f>TextJoin(tblCourseSubjs[[#This Row],[CourseID]:[LabHrs]],"Value")</f>
        <v>"2","2","3","SS 325","Society &amp; Culture w/ HIV Aids Education","3","3","0"</v>
      </c>
    </row>
    <row r="136" spans="2:13" x14ac:dyDescent="0.25">
      <c r="B136">
        <v>134</v>
      </c>
      <c r="C136">
        <v>2</v>
      </c>
      <c r="D136">
        <v>2</v>
      </c>
      <c r="E136">
        <v>3</v>
      </c>
      <c r="F136" t="s">
        <v>495</v>
      </c>
      <c r="G136" t="s">
        <v>496</v>
      </c>
      <c r="H136">
        <v>3</v>
      </c>
      <c r="I136" s="1">
        <v>2</v>
      </c>
      <c r="J136" s="1">
        <v>1</v>
      </c>
      <c r="L136" t="str">
        <f t="shared" si="2"/>
        <v>(NULL,"2","2","3","EEL 322","IT Elective 2 (Network Administration)","3","2","1"),</v>
      </c>
      <c r="M136" t="str">
        <f>TextJoin(tblCourseSubjs[[#This Row],[CourseID]:[LabHrs]],"Value")</f>
        <v>"2","2","3","EEL 322","IT Elective 2 (Network Administration)","3","2","1"</v>
      </c>
    </row>
    <row r="137" spans="2:13" x14ac:dyDescent="0.25">
      <c r="B137">
        <v>135</v>
      </c>
      <c r="C137">
        <v>2</v>
      </c>
      <c r="D137">
        <v>3</v>
      </c>
      <c r="E137">
        <v>3</v>
      </c>
      <c r="F137" t="s">
        <v>497</v>
      </c>
      <c r="G137" t="s">
        <v>398</v>
      </c>
      <c r="H137">
        <v>9</v>
      </c>
      <c r="I137">
        <v>0</v>
      </c>
      <c r="J137">
        <v>500</v>
      </c>
      <c r="L137" t="str">
        <f t="shared" si="2"/>
        <v>(NULL,"2","3","3","OJT 411","Practicum","9","0","500"),</v>
      </c>
      <c r="M137" t="str">
        <f>TextJoin(tblCourseSubjs[[#This Row],[CourseID]:[LabHrs]],"Value")</f>
        <v>"2","3","3","OJT 411","Practicum","9","0","500"</v>
      </c>
    </row>
    <row r="138" spans="2:13" x14ac:dyDescent="0.25">
      <c r="B138">
        <v>136</v>
      </c>
      <c r="C138">
        <v>2</v>
      </c>
      <c r="D138">
        <v>1</v>
      </c>
      <c r="E138">
        <v>4</v>
      </c>
      <c r="F138" t="s">
        <v>498</v>
      </c>
      <c r="G138" t="s">
        <v>499</v>
      </c>
      <c r="H138">
        <v>3</v>
      </c>
      <c r="I138" s="1">
        <v>3</v>
      </c>
      <c r="J138" s="1">
        <v>0</v>
      </c>
      <c r="L138" t="str">
        <f t="shared" si="2"/>
        <v>(NULL,"2","1","4","SS 415","Professional Ethics in IT","3","3","0"),</v>
      </c>
      <c r="M138" t="str">
        <f>TextJoin(tblCourseSubjs[[#This Row],[CourseID]:[LabHrs]],"Value")</f>
        <v>"2","1","4","SS 415","Professional Ethics in IT","3","3","0"</v>
      </c>
    </row>
    <row r="139" spans="2:13" x14ac:dyDescent="0.25">
      <c r="B139">
        <v>137</v>
      </c>
      <c r="C139">
        <v>2</v>
      </c>
      <c r="D139">
        <v>1</v>
      </c>
      <c r="E139">
        <v>4</v>
      </c>
      <c r="F139" t="s">
        <v>500</v>
      </c>
      <c r="G139" t="s">
        <v>501</v>
      </c>
      <c r="H139">
        <v>3</v>
      </c>
      <c r="I139" s="1">
        <v>2</v>
      </c>
      <c r="J139" s="1">
        <v>1</v>
      </c>
      <c r="L139" t="str">
        <f t="shared" si="2"/>
        <v>(NULL,"2","1","4","IT 415","Database Administration","3","2","1"),</v>
      </c>
      <c r="M139" t="str">
        <f>TextJoin(tblCourseSubjs[[#This Row],[CourseID]:[LabHrs]],"Value")</f>
        <v>"2","1","4","IT 415","Database Administration","3","2","1"</v>
      </c>
    </row>
    <row r="140" spans="2:13" x14ac:dyDescent="0.25">
      <c r="B140">
        <v>138</v>
      </c>
      <c r="C140">
        <v>2</v>
      </c>
      <c r="D140">
        <v>1</v>
      </c>
      <c r="E140">
        <v>4</v>
      </c>
      <c r="F140" t="s">
        <v>502</v>
      </c>
      <c r="G140" t="s">
        <v>391</v>
      </c>
      <c r="H140">
        <v>3</v>
      </c>
      <c r="I140" s="1">
        <v>2</v>
      </c>
      <c r="J140" s="1">
        <v>1</v>
      </c>
      <c r="L140" t="str">
        <f t="shared" si="2"/>
        <v>(NULL,"2","1","4","IT 417","Computer System Architecture","3","2","1"),</v>
      </c>
      <c r="M140" t="str">
        <f>TextJoin(tblCourseSubjs[[#This Row],[CourseID]:[LabHrs]],"Value")</f>
        <v>"2","1","4","IT 417","Computer System Architecture","3","2","1"</v>
      </c>
    </row>
    <row r="141" spans="2:13" x14ac:dyDescent="0.25">
      <c r="B141">
        <v>139</v>
      </c>
      <c r="C141">
        <v>2</v>
      </c>
      <c r="D141">
        <v>1</v>
      </c>
      <c r="E141">
        <v>4</v>
      </c>
      <c r="F141" t="s">
        <v>503</v>
      </c>
      <c r="G141" t="s">
        <v>504</v>
      </c>
      <c r="H141">
        <v>3</v>
      </c>
      <c r="I141" s="1">
        <v>1</v>
      </c>
      <c r="J141" s="1">
        <v>2</v>
      </c>
      <c r="L141" t="str">
        <f t="shared" si="2"/>
        <v>(NULL,"2","1","4","IT 418","Information Technology Design 1 (Thesis 1)","3","1","2"),</v>
      </c>
      <c r="M141" t="str">
        <f>TextJoin(tblCourseSubjs[[#This Row],[CourseID]:[LabHrs]],"Value")</f>
        <v>"2","1","4","IT 418","Information Technology Design 1 (Thesis 1)","3","1","2"</v>
      </c>
    </row>
    <row r="142" spans="2:13" x14ac:dyDescent="0.25">
      <c r="B142">
        <v>140</v>
      </c>
      <c r="C142">
        <v>2</v>
      </c>
      <c r="D142">
        <v>1</v>
      </c>
      <c r="E142">
        <v>4</v>
      </c>
      <c r="F142" t="s">
        <v>505</v>
      </c>
      <c r="G142" t="s">
        <v>506</v>
      </c>
      <c r="H142">
        <v>3</v>
      </c>
      <c r="I142" s="1">
        <v>2</v>
      </c>
      <c r="J142" s="1">
        <v>1</v>
      </c>
      <c r="L142" t="str">
        <f t="shared" si="2"/>
        <v>(NULL,"2","1","4","EEL 423","IT Elective 3 (E-Business)","3","2","1"),</v>
      </c>
      <c r="M142" t="str">
        <f>TextJoin(tblCourseSubjs[[#This Row],[CourseID]:[LabHrs]],"Value")</f>
        <v>"2","1","4","EEL 423","IT Elective 3 (E-Business)","3","2","1"</v>
      </c>
    </row>
    <row r="143" spans="2:13" x14ac:dyDescent="0.25">
      <c r="B143">
        <v>141</v>
      </c>
      <c r="C143">
        <v>1</v>
      </c>
      <c r="D143">
        <v>1</v>
      </c>
      <c r="E143">
        <v>5</v>
      </c>
      <c r="F143" t="s">
        <v>507</v>
      </c>
      <c r="G143" t="s">
        <v>508</v>
      </c>
      <c r="H143">
        <v>3</v>
      </c>
      <c r="I143" s="1">
        <v>2</v>
      </c>
      <c r="J143" s="1">
        <v>1</v>
      </c>
      <c r="L143" t="str">
        <f t="shared" si="2"/>
        <v>(NULL,"1","1","5","NT 514","CISCO 4","3","2","1"),</v>
      </c>
      <c r="M143" t="str">
        <f>TextJoin(tblCourseSubjs[[#This Row],[CourseID]:[LabHrs]],"Value")</f>
        <v>"1","1","5","NT 514","CISCO 4","3","2","1"</v>
      </c>
    </row>
    <row r="144" spans="2:13" x14ac:dyDescent="0.25">
      <c r="B144">
        <v>142</v>
      </c>
      <c r="C144">
        <v>2</v>
      </c>
      <c r="D144">
        <v>2</v>
      </c>
      <c r="E144">
        <v>4</v>
      </c>
      <c r="F144" t="s">
        <v>509</v>
      </c>
      <c r="G144" t="s">
        <v>510</v>
      </c>
      <c r="H144">
        <v>3</v>
      </c>
      <c r="I144" s="1">
        <v>1</v>
      </c>
      <c r="J144" s="1">
        <v>2</v>
      </c>
      <c r="L144" t="str">
        <f t="shared" si="2"/>
        <v>(NULL,"2","2","4","IT 428","Information Technology Design 2 (Thesis 2)","3","1","2"),</v>
      </c>
      <c r="M144" t="str">
        <f>TextJoin(tblCourseSubjs[[#This Row],[CourseID]:[LabHrs]],"Value")</f>
        <v>"2","2","4","IT 428","Information Technology Design 2 (Thesis 2)","3","1","2"</v>
      </c>
    </row>
    <row r="145" spans="2:13" x14ac:dyDescent="0.25">
      <c r="B145">
        <v>143</v>
      </c>
      <c r="C145">
        <v>2</v>
      </c>
      <c r="D145">
        <v>2</v>
      </c>
      <c r="E145">
        <v>4</v>
      </c>
      <c r="F145" t="s">
        <v>511</v>
      </c>
      <c r="G145" t="s">
        <v>512</v>
      </c>
      <c r="H145">
        <v>3</v>
      </c>
      <c r="I145" s="1">
        <v>2</v>
      </c>
      <c r="J145" s="1">
        <v>1</v>
      </c>
      <c r="L145" t="str">
        <f t="shared" si="2"/>
        <v>(NULL,"2","2","4","EEL 424","IT Elective 4 (IT Project Management)","3","2","1"),</v>
      </c>
      <c r="M145" t="str">
        <f>TextJoin(tblCourseSubjs[[#This Row],[CourseID]:[LabHrs]],"Value")</f>
        <v>"2","2","4","EEL 424","IT Elective 4 (IT Project Management)","3","2","1"</v>
      </c>
    </row>
    <row r="146" spans="2:13" x14ac:dyDescent="0.25">
      <c r="B146">
        <v>144</v>
      </c>
      <c r="C146">
        <v>2</v>
      </c>
      <c r="D146">
        <v>2</v>
      </c>
      <c r="E146">
        <v>4</v>
      </c>
      <c r="F146" t="s">
        <v>513</v>
      </c>
      <c r="G146" t="s">
        <v>514</v>
      </c>
      <c r="H146">
        <v>3</v>
      </c>
      <c r="I146" s="1">
        <v>2</v>
      </c>
      <c r="J146" s="1">
        <v>1</v>
      </c>
      <c r="L146" t="str">
        <f t="shared" si="2"/>
        <v>(NULL,"2","2","4","TVET 423","Contact Center","3","2","1"),</v>
      </c>
      <c r="M146" t="str">
        <f>TextJoin(tblCourseSubjs[[#This Row],[CourseID]:[LabHrs]],"Value")</f>
        <v>"2","2","4","TVET 423","Contact Center","3","2","1"</v>
      </c>
    </row>
    <row r="147" spans="2:13" x14ac:dyDescent="0.25">
      <c r="B147">
        <v>145</v>
      </c>
      <c r="C147">
        <v>2</v>
      </c>
      <c r="D147">
        <v>2</v>
      </c>
      <c r="E147">
        <v>4</v>
      </c>
      <c r="F147" t="s">
        <v>515</v>
      </c>
      <c r="G147" t="s">
        <v>508</v>
      </c>
      <c r="H147">
        <v>3</v>
      </c>
      <c r="I147" s="1">
        <v>0</v>
      </c>
      <c r="J147" s="1">
        <v>0</v>
      </c>
      <c r="L147" t="str">
        <f t="shared" si="2"/>
        <v>(NULL,"2","2","4","FEL 425","CISCO 4","3","0","0"),</v>
      </c>
      <c r="M147" t="str">
        <f>TextJoin(tblCourseSubjs[[#This Row],[CourseID]:[LabHrs]],"Value")</f>
        <v>"2","2","4","FEL 425","CISCO 4","3","0","0"</v>
      </c>
    </row>
    <row r="148" spans="2:13" x14ac:dyDescent="0.25">
      <c r="B148">
        <v>146</v>
      </c>
      <c r="C148">
        <v>2</v>
      </c>
      <c r="D148">
        <v>2</v>
      </c>
      <c r="E148">
        <v>4</v>
      </c>
      <c r="F148" t="s">
        <v>516</v>
      </c>
      <c r="G148" t="s">
        <v>427</v>
      </c>
      <c r="H148">
        <v>1</v>
      </c>
      <c r="I148" s="1">
        <v>0</v>
      </c>
      <c r="J148" s="1">
        <v>0</v>
      </c>
      <c r="L148" t="str">
        <f t="shared" si="2"/>
        <v>(NULL,"2","2","4","SFT 421","Seminars &amp; Field Trip","1","0","0"),</v>
      </c>
      <c r="M148" t="str">
        <f>TextJoin(tblCourseSubjs[[#This Row],[CourseID]:[LabHrs]],"Value")</f>
        <v>"2","2","4","SFT 421","Seminars &amp; Field Trip","1","0","0"</v>
      </c>
    </row>
    <row r="149" spans="2:13" x14ac:dyDescent="0.25">
      <c r="B149">
        <v>147</v>
      </c>
      <c r="C149">
        <v>3</v>
      </c>
      <c r="D149">
        <v>1</v>
      </c>
      <c r="E149">
        <v>1</v>
      </c>
      <c r="F149" s="6" t="s">
        <v>521</v>
      </c>
      <c r="G149" s="6" t="s">
        <v>597</v>
      </c>
      <c r="H149">
        <v>3</v>
      </c>
      <c r="I149" s="1">
        <v>3</v>
      </c>
      <c r="J149" s="1">
        <v>0</v>
      </c>
      <c r="L149" t="str">
        <f t="shared" si="2"/>
        <v>(NULL,"3","1","1","GE 111","Understanding The Self ","3","3","0"),</v>
      </c>
      <c r="M149" t="str">
        <f>TextJoin(tblCourseSubjs[[#This Row],[CourseID]:[LabHrs]],"Value")</f>
        <v>"3","1","1","GE 111","Understanding The Self ","3","3","0"</v>
      </c>
    </row>
    <row r="150" spans="2:13" x14ac:dyDescent="0.25">
      <c r="B150">
        <v>148</v>
      </c>
      <c r="C150">
        <v>3</v>
      </c>
      <c r="D150">
        <v>1</v>
      </c>
      <c r="E150">
        <v>1</v>
      </c>
      <c r="F150" s="6" t="s">
        <v>522</v>
      </c>
      <c r="G150" s="6" t="s">
        <v>598</v>
      </c>
      <c r="H150">
        <v>3</v>
      </c>
      <c r="I150" s="1">
        <v>3</v>
      </c>
      <c r="J150" s="1">
        <v>0</v>
      </c>
      <c r="L150" t="str">
        <f t="shared" si="2"/>
        <v>(NULL,"3","1","1","GE 112","Mathematics In The Modern World","3","3","0"),</v>
      </c>
      <c r="M150" t="str">
        <f>TextJoin(tblCourseSubjs[[#This Row],[CourseID]:[LabHrs]],"Value")</f>
        <v>"3","1","1","GE 112","Mathematics In The Modern World","3","3","0"</v>
      </c>
    </row>
    <row r="151" spans="2:13" x14ac:dyDescent="0.25">
      <c r="B151">
        <v>149</v>
      </c>
      <c r="C151">
        <v>3</v>
      </c>
      <c r="D151">
        <v>1</v>
      </c>
      <c r="E151">
        <v>1</v>
      </c>
      <c r="F151" s="6" t="s">
        <v>523</v>
      </c>
      <c r="G151" s="6" t="s">
        <v>599</v>
      </c>
      <c r="H151">
        <v>3</v>
      </c>
      <c r="I151" s="1">
        <v>3</v>
      </c>
      <c r="J151" s="1">
        <v>0</v>
      </c>
      <c r="L151" t="str">
        <f t="shared" si="2"/>
        <v>(NULL,"3","1","1","GE 113","Science, Technology And Society","3","3","0"),</v>
      </c>
      <c r="M151" t="str">
        <f>TextJoin(tblCourseSubjs[[#This Row],[CourseID]:[LabHrs]],"Value")</f>
        <v>"3","1","1","GE 113","Science, Technology And Society","3","3","0"</v>
      </c>
    </row>
    <row r="152" spans="2:13" x14ac:dyDescent="0.25">
      <c r="B152">
        <v>150</v>
      </c>
      <c r="C152">
        <v>3</v>
      </c>
      <c r="D152">
        <v>1</v>
      </c>
      <c r="E152">
        <v>1</v>
      </c>
      <c r="F152" s="6" t="s">
        <v>271</v>
      </c>
      <c r="G152" s="7" t="s">
        <v>600</v>
      </c>
      <c r="H152">
        <v>3</v>
      </c>
      <c r="I152" s="1">
        <v>3</v>
      </c>
      <c r="J152" s="1">
        <v>0</v>
      </c>
      <c r="L152" t="str">
        <f t="shared" si="2"/>
        <v>(NULL,"3","1","1","MAT 111","Calculus 1","3","3","0"),</v>
      </c>
      <c r="M152" t="str">
        <f>TextJoin(tblCourseSubjs[[#This Row],[CourseID]:[LabHrs]],"Value")</f>
        <v>"3","1","1","MAT 111","Calculus 1","3","3","0"</v>
      </c>
    </row>
    <row r="153" spans="2:13" x14ac:dyDescent="0.25">
      <c r="B153">
        <v>151</v>
      </c>
      <c r="C153">
        <v>3</v>
      </c>
      <c r="D153">
        <v>1</v>
      </c>
      <c r="E153">
        <v>1</v>
      </c>
      <c r="F153" s="6" t="s">
        <v>436</v>
      </c>
      <c r="G153" s="7" t="s">
        <v>601</v>
      </c>
      <c r="H153">
        <v>4</v>
      </c>
      <c r="I153" s="1">
        <v>3</v>
      </c>
      <c r="J153" s="1">
        <v>1</v>
      </c>
      <c r="L153" t="str">
        <f t="shared" si="2"/>
        <v>(NULL,"3","1","1","NS 111","Chemistry For Engineers","4","3","1"),</v>
      </c>
      <c r="M153" t="str">
        <f>TextJoin(tblCourseSubjs[[#This Row],[CourseID]:[LabHrs]],"Value")</f>
        <v>"3","1","1","NS 111","Chemistry For Engineers","4","3","1"</v>
      </c>
    </row>
    <row r="154" spans="2:13" x14ac:dyDescent="0.25">
      <c r="B154">
        <v>152</v>
      </c>
      <c r="C154">
        <v>3</v>
      </c>
      <c r="D154">
        <v>1</v>
      </c>
      <c r="E154">
        <v>1</v>
      </c>
      <c r="F154" s="6" t="s">
        <v>275</v>
      </c>
      <c r="G154" s="7" t="s">
        <v>602</v>
      </c>
      <c r="H154">
        <v>1</v>
      </c>
      <c r="I154" s="1">
        <v>1</v>
      </c>
      <c r="J154" s="1">
        <v>0</v>
      </c>
      <c r="L154" t="str">
        <f t="shared" si="2"/>
        <v>(NULL,"3","1","1","CPE 111","Computer Engineering As A Discipline ","1","1","0"),</v>
      </c>
      <c r="M154" t="str">
        <f>TextJoin(tblCourseSubjs[[#This Row],[CourseID]:[LabHrs]],"Value")</f>
        <v>"3","1","1","CPE 111","Computer Engineering As A Discipline ","1","1","0"</v>
      </c>
    </row>
    <row r="155" spans="2:13" x14ac:dyDescent="0.25">
      <c r="B155">
        <v>153</v>
      </c>
      <c r="C155">
        <v>3</v>
      </c>
      <c r="D155">
        <v>1</v>
      </c>
      <c r="E155">
        <v>1</v>
      </c>
      <c r="F155" s="6" t="s">
        <v>431</v>
      </c>
      <c r="G155" s="7" t="s">
        <v>603</v>
      </c>
      <c r="H155">
        <v>2</v>
      </c>
      <c r="I155" s="1">
        <v>0</v>
      </c>
      <c r="J155" s="1">
        <v>2</v>
      </c>
      <c r="L155" t="str">
        <f t="shared" si="2"/>
        <v>(NULL,"3","1","1","IT 111","Programming Logic And Design","2","0","2"),</v>
      </c>
      <c r="M155" t="str">
        <f>TextJoin(tblCourseSubjs[[#This Row],[CourseID]:[LabHrs]],"Value")</f>
        <v>"3","1","1","IT 111","Programming Logic And Design","2","0","2"</v>
      </c>
    </row>
    <row r="156" spans="2:13" x14ac:dyDescent="0.25">
      <c r="B156">
        <v>154</v>
      </c>
      <c r="C156">
        <v>3</v>
      </c>
      <c r="D156">
        <v>1</v>
      </c>
      <c r="E156">
        <v>1</v>
      </c>
      <c r="F156" s="6" t="s">
        <v>437</v>
      </c>
      <c r="G156" s="7" t="s">
        <v>604</v>
      </c>
      <c r="H156">
        <v>2</v>
      </c>
      <c r="I156" s="1">
        <v>2</v>
      </c>
      <c r="J156" s="1">
        <v>0</v>
      </c>
      <c r="L156" t="str">
        <f t="shared" si="2"/>
        <v>(NULL,"3","1","1","PE 111","Physical Fitness/Gymnastics","2","2","0"),</v>
      </c>
      <c r="M156" t="str">
        <f>TextJoin(tblCourseSubjs[[#This Row],[CourseID]:[LabHrs]],"Value")</f>
        <v>"3","1","1","PE 111","Physical Fitness/Gymnastics","2","2","0"</v>
      </c>
    </row>
    <row r="157" spans="2:13" x14ac:dyDescent="0.25">
      <c r="B157">
        <v>155</v>
      </c>
      <c r="C157">
        <v>3</v>
      </c>
      <c r="D157">
        <v>1</v>
      </c>
      <c r="E157">
        <v>1</v>
      </c>
      <c r="F157" s="6" t="s">
        <v>524</v>
      </c>
      <c r="G157" s="7" t="s">
        <v>605</v>
      </c>
      <c r="H157">
        <v>3</v>
      </c>
      <c r="I157" s="1">
        <v>3</v>
      </c>
      <c r="J157" s="1">
        <v>0</v>
      </c>
      <c r="L157" t="str">
        <f t="shared" si="2"/>
        <v>(NULL,"3","1","1","NSTP 1","Cwts 1","3","3","0"),</v>
      </c>
      <c r="M157" t="str">
        <f>TextJoin(tblCourseSubjs[[#This Row],[CourseID]:[LabHrs]],"Value")</f>
        <v>"3","1","1","NSTP 1","Cwts 1","3","3","0"</v>
      </c>
    </row>
    <row r="158" spans="2:13" x14ac:dyDescent="0.25">
      <c r="B158">
        <v>156</v>
      </c>
      <c r="C158">
        <v>3</v>
      </c>
      <c r="D158">
        <v>2</v>
      </c>
      <c r="E158">
        <v>1</v>
      </c>
      <c r="F158" s="6" t="s">
        <v>525</v>
      </c>
      <c r="G158" s="6" t="s">
        <v>606</v>
      </c>
      <c r="H158">
        <v>3</v>
      </c>
      <c r="I158" s="1">
        <v>3</v>
      </c>
      <c r="J158" s="1">
        <v>0</v>
      </c>
      <c r="L158" t="str">
        <f t="shared" si="2"/>
        <v>(NULL,"3","2","1","GE 124","Purposive Communication","3","3","0"),</v>
      </c>
      <c r="M158" t="str">
        <f>TextJoin(tblCourseSubjs[[#This Row],[CourseID]:[LabHrs]],"Value")</f>
        <v>"3","2","1","GE 124","Purposive Communication","3","3","0"</v>
      </c>
    </row>
    <row r="159" spans="2:13" x14ac:dyDescent="0.25">
      <c r="B159">
        <v>157</v>
      </c>
      <c r="C159">
        <v>3</v>
      </c>
      <c r="D159">
        <v>2</v>
      </c>
      <c r="E159">
        <v>1</v>
      </c>
      <c r="F159" s="6" t="s">
        <v>526</v>
      </c>
      <c r="G159" s="6" t="s">
        <v>607</v>
      </c>
      <c r="H159">
        <v>3</v>
      </c>
      <c r="I159" s="1">
        <v>3</v>
      </c>
      <c r="J159" s="1">
        <v>0</v>
      </c>
      <c r="L159" t="str">
        <f t="shared" si="2"/>
        <v>(NULL,"3","2","1","GE 125","Readings In The Philippines","3","3","0"),</v>
      </c>
      <c r="M159" t="str">
        <f>TextJoin(tblCourseSubjs[[#This Row],[CourseID]:[LabHrs]],"Value")</f>
        <v>"3","2","1","GE 125","Readings In The Philippines","3","3","0"</v>
      </c>
    </row>
    <row r="160" spans="2:13" x14ac:dyDescent="0.25">
      <c r="B160">
        <v>158</v>
      </c>
      <c r="C160">
        <v>3</v>
      </c>
      <c r="D160">
        <v>2</v>
      </c>
      <c r="E160">
        <v>1</v>
      </c>
      <c r="F160" s="6" t="s">
        <v>527</v>
      </c>
      <c r="G160" s="6" t="s">
        <v>608</v>
      </c>
      <c r="H160">
        <v>3</v>
      </c>
      <c r="I160" s="1">
        <v>3</v>
      </c>
      <c r="J160" s="1">
        <v>0</v>
      </c>
      <c r="L160" t="str">
        <f t="shared" si="2"/>
        <v>(NULL,"3","2","1","GE 126","Arts Appreciation","3","3","0"),</v>
      </c>
      <c r="M160" t="str">
        <f>TextJoin(tblCourseSubjs[[#This Row],[CourseID]:[LabHrs]],"Value")</f>
        <v>"3","2","1","GE 126","Arts Appreciation","3","3","0"</v>
      </c>
    </row>
    <row r="161" spans="2:13" x14ac:dyDescent="0.25">
      <c r="B161">
        <v>159</v>
      </c>
      <c r="C161">
        <v>3</v>
      </c>
      <c r="D161">
        <v>2</v>
      </c>
      <c r="E161">
        <v>1</v>
      </c>
      <c r="F161" s="6" t="s">
        <v>528</v>
      </c>
      <c r="G161" s="7" t="s">
        <v>609</v>
      </c>
      <c r="H161">
        <v>3</v>
      </c>
      <c r="I161" s="1">
        <v>3</v>
      </c>
      <c r="J161" s="1">
        <v>0</v>
      </c>
      <c r="L161" t="str">
        <f t="shared" si="2"/>
        <v>(NULL,"3","2","1","MAT 122","Calculus 2","3","3","0"),</v>
      </c>
      <c r="M161" t="str">
        <f>TextJoin(tblCourseSubjs[[#This Row],[CourseID]:[LabHrs]],"Value")</f>
        <v>"3","2","1","MAT 122","Calculus 2","3","3","0"</v>
      </c>
    </row>
    <row r="162" spans="2:13" x14ac:dyDescent="0.25">
      <c r="B162">
        <v>160</v>
      </c>
      <c r="C162">
        <v>3</v>
      </c>
      <c r="D162">
        <v>2</v>
      </c>
      <c r="E162">
        <v>1</v>
      </c>
      <c r="F162" s="6" t="s">
        <v>529</v>
      </c>
      <c r="G162" s="7" t="s">
        <v>739</v>
      </c>
      <c r="H162">
        <v>3</v>
      </c>
      <c r="I162" s="1">
        <v>3</v>
      </c>
      <c r="J162" s="1">
        <v>1</v>
      </c>
      <c r="L162" t="str">
        <f t="shared" si="2"/>
        <v>(NULL,"3","2","1","NS 122","Physics For Engineers","3","3","1"),</v>
      </c>
      <c r="M162" t="str">
        <f>TextJoin(tblCourseSubjs[[#This Row],[CourseID]:[LabHrs]],"Value")</f>
        <v>"3","2","1","NS 122","Physics For Engineers","3","3","1"</v>
      </c>
    </row>
    <row r="163" spans="2:13" x14ac:dyDescent="0.25">
      <c r="B163">
        <v>161</v>
      </c>
      <c r="C163">
        <v>3</v>
      </c>
      <c r="D163">
        <v>2</v>
      </c>
      <c r="E163">
        <v>1</v>
      </c>
      <c r="F163" s="6" t="s">
        <v>441</v>
      </c>
      <c r="G163" s="7" t="s">
        <v>403</v>
      </c>
      <c r="H163">
        <v>3</v>
      </c>
      <c r="I163" s="1">
        <v>0</v>
      </c>
      <c r="J163" s="1">
        <v>2</v>
      </c>
      <c r="L163" t="str">
        <f t="shared" si="2"/>
        <v>(NULL,"3","2","1","IT 122","Object Oriented Programming","3","0","2"),</v>
      </c>
      <c r="M163" t="str">
        <f>TextJoin(tblCourseSubjs[[#This Row],[CourseID]:[LabHrs]],"Value")</f>
        <v>"3","2","1","IT 122","Object Oriented Programming","3","0","2"</v>
      </c>
    </row>
    <row r="164" spans="2:13" x14ac:dyDescent="0.25">
      <c r="B164">
        <v>162</v>
      </c>
      <c r="C164">
        <v>3</v>
      </c>
      <c r="D164">
        <v>2</v>
      </c>
      <c r="E164">
        <v>1</v>
      </c>
      <c r="F164" s="6" t="s">
        <v>289</v>
      </c>
      <c r="G164" s="7" t="s">
        <v>610</v>
      </c>
      <c r="H164">
        <v>3</v>
      </c>
      <c r="I164" s="1">
        <v>3</v>
      </c>
      <c r="J164" s="1">
        <v>0</v>
      </c>
      <c r="L164" t="str">
        <f t="shared" si="2"/>
        <v>(NULL,"3","2","1","MAT 123","Discrete Mathematics","3","3","0"),</v>
      </c>
      <c r="M164" t="str">
        <f>TextJoin(tblCourseSubjs[[#This Row],[CourseID]:[LabHrs]],"Value")</f>
        <v>"3","2","1","MAT 123","Discrete Mathematics","3","3","0"</v>
      </c>
    </row>
    <row r="165" spans="2:13" x14ac:dyDescent="0.25">
      <c r="B165">
        <v>163</v>
      </c>
      <c r="C165">
        <v>3</v>
      </c>
      <c r="D165">
        <v>2</v>
      </c>
      <c r="E165">
        <v>1</v>
      </c>
      <c r="F165" s="6" t="s">
        <v>449</v>
      </c>
      <c r="G165" s="7" t="s">
        <v>611</v>
      </c>
      <c r="H165">
        <v>3</v>
      </c>
      <c r="I165" s="1">
        <v>2</v>
      </c>
      <c r="J165" s="1">
        <v>0</v>
      </c>
      <c r="L165" t="str">
        <f t="shared" si="2"/>
        <v>(NULL,"3","2","1","PE 122","Rhythmic Activities (Dance)","3","2","0"),</v>
      </c>
      <c r="M165" t="str">
        <f>TextJoin(tblCourseSubjs[[#This Row],[CourseID]:[LabHrs]],"Value")</f>
        <v>"3","2","1","PE 122","Rhythmic Activities (Dance)","3","2","0"</v>
      </c>
    </row>
    <row r="166" spans="2:13" x14ac:dyDescent="0.25">
      <c r="B166">
        <v>164</v>
      </c>
      <c r="C166">
        <v>3</v>
      </c>
      <c r="D166">
        <v>2</v>
      </c>
      <c r="E166">
        <v>1</v>
      </c>
      <c r="F166" s="6" t="s">
        <v>530</v>
      </c>
      <c r="G166" s="7" t="s">
        <v>612</v>
      </c>
      <c r="H166">
        <v>3</v>
      </c>
      <c r="I166" s="1">
        <v>3</v>
      </c>
      <c r="J166" s="1">
        <v>0</v>
      </c>
      <c r="L166" t="str">
        <f t="shared" si="2"/>
        <v>(NULL,"3","2","1","NSTP 2","Cwts 2","3","3","0"),</v>
      </c>
      <c r="M166" t="str">
        <f>TextJoin(tblCourseSubjs[[#This Row],[CourseID]:[LabHrs]],"Value")</f>
        <v>"3","2","1","NSTP 2","Cwts 2","3","3","0"</v>
      </c>
    </row>
    <row r="167" spans="2:13" x14ac:dyDescent="0.25">
      <c r="B167">
        <v>165</v>
      </c>
      <c r="C167">
        <v>3</v>
      </c>
      <c r="D167">
        <v>1</v>
      </c>
      <c r="E167">
        <v>2</v>
      </c>
      <c r="F167" s="6" t="s">
        <v>531</v>
      </c>
      <c r="G167" s="6" t="s">
        <v>613</v>
      </c>
      <c r="H167">
        <v>3</v>
      </c>
      <c r="I167" s="1">
        <v>3</v>
      </c>
      <c r="J167" s="1">
        <v>0</v>
      </c>
      <c r="L167" t="str">
        <f t="shared" si="2"/>
        <v>(NULL,"3","1","2","RIZ 211","Rizal'S Life, Works And Writing","3","3","0"),</v>
      </c>
      <c r="M167" t="str">
        <f>TextJoin(tblCourseSubjs[[#This Row],[CourseID]:[LabHrs]],"Value")</f>
        <v>"3","1","2","RIZ 211","Rizal'S Life, Works And Writing","3","3","0"</v>
      </c>
    </row>
    <row r="168" spans="2:13" x14ac:dyDescent="0.25">
      <c r="B168">
        <v>166</v>
      </c>
      <c r="C168">
        <v>3</v>
      </c>
      <c r="D168">
        <v>1</v>
      </c>
      <c r="E168">
        <v>2</v>
      </c>
      <c r="F168" s="6" t="s">
        <v>532</v>
      </c>
      <c r="G168" s="6" t="s">
        <v>614</v>
      </c>
      <c r="H168">
        <v>3</v>
      </c>
      <c r="I168" s="1">
        <v>3</v>
      </c>
      <c r="J168" s="1">
        <v>0</v>
      </c>
      <c r="L168" t="str">
        <f t="shared" si="2"/>
        <v>(NULL,"3","1","2","GE 217","The Contemporary World ","3","3","0"),</v>
      </c>
      <c r="M168" t="str">
        <f>TextJoin(tblCourseSubjs[[#This Row],[CourseID]:[LabHrs]],"Value")</f>
        <v>"3","1","2","GE 217","The Contemporary World ","3","3","0"</v>
      </c>
    </row>
    <row r="169" spans="2:13" x14ac:dyDescent="0.25">
      <c r="B169">
        <v>167</v>
      </c>
      <c r="C169">
        <v>3</v>
      </c>
      <c r="D169">
        <v>1</v>
      </c>
      <c r="E169">
        <v>2</v>
      </c>
      <c r="F169" s="6" t="s">
        <v>533</v>
      </c>
      <c r="G169" s="6" t="s">
        <v>615</v>
      </c>
      <c r="H169">
        <v>3</v>
      </c>
      <c r="I169" s="1">
        <v>3</v>
      </c>
      <c r="J169" s="1">
        <v>0</v>
      </c>
      <c r="L169" t="str">
        <f t="shared" si="2"/>
        <v>(NULL,"3","1","2","GE 218","Ethics","3","3","0"),</v>
      </c>
      <c r="M169" t="str">
        <f>TextJoin(tblCourseSubjs[[#This Row],[CourseID]:[LabHrs]],"Value")</f>
        <v>"3","1","2","GE 218","Ethics","3","3","0"</v>
      </c>
    </row>
    <row r="170" spans="2:13" x14ac:dyDescent="0.25">
      <c r="B170">
        <v>168</v>
      </c>
      <c r="C170">
        <v>3</v>
      </c>
      <c r="D170">
        <v>1</v>
      </c>
      <c r="E170">
        <v>2</v>
      </c>
      <c r="F170" s="6" t="s">
        <v>534</v>
      </c>
      <c r="G170" s="7" t="s">
        <v>616</v>
      </c>
      <c r="H170">
        <v>3</v>
      </c>
      <c r="I170" s="1">
        <v>3</v>
      </c>
      <c r="J170" s="1">
        <v>0</v>
      </c>
      <c r="L170" t="str">
        <f t="shared" si="2"/>
        <v>(NULL,"3","1","2","MAT 214","Differential Equations","3","3","0"),</v>
      </c>
      <c r="M170" t="str">
        <f>TextJoin(tblCourseSubjs[[#This Row],[CourseID]:[LabHrs]],"Value")</f>
        <v>"3","1","2","MAT 214","Differential Equations","3","3","0"</v>
      </c>
    </row>
    <row r="171" spans="2:13" x14ac:dyDescent="0.25">
      <c r="B171">
        <v>169</v>
      </c>
      <c r="C171">
        <v>3</v>
      </c>
      <c r="D171">
        <v>1</v>
      </c>
      <c r="E171">
        <v>2</v>
      </c>
      <c r="F171" s="6" t="s">
        <v>535</v>
      </c>
      <c r="G171" s="7" t="s">
        <v>617</v>
      </c>
      <c r="H171">
        <v>3</v>
      </c>
      <c r="I171" s="1">
        <v>3</v>
      </c>
      <c r="J171" s="1">
        <v>0</v>
      </c>
      <c r="L171" t="str">
        <f t="shared" si="2"/>
        <v>(NULL,"3","1","2","CPE 212","Engineering Data Analysis","3","3","0"),</v>
      </c>
      <c r="M171" t="str">
        <f>TextJoin(tblCourseSubjs[[#This Row],[CourseID]:[LabHrs]],"Value")</f>
        <v>"3","1","2","CPE 212","Engineering Data Analysis","3","3","0"</v>
      </c>
    </row>
    <row r="172" spans="2:13" x14ac:dyDescent="0.25">
      <c r="B172">
        <v>170</v>
      </c>
      <c r="C172">
        <v>3</v>
      </c>
      <c r="D172">
        <v>1</v>
      </c>
      <c r="E172">
        <v>2</v>
      </c>
      <c r="F172" s="6" t="s">
        <v>536</v>
      </c>
      <c r="G172" s="7" t="s">
        <v>618</v>
      </c>
      <c r="H172">
        <v>2</v>
      </c>
      <c r="I172" s="1">
        <v>0</v>
      </c>
      <c r="J172" s="1">
        <v>2</v>
      </c>
      <c r="L172" t="str">
        <f t="shared" si="2"/>
        <v>(NULL,"3","1","2","IT 213","Data Structures &amp; Algorithms","2","0","2"),</v>
      </c>
      <c r="M172" t="str">
        <f>TextJoin(tblCourseSubjs[[#This Row],[CourseID]:[LabHrs]],"Value")</f>
        <v>"3","1","2","IT 213","Data Structures &amp; Algorithms","2","0","2"</v>
      </c>
    </row>
    <row r="173" spans="2:13" x14ac:dyDescent="0.25">
      <c r="B173">
        <v>171</v>
      </c>
      <c r="C173">
        <v>3</v>
      </c>
      <c r="D173">
        <v>1</v>
      </c>
      <c r="E173">
        <v>2</v>
      </c>
      <c r="F173" s="6" t="s">
        <v>537</v>
      </c>
      <c r="G173" s="8" t="s">
        <v>619</v>
      </c>
      <c r="H173">
        <v>4</v>
      </c>
      <c r="I173" s="1">
        <v>3</v>
      </c>
      <c r="J173" s="1">
        <v>1</v>
      </c>
      <c r="L173" t="str">
        <f t="shared" si="2"/>
        <v>(NULL,"3","1","2","TECH 211","Fundamentals Of Electrical Circuit","4","3","1"),</v>
      </c>
      <c r="M173" t="str">
        <f>TextJoin(tblCourseSubjs[[#This Row],[CourseID]:[LabHrs]],"Value")</f>
        <v>"3","1","2","TECH 211","Fundamentals Of Electrical Circuit","4","3","1"</v>
      </c>
    </row>
    <row r="174" spans="2:13" x14ac:dyDescent="0.25">
      <c r="B174">
        <v>172</v>
      </c>
      <c r="C174">
        <v>3</v>
      </c>
      <c r="D174">
        <v>1</v>
      </c>
      <c r="E174">
        <v>2</v>
      </c>
      <c r="F174" s="6" t="s">
        <v>538</v>
      </c>
      <c r="G174" s="8" t="s">
        <v>299</v>
      </c>
      <c r="H174">
        <v>1</v>
      </c>
      <c r="I174" s="1">
        <v>0</v>
      </c>
      <c r="J174" s="1">
        <v>1</v>
      </c>
      <c r="L174" t="str">
        <f t="shared" si="2"/>
        <v>(NULL,"3","1","2","DFT 211","Computer Aided Drafting","1","0","1"),</v>
      </c>
      <c r="M174" t="str">
        <f>TextJoin(tblCourseSubjs[[#This Row],[CourseID]:[LabHrs]],"Value")</f>
        <v>"3","1","2","DFT 211","Computer Aided Drafting","1","0","1"</v>
      </c>
    </row>
    <row r="175" spans="2:13" x14ac:dyDescent="0.25">
      <c r="B175">
        <v>173</v>
      </c>
      <c r="C175">
        <v>3</v>
      </c>
      <c r="D175">
        <v>1</v>
      </c>
      <c r="E175">
        <v>2</v>
      </c>
      <c r="F175" s="6" t="s">
        <v>539</v>
      </c>
      <c r="G175" s="7" t="s">
        <v>620</v>
      </c>
      <c r="H175">
        <v>3</v>
      </c>
      <c r="I175" s="1">
        <v>3</v>
      </c>
      <c r="J175" s="1">
        <v>0</v>
      </c>
      <c r="L175" t="str">
        <f t="shared" si="2"/>
        <v>(NULL,"3","1","2","CPE 213","Engineering Economics","3","3","0"),</v>
      </c>
      <c r="M175" t="str">
        <f>TextJoin(tblCourseSubjs[[#This Row],[CourseID]:[LabHrs]],"Value")</f>
        <v>"3","1","2","CPE 213","Engineering Economics","3","3","0"</v>
      </c>
    </row>
    <row r="176" spans="2:13" x14ac:dyDescent="0.25">
      <c r="B176">
        <v>174</v>
      </c>
      <c r="C176">
        <v>3</v>
      </c>
      <c r="D176">
        <v>1</v>
      </c>
      <c r="E176">
        <v>2</v>
      </c>
      <c r="F176" s="6" t="s">
        <v>459</v>
      </c>
      <c r="G176" s="7" t="s">
        <v>621</v>
      </c>
      <c r="H176">
        <v>2</v>
      </c>
      <c r="I176" s="1">
        <v>2</v>
      </c>
      <c r="J176" s="1">
        <v>0</v>
      </c>
      <c r="L176" t="str">
        <f t="shared" si="2"/>
        <v>(NULL,"3","1","2","PE 213","Specialized Atheletic","2","2","0"),</v>
      </c>
      <c r="M176" t="str">
        <f>TextJoin(tblCourseSubjs[[#This Row],[CourseID]:[LabHrs]],"Value")</f>
        <v>"3","1","2","PE 213","Specialized Atheletic","2","2","0"</v>
      </c>
    </row>
    <row r="177" spans="2:13" x14ac:dyDescent="0.25">
      <c r="B177">
        <v>175</v>
      </c>
      <c r="C177">
        <v>3</v>
      </c>
      <c r="D177">
        <v>2</v>
      </c>
      <c r="E177">
        <v>2</v>
      </c>
      <c r="F177" s="6" t="s">
        <v>540</v>
      </c>
      <c r="G177" s="6" t="s">
        <v>622</v>
      </c>
      <c r="H177">
        <v>3</v>
      </c>
      <c r="I177" s="1">
        <v>3</v>
      </c>
      <c r="J177" s="1">
        <v>0</v>
      </c>
      <c r="L177" t="str">
        <f t="shared" si="2"/>
        <v>(NULL,"3","2","2","IT 224","Operating Systems","3","3","0"),</v>
      </c>
      <c r="M177" t="str">
        <f>TextJoin(tblCourseSubjs[[#This Row],[CourseID]:[LabHrs]],"Value")</f>
        <v>"3","2","2","IT 224","Operating Systems","3","3","0"</v>
      </c>
    </row>
    <row r="178" spans="2:13" x14ac:dyDescent="0.25">
      <c r="B178">
        <v>176</v>
      </c>
      <c r="C178">
        <v>3</v>
      </c>
      <c r="D178">
        <v>2</v>
      </c>
      <c r="E178">
        <v>2</v>
      </c>
      <c r="F178" s="6" t="s">
        <v>541</v>
      </c>
      <c r="G178" s="6" t="s">
        <v>623</v>
      </c>
      <c r="H178">
        <v>3</v>
      </c>
      <c r="I178" s="1">
        <v>3</v>
      </c>
      <c r="J178" s="1">
        <v>0</v>
      </c>
      <c r="L178" t="str">
        <f t="shared" si="2"/>
        <v>(NULL,"3","2","2","MAT 225","Numerical Methods","3","3","0"),</v>
      </c>
      <c r="M178" t="str">
        <f>TextJoin(tblCourseSubjs[[#This Row],[CourseID]:[LabHrs]],"Value")</f>
        <v>"3","2","2","MAT 225","Numerical Methods","3","3","0"</v>
      </c>
    </row>
    <row r="179" spans="2:13" x14ac:dyDescent="0.25">
      <c r="B179">
        <v>177</v>
      </c>
      <c r="C179">
        <v>3</v>
      </c>
      <c r="D179">
        <v>2</v>
      </c>
      <c r="E179">
        <v>2</v>
      </c>
      <c r="F179" s="6" t="s">
        <v>460</v>
      </c>
      <c r="G179" s="6" t="s">
        <v>624</v>
      </c>
      <c r="H179">
        <v>4</v>
      </c>
      <c r="I179" s="1">
        <v>3</v>
      </c>
      <c r="J179" s="1">
        <v>1</v>
      </c>
      <c r="L179" t="str">
        <f t="shared" si="2"/>
        <v>(NULL,"3","2","2","IT 225","Software Design","4","3","1"),</v>
      </c>
      <c r="M179" t="str">
        <f>TextJoin(tblCourseSubjs[[#This Row],[CourseID]:[LabHrs]],"Value")</f>
        <v>"3","2","2","IT 225","Software Design","4","3","1"</v>
      </c>
    </row>
    <row r="180" spans="2:13" x14ac:dyDescent="0.25">
      <c r="B180">
        <v>178</v>
      </c>
      <c r="C180">
        <v>3</v>
      </c>
      <c r="D180">
        <v>2</v>
      </c>
      <c r="E180">
        <v>2</v>
      </c>
      <c r="F180" s="6" t="s">
        <v>542</v>
      </c>
      <c r="G180" s="7" t="s">
        <v>625</v>
      </c>
      <c r="H180">
        <v>4</v>
      </c>
      <c r="I180" s="1">
        <v>3</v>
      </c>
      <c r="J180" s="1">
        <v>1</v>
      </c>
      <c r="L180" t="str">
        <f t="shared" si="2"/>
        <v>(NULL,"3","2","2","TECH 222","Fundamentals Of Electronic Circuits","4","3","1"),</v>
      </c>
      <c r="M180" t="str">
        <f>TextJoin(tblCourseSubjs[[#This Row],[CourseID]:[LabHrs]],"Value")</f>
        <v>"3","2","2","TECH 222","Fundamentals Of Electronic Circuits","4","3","1"</v>
      </c>
    </row>
    <row r="181" spans="2:13" x14ac:dyDescent="0.25">
      <c r="B181">
        <v>179</v>
      </c>
      <c r="C181">
        <v>3</v>
      </c>
      <c r="D181">
        <v>2</v>
      </c>
      <c r="E181">
        <v>2</v>
      </c>
      <c r="F181" s="6" t="s">
        <v>527</v>
      </c>
      <c r="G181" s="7" t="s">
        <v>608</v>
      </c>
      <c r="H181">
        <v>3</v>
      </c>
      <c r="I181" s="1">
        <v>3</v>
      </c>
      <c r="J181" s="1">
        <v>0</v>
      </c>
      <c r="L181" t="str">
        <f t="shared" si="2"/>
        <v>(NULL,"3","2","2","GE 126","Arts Appreciation","3","3","0"),</v>
      </c>
      <c r="M181" t="str">
        <f>TextJoin(tblCourseSubjs[[#This Row],[CourseID]:[LabHrs]],"Value")</f>
        <v>"3","2","2","GE 126","Arts Appreciation","3","3","0"</v>
      </c>
    </row>
    <row r="182" spans="2:13" x14ac:dyDescent="0.25">
      <c r="B182">
        <v>180</v>
      </c>
      <c r="C182">
        <v>3</v>
      </c>
      <c r="D182">
        <v>2</v>
      </c>
      <c r="E182">
        <v>2</v>
      </c>
      <c r="F182" s="6" t="s">
        <v>543</v>
      </c>
      <c r="G182" s="7" t="s">
        <v>626</v>
      </c>
      <c r="H182">
        <v>1</v>
      </c>
      <c r="I182" s="1">
        <v>0</v>
      </c>
      <c r="J182" s="1">
        <v>1</v>
      </c>
      <c r="L182" t="str">
        <f t="shared" si="2"/>
        <v>(NULL,"3","2","2","DFT 222","Computer Eng'G Drafting &amp; Design","1","0","1"),</v>
      </c>
      <c r="M182" t="str">
        <f>TextJoin(tblCourseSubjs[[#This Row],[CourseID]:[LabHrs]],"Value")</f>
        <v>"3","2","2","DFT 222","Computer Eng'G Drafting &amp; Design","1","0","1"</v>
      </c>
    </row>
    <row r="183" spans="2:13" x14ac:dyDescent="0.25">
      <c r="B183">
        <v>181</v>
      </c>
      <c r="C183">
        <v>3</v>
      </c>
      <c r="D183">
        <v>2</v>
      </c>
      <c r="E183">
        <v>2</v>
      </c>
      <c r="F183" s="6" t="s">
        <v>474</v>
      </c>
      <c r="G183" s="7" t="s">
        <v>335</v>
      </c>
      <c r="H183">
        <v>2</v>
      </c>
      <c r="I183" s="1">
        <v>2</v>
      </c>
      <c r="J183" s="1">
        <v>0</v>
      </c>
      <c r="L183" t="str">
        <f t="shared" si="2"/>
        <v>(NULL,"3","2","2","PE 224","Group Games","2","2","0"),</v>
      </c>
      <c r="M183" t="str">
        <f>TextJoin(tblCourseSubjs[[#This Row],[CourseID]:[LabHrs]],"Value")</f>
        <v>"3","2","2","PE 224","Group Games","2","2","0"</v>
      </c>
    </row>
    <row r="184" spans="2:13" x14ac:dyDescent="0.25">
      <c r="B184">
        <v>182</v>
      </c>
      <c r="C184">
        <v>3</v>
      </c>
      <c r="D184">
        <v>2</v>
      </c>
      <c r="E184">
        <v>2</v>
      </c>
      <c r="F184" s="6" t="s">
        <v>544</v>
      </c>
      <c r="G184" s="7" t="s">
        <v>359</v>
      </c>
      <c r="H184">
        <v>3</v>
      </c>
      <c r="I184" s="1">
        <v>3</v>
      </c>
      <c r="J184" s="1">
        <v>0</v>
      </c>
      <c r="L184" t="str">
        <f t="shared" si="2"/>
        <v>(NULL,"3","2","2","CIS 01","CISCO 1","3","3","0"),</v>
      </c>
      <c r="M184" t="str">
        <f>TextJoin(tblCourseSubjs[[#This Row],[CourseID]:[LabHrs]],"Value")</f>
        <v>"3","2","2","CIS 01","CISCO 1","3","3","0"</v>
      </c>
    </row>
    <row r="185" spans="2:13" x14ac:dyDescent="0.25">
      <c r="B185">
        <v>183</v>
      </c>
      <c r="C185">
        <v>3</v>
      </c>
      <c r="D185">
        <v>1</v>
      </c>
      <c r="E185">
        <v>3</v>
      </c>
      <c r="F185" s="6" t="s">
        <v>533</v>
      </c>
      <c r="G185" s="6" t="s">
        <v>615</v>
      </c>
      <c r="H185">
        <v>3</v>
      </c>
      <c r="I185" s="1">
        <v>3</v>
      </c>
      <c r="J185" s="1">
        <v>0</v>
      </c>
      <c r="L185" t="str">
        <f t="shared" si="2"/>
        <v>(NULL,"3","1","3","GE 218","Ethics","3","3","0"),</v>
      </c>
      <c r="M185" t="str">
        <f>TextJoin(tblCourseSubjs[[#This Row],[CourseID]:[LabHrs]],"Value")</f>
        <v>"3","1","3","GE 218","Ethics","3","3","0"</v>
      </c>
    </row>
    <row r="186" spans="2:13" x14ac:dyDescent="0.25">
      <c r="B186">
        <v>184</v>
      </c>
      <c r="C186">
        <v>3</v>
      </c>
      <c r="D186">
        <v>1</v>
      </c>
      <c r="E186">
        <v>3</v>
      </c>
      <c r="F186" s="6" t="s">
        <v>545</v>
      </c>
      <c r="G186" s="6" t="s">
        <v>627</v>
      </c>
      <c r="H186">
        <v>4</v>
      </c>
      <c r="I186" s="1">
        <v>3</v>
      </c>
      <c r="J186" s="1">
        <v>1</v>
      </c>
      <c r="L186" t="str">
        <f t="shared" si="2"/>
        <v>(NULL,"3","1","3","TECH 313","Logic Circuit And Design","4","3","1"),</v>
      </c>
      <c r="M186" t="str">
        <f>TextJoin(tblCourseSubjs[[#This Row],[CourseID]:[LabHrs]],"Value")</f>
        <v>"3","1","3","TECH 313","Logic Circuit And Design","4","3","1"</v>
      </c>
    </row>
    <row r="187" spans="2:13" x14ac:dyDescent="0.25">
      <c r="B187">
        <v>185</v>
      </c>
      <c r="C187">
        <v>3</v>
      </c>
      <c r="D187">
        <v>1</v>
      </c>
      <c r="E187">
        <v>3</v>
      </c>
      <c r="F187" s="6" t="s">
        <v>546</v>
      </c>
      <c r="G187" s="6" t="s">
        <v>628</v>
      </c>
      <c r="H187">
        <v>3</v>
      </c>
      <c r="I187" s="1">
        <v>3</v>
      </c>
      <c r="J187" s="1">
        <v>0</v>
      </c>
      <c r="L187" t="str">
        <f t="shared" si="2"/>
        <v>(NULL,"3","1","3","GEE 311","Human Behavior In Organization","3","3","0"),</v>
      </c>
      <c r="M187" t="str">
        <f>TextJoin(tblCourseSubjs[[#This Row],[CourseID]:[LabHrs]],"Value")</f>
        <v>"3","1","3","GEE 311","Human Behavior In Organization","3","3","0"</v>
      </c>
    </row>
    <row r="188" spans="2:13" x14ac:dyDescent="0.25">
      <c r="B188">
        <v>186</v>
      </c>
      <c r="C188">
        <v>3</v>
      </c>
      <c r="D188">
        <v>1</v>
      </c>
      <c r="E188">
        <v>3</v>
      </c>
      <c r="F188" s="6" t="s">
        <v>547</v>
      </c>
      <c r="G188" s="7" t="s">
        <v>629</v>
      </c>
      <c r="H188">
        <v>3</v>
      </c>
      <c r="I188" s="1">
        <v>3</v>
      </c>
      <c r="J188" s="1">
        <v>0</v>
      </c>
      <c r="L188" t="str">
        <f t="shared" si="2"/>
        <v>(NULL,"3","1","3","DDC 311","Data &amp; Digital Communications","3","3","0"),</v>
      </c>
      <c r="M188" t="str">
        <f>TextJoin(tblCourseSubjs[[#This Row],[CourseID]:[LabHrs]],"Value")</f>
        <v>"3","1","3","DDC 311","Data &amp; Digital Communications","3","3","0"</v>
      </c>
    </row>
    <row r="189" spans="2:13" x14ac:dyDescent="0.25">
      <c r="B189">
        <v>187</v>
      </c>
      <c r="C189">
        <v>3</v>
      </c>
      <c r="D189">
        <v>1</v>
      </c>
      <c r="E189">
        <v>3</v>
      </c>
      <c r="F189" s="6" t="s">
        <v>548</v>
      </c>
      <c r="G189" s="7" t="s">
        <v>630</v>
      </c>
      <c r="H189">
        <v>1</v>
      </c>
      <c r="I189" s="1">
        <v>0</v>
      </c>
      <c r="J189" s="1">
        <v>1</v>
      </c>
      <c r="L189" t="str">
        <f t="shared" si="2"/>
        <v>(NULL,"3","1","3","HDL 311","Introduction To Hdl ","1","0","1"),</v>
      </c>
      <c r="M189" t="str">
        <f>TextJoin(tblCourseSubjs[[#This Row],[CourseID]:[LabHrs]],"Value")</f>
        <v>"3","1","3","HDL 311","Introduction To Hdl ","1","0","1"</v>
      </c>
    </row>
    <row r="190" spans="2:13" x14ac:dyDescent="0.25">
      <c r="B190">
        <v>188</v>
      </c>
      <c r="C190">
        <v>3</v>
      </c>
      <c r="D190">
        <v>1</v>
      </c>
      <c r="E190">
        <v>3</v>
      </c>
      <c r="F190" s="6" t="s">
        <v>549</v>
      </c>
      <c r="G190" s="7" t="s">
        <v>631</v>
      </c>
      <c r="H190">
        <v>3</v>
      </c>
      <c r="I190" s="1">
        <v>3</v>
      </c>
      <c r="J190" s="1">
        <v>0</v>
      </c>
      <c r="L190" t="str">
        <f t="shared" si="2"/>
        <v>(NULL,"3","1","3","FCS 311","Feedback &amp; Control Systems","3","3","0"),</v>
      </c>
      <c r="M190" t="str">
        <f>TextJoin(tblCourseSubjs[[#This Row],[CourseID]:[LabHrs]],"Value")</f>
        <v>"3","1","3","FCS 311","Feedback &amp; Control Systems","3","3","0"</v>
      </c>
    </row>
    <row r="191" spans="2:13" x14ac:dyDescent="0.25">
      <c r="B191">
        <v>189</v>
      </c>
      <c r="C191">
        <v>3</v>
      </c>
      <c r="D191">
        <v>1</v>
      </c>
      <c r="E191">
        <v>3</v>
      </c>
      <c r="F191" s="6" t="s">
        <v>550</v>
      </c>
      <c r="G191" s="7" t="s">
        <v>632</v>
      </c>
      <c r="H191">
        <v>3</v>
      </c>
      <c r="I191" s="1">
        <v>3</v>
      </c>
      <c r="J191" s="1">
        <v>0</v>
      </c>
      <c r="L191" t="str">
        <f t="shared" si="2"/>
        <v>(NULL,"3","1","3","MSS 311","Fundamentals Of Mixed Signals &amp; Sensors","3","3","0"),</v>
      </c>
      <c r="M191" t="str">
        <f>TextJoin(tblCourseSubjs[[#This Row],[CourseID]:[LabHrs]],"Value")</f>
        <v>"3","1","3","MSS 311","Fundamentals Of Mixed Signals &amp; Sensors","3","3","0"</v>
      </c>
    </row>
    <row r="192" spans="2:13" x14ac:dyDescent="0.25">
      <c r="B192">
        <v>190</v>
      </c>
      <c r="C192">
        <v>3</v>
      </c>
      <c r="D192">
        <v>1</v>
      </c>
      <c r="E192">
        <v>3</v>
      </c>
      <c r="F192" s="6" t="s">
        <v>551</v>
      </c>
      <c r="G192" s="7" t="s">
        <v>633</v>
      </c>
      <c r="H192" s="6">
        <v>3</v>
      </c>
      <c r="I192" s="6">
        <v>3</v>
      </c>
      <c r="J192" s="6">
        <v>0</v>
      </c>
      <c r="L192" t="str">
        <f t="shared" si="2"/>
        <v>(NULL,"3","1","3","GEE 312","Retorika","3","3","0"),</v>
      </c>
      <c r="M192" t="str">
        <f>TextJoin(tblCourseSubjs[[#This Row],[CourseID]:[LabHrs]],"Value")</f>
        <v>"3","1","3","GEE 312","Retorika","3","3","0"</v>
      </c>
    </row>
    <row r="193" spans="2:13" x14ac:dyDescent="0.25">
      <c r="B193">
        <v>191</v>
      </c>
      <c r="C193">
        <v>3</v>
      </c>
      <c r="D193">
        <v>1</v>
      </c>
      <c r="E193">
        <v>3</v>
      </c>
      <c r="F193" s="6" t="s">
        <v>552</v>
      </c>
      <c r="G193" s="8" t="s">
        <v>371</v>
      </c>
      <c r="H193" s="6">
        <v>3</v>
      </c>
      <c r="I193" s="6">
        <v>3</v>
      </c>
      <c r="J193" s="6">
        <v>0</v>
      </c>
      <c r="L193" t="str">
        <f t="shared" si="2"/>
        <v>(NULL,"3","1","3","CIS 02","CISCO 2","3","3","0"),</v>
      </c>
      <c r="M193" t="str">
        <f>TextJoin(tblCourseSubjs[[#This Row],[CourseID]:[LabHrs]],"Value")</f>
        <v>"3","1","3","CIS 02","CISCO 2","3","3","0"</v>
      </c>
    </row>
    <row r="194" spans="2:13" x14ac:dyDescent="0.25">
      <c r="B194">
        <v>192</v>
      </c>
      <c r="C194">
        <v>3</v>
      </c>
      <c r="D194">
        <v>2</v>
      </c>
      <c r="E194">
        <v>3</v>
      </c>
      <c r="F194" s="6" t="s">
        <v>553</v>
      </c>
      <c r="G194" s="6" t="s">
        <v>634</v>
      </c>
      <c r="H194" s="6">
        <v>3</v>
      </c>
      <c r="I194" s="6">
        <v>3</v>
      </c>
      <c r="J194" s="6">
        <v>0</v>
      </c>
      <c r="L194" t="str">
        <f t="shared" si="2"/>
        <v>(NULL,"3","2","3","OHS 321","Basic Occupational Health &amp; Safety","3","3","0"),</v>
      </c>
      <c r="M194" t="str">
        <f>TextJoin(tblCourseSubjs[[#This Row],[CourseID]:[LabHrs]],"Value")</f>
        <v>"3","2","3","OHS 321","Basic Occupational Health &amp; Safety","3","3","0"</v>
      </c>
    </row>
    <row r="195" spans="2:13" x14ac:dyDescent="0.25">
      <c r="B195">
        <v>193</v>
      </c>
      <c r="C195">
        <v>3</v>
      </c>
      <c r="D195">
        <v>2</v>
      </c>
      <c r="E195">
        <v>3</v>
      </c>
      <c r="F195" s="6" t="s">
        <v>554</v>
      </c>
      <c r="G195" s="6" t="s">
        <v>635</v>
      </c>
      <c r="H195" s="6">
        <v>4</v>
      </c>
      <c r="I195" s="6">
        <v>3</v>
      </c>
      <c r="J195" s="6">
        <v>3</v>
      </c>
      <c r="L195" t="str">
        <f t="shared" si="2"/>
        <v>(NULL,"3","2","3","IT 326","Computer Networks &amp; Security","4","3","3"),</v>
      </c>
      <c r="M195" t="str">
        <f>TextJoin(tblCourseSubjs[[#This Row],[CourseID]:[LabHrs]],"Value")</f>
        <v>"3","2","3","IT 326","Computer Networks &amp; Security","4","3","3"</v>
      </c>
    </row>
    <row r="196" spans="2:13" x14ac:dyDescent="0.25">
      <c r="B196">
        <v>194</v>
      </c>
      <c r="C196">
        <v>3</v>
      </c>
      <c r="D196">
        <v>2</v>
      </c>
      <c r="E196">
        <v>3</v>
      </c>
      <c r="F196" s="6" t="s">
        <v>555</v>
      </c>
      <c r="G196" s="6" t="s">
        <v>636</v>
      </c>
      <c r="H196" s="6">
        <v>4</v>
      </c>
      <c r="I196" s="6">
        <v>3</v>
      </c>
      <c r="J196" s="6">
        <v>3</v>
      </c>
      <c r="L196" t="str">
        <f t="shared" ref="L196:L259" si="3">"(NULL,"&amp;M196&amp;")"&amp;IF(L197&lt;&gt;"",",",";")</f>
        <v>(NULL,"3","2","3","TECH 324","Microprocessors","4","3","3"),</v>
      </c>
      <c r="M196" t="str">
        <f>TextJoin(tblCourseSubjs[[#This Row],[CourseID]:[LabHrs]],"Value")</f>
        <v>"3","2","3","TECH 324","Microprocessors","4","3","3"</v>
      </c>
    </row>
    <row r="197" spans="2:13" x14ac:dyDescent="0.25">
      <c r="B197">
        <v>195</v>
      </c>
      <c r="C197">
        <v>3</v>
      </c>
      <c r="D197">
        <v>2</v>
      </c>
      <c r="E197">
        <v>3</v>
      </c>
      <c r="F197" s="6" t="s">
        <v>556</v>
      </c>
      <c r="G197" s="7" t="s">
        <v>637</v>
      </c>
      <c r="H197" s="6">
        <v>2</v>
      </c>
      <c r="I197" s="6">
        <v>2</v>
      </c>
      <c r="J197" s="6">
        <v>0</v>
      </c>
      <c r="L197" t="str">
        <f t="shared" si="3"/>
        <v>(NULL,"3","2","3","RES 321","Methods Of Research","2","2","0"),</v>
      </c>
      <c r="M197" t="str">
        <f>TextJoin(tblCourseSubjs[[#This Row],[CourseID]:[LabHrs]],"Value")</f>
        <v>"3","2","3","RES 321","Methods Of Research","2","2","0"</v>
      </c>
    </row>
    <row r="198" spans="2:13" x14ac:dyDescent="0.25">
      <c r="B198">
        <v>196</v>
      </c>
      <c r="C198">
        <v>3</v>
      </c>
      <c r="D198">
        <v>2</v>
      </c>
      <c r="E198">
        <v>3</v>
      </c>
      <c r="F198" s="6" t="s">
        <v>557</v>
      </c>
      <c r="G198" s="7" t="s">
        <v>492</v>
      </c>
      <c r="H198" s="6">
        <v>3</v>
      </c>
      <c r="I198" s="6">
        <v>3</v>
      </c>
      <c r="J198" s="6">
        <v>0</v>
      </c>
      <c r="L198" t="str">
        <f t="shared" si="3"/>
        <v>(NULL,"3","2","3","ENT 321","Technopreneurship","3","3","0"),</v>
      </c>
      <c r="M198" t="str">
        <f>TextJoin(tblCourseSubjs[[#This Row],[CourseID]:[LabHrs]],"Value")</f>
        <v>"3","2","3","ENT 321","Technopreneurship","3","3","0"</v>
      </c>
    </row>
    <row r="199" spans="2:13" x14ac:dyDescent="0.25">
      <c r="B199">
        <v>197</v>
      </c>
      <c r="C199">
        <v>3</v>
      </c>
      <c r="D199">
        <v>2</v>
      </c>
      <c r="E199">
        <v>3</v>
      </c>
      <c r="F199" s="6" t="s">
        <v>366</v>
      </c>
      <c r="G199" s="7" t="s">
        <v>638</v>
      </c>
      <c r="H199" s="6">
        <v>2</v>
      </c>
      <c r="I199" s="6">
        <v>2</v>
      </c>
      <c r="J199" s="6">
        <v>0</v>
      </c>
      <c r="L199" t="str">
        <f t="shared" si="3"/>
        <v>(NULL,"3","2","3","CPE 324","Cpe Laws &amp; Professional Practice","2","2","0"),</v>
      </c>
      <c r="M199" t="str">
        <f>TextJoin(tblCourseSubjs[[#This Row],[CourseID]:[LabHrs]],"Value")</f>
        <v>"3","2","3","CPE 324","Cpe Laws &amp; Professional Practice","2","2","0"</v>
      </c>
    </row>
    <row r="200" spans="2:13" x14ac:dyDescent="0.25">
      <c r="B200">
        <v>198</v>
      </c>
      <c r="C200">
        <v>3</v>
      </c>
      <c r="D200">
        <v>2</v>
      </c>
      <c r="E200">
        <v>3</v>
      </c>
      <c r="F200" s="6" t="s">
        <v>558</v>
      </c>
      <c r="G200" s="7" t="s">
        <v>639</v>
      </c>
      <c r="H200" s="6">
        <v>3</v>
      </c>
      <c r="I200" s="6">
        <v>3</v>
      </c>
      <c r="J200" s="6">
        <v>0</v>
      </c>
      <c r="L200" t="str">
        <f t="shared" si="3"/>
        <v>(NULL,"3","2","3","FEL 321","Software Development 1","3","3","0"),</v>
      </c>
      <c r="M200" t="str">
        <f>TextJoin(tblCourseSubjs[[#This Row],[CourseID]:[LabHrs]],"Value")</f>
        <v>"3","2","3","FEL 321","Software Development 1","3","3","0"</v>
      </c>
    </row>
    <row r="201" spans="2:13" x14ac:dyDescent="0.25">
      <c r="B201">
        <v>199</v>
      </c>
      <c r="C201">
        <v>3</v>
      </c>
      <c r="D201">
        <v>2</v>
      </c>
      <c r="E201">
        <v>3</v>
      </c>
      <c r="F201" s="6" t="s">
        <v>559</v>
      </c>
      <c r="G201" s="7" t="s">
        <v>276</v>
      </c>
      <c r="H201" s="6">
        <v>3</v>
      </c>
      <c r="I201" s="6">
        <v>3</v>
      </c>
      <c r="J201" s="6">
        <v>0</v>
      </c>
      <c r="L201" t="str">
        <f t="shared" si="3"/>
        <v>(NULL,"3","2","3","GEE 323","General Inorganic Chemistry","3","3","0"),</v>
      </c>
      <c r="M201" t="str">
        <f>TextJoin(tblCourseSubjs[[#This Row],[CourseID]:[LabHrs]],"Value")</f>
        <v>"3","2","3","GEE 323","General Inorganic Chemistry","3","3","0"</v>
      </c>
    </row>
    <row r="202" spans="2:13" x14ac:dyDescent="0.25">
      <c r="B202">
        <v>200</v>
      </c>
      <c r="C202">
        <v>3</v>
      </c>
      <c r="D202">
        <v>2</v>
      </c>
      <c r="E202">
        <v>3</v>
      </c>
      <c r="F202" s="6" t="s">
        <v>560</v>
      </c>
      <c r="G202" s="8" t="s">
        <v>415</v>
      </c>
      <c r="H202" s="6">
        <v>3</v>
      </c>
      <c r="I202" s="6">
        <v>3</v>
      </c>
      <c r="J202" s="6">
        <v>0</v>
      </c>
      <c r="L202" t="str">
        <f t="shared" si="3"/>
        <v>(NULL,"3","2","3","CIS 03","CISCO 3","3","3","0"),</v>
      </c>
      <c r="M202" t="str">
        <f>TextJoin(tblCourseSubjs[[#This Row],[CourseID]:[LabHrs]],"Value")</f>
        <v>"3","2","3","CIS 03","CISCO 3","3","3","0"</v>
      </c>
    </row>
    <row r="203" spans="2:13" x14ac:dyDescent="0.25">
      <c r="B203">
        <v>201</v>
      </c>
      <c r="C203">
        <v>3</v>
      </c>
      <c r="D203">
        <v>1</v>
      </c>
      <c r="E203">
        <v>4</v>
      </c>
      <c r="F203" s="6" t="s">
        <v>561</v>
      </c>
      <c r="G203" s="6" t="s">
        <v>641</v>
      </c>
      <c r="H203" s="6">
        <v>4</v>
      </c>
      <c r="I203" s="6">
        <v>3</v>
      </c>
      <c r="J203" s="6">
        <v>3</v>
      </c>
      <c r="L203" t="str">
        <f t="shared" si="3"/>
        <v>(NULL,"3","1","4","EMB 411","Embedded Systems","4","3","3"),</v>
      </c>
      <c r="M203" t="str">
        <f>TextJoin(tblCourseSubjs[[#This Row],[CourseID]:[LabHrs]],"Value")</f>
        <v>"3","1","4","EMB 411","Embedded Systems","4","3","3"</v>
      </c>
    </row>
    <row r="204" spans="2:13" x14ac:dyDescent="0.25">
      <c r="B204">
        <v>202</v>
      </c>
      <c r="C204">
        <v>3</v>
      </c>
      <c r="D204">
        <v>1</v>
      </c>
      <c r="E204">
        <v>4</v>
      </c>
      <c r="F204" s="6" t="s">
        <v>502</v>
      </c>
      <c r="G204" s="6" t="s">
        <v>642</v>
      </c>
      <c r="H204" s="6">
        <v>4</v>
      </c>
      <c r="I204" s="6">
        <v>3</v>
      </c>
      <c r="J204" s="6">
        <v>3</v>
      </c>
      <c r="L204" t="str">
        <f t="shared" si="3"/>
        <v>(NULL,"3","1","4","IT 417","Computer Architecture &amp; Organization","4","3","3"),</v>
      </c>
      <c r="M204" t="str">
        <f>TextJoin(tblCourseSubjs[[#This Row],[CourseID]:[LabHrs]],"Value")</f>
        <v>"3","1","4","IT 417","Computer Architecture &amp; Organization","4","3","3"</v>
      </c>
    </row>
    <row r="205" spans="2:13" x14ac:dyDescent="0.25">
      <c r="B205">
        <v>203</v>
      </c>
      <c r="C205">
        <v>3</v>
      </c>
      <c r="D205">
        <v>1</v>
      </c>
      <c r="E205">
        <v>4</v>
      </c>
      <c r="F205" s="6" t="s">
        <v>380</v>
      </c>
      <c r="G205" s="6" t="s">
        <v>643</v>
      </c>
      <c r="H205" s="6">
        <v>3</v>
      </c>
      <c r="I205" s="6">
        <v>3</v>
      </c>
      <c r="J205" s="6">
        <v>0</v>
      </c>
      <c r="L205" t="str">
        <f t="shared" si="3"/>
        <v>(NULL,"3","1","4","CPE 415","Emerging Technologies In Cpe","3","3","0"),</v>
      </c>
      <c r="M205" t="str">
        <f>TextJoin(tblCourseSubjs[[#This Row],[CourseID]:[LabHrs]],"Value")</f>
        <v>"3","1","4","CPE 415","Emerging Technologies In Cpe","3","3","0"</v>
      </c>
    </row>
    <row r="206" spans="2:13" x14ac:dyDescent="0.25">
      <c r="B206">
        <v>204</v>
      </c>
      <c r="C206">
        <v>3</v>
      </c>
      <c r="D206">
        <v>1</v>
      </c>
      <c r="E206">
        <v>4</v>
      </c>
      <c r="F206" s="6" t="s">
        <v>562</v>
      </c>
      <c r="G206" s="7" t="s">
        <v>381</v>
      </c>
      <c r="H206" s="6">
        <v>4</v>
      </c>
      <c r="I206" s="6">
        <v>3</v>
      </c>
      <c r="J206" s="6">
        <v>3</v>
      </c>
      <c r="L206" t="str">
        <f t="shared" si="3"/>
        <v>(NULL,"3","1","4","DSP 411","Digital Signal Processing","4","3","3"),</v>
      </c>
      <c r="M206" t="str">
        <f>TextJoin(tblCourseSubjs[[#This Row],[CourseID]:[LabHrs]],"Value")</f>
        <v>"3","1","4","DSP 411","Digital Signal Processing","4","3","3"</v>
      </c>
    </row>
    <row r="207" spans="2:13" x14ac:dyDescent="0.25">
      <c r="B207">
        <v>205</v>
      </c>
      <c r="C207">
        <v>3</v>
      </c>
      <c r="D207">
        <v>1</v>
      </c>
      <c r="E207">
        <v>4</v>
      </c>
      <c r="F207" s="6" t="s">
        <v>374</v>
      </c>
      <c r="G207" s="7" t="s">
        <v>644</v>
      </c>
      <c r="H207" s="6">
        <v>1</v>
      </c>
      <c r="I207" s="6">
        <v>0</v>
      </c>
      <c r="J207" s="6">
        <v>3</v>
      </c>
      <c r="L207" t="str">
        <f t="shared" si="3"/>
        <v>(NULL,"3","1","4","CPE 416","Cpe Practice And Design 1","1","0","3"),</v>
      </c>
      <c r="M207" t="str">
        <f>TextJoin(tblCourseSubjs[[#This Row],[CourseID]:[LabHrs]],"Value")</f>
        <v>"3","1","4","CPE 416","Cpe Practice And Design 1","1","0","3"</v>
      </c>
    </row>
    <row r="208" spans="2:13" x14ac:dyDescent="0.25">
      <c r="B208">
        <v>206</v>
      </c>
      <c r="C208">
        <v>3</v>
      </c>
      <c r="D208">
        <v>1</v>
      </c>
      <c r="E208">
        <v>4</v>
      </c>
      <c r="F208" s="6" t="s">
        <v>563</v>
      </c>
      <c r="G208" s="7" t="s">
        <v>645</v>
      </c>
      <c r="H208" s="6">
        <v>3</v>
      </c>
      <c r="I208" s="6">
        <v>3</v>
      </c>
      <c r="J208" s="6">
        <v>0</v>
      </c>
      <c r="L208" t="str">
        <f t="shared" si="3"/>
        <v>(NULL,"3","1","4","FEL 412","Software Development 2","3","3","0"),</v>
      </c>
      <c r="M208" t="str">
        <f>TextJoin(tblCourseSubjs[[#This Row],[CourseID]:[LabHrs]],"Value")</f>
        <v>"3","1","4","FEL 412","Software Development 2","3","3","0"</v>
      </c>
    </row>
    <row r="209" spans="2:13" x14ac:dyDescent="0.25">
      <c r="B209">
        <v>207</v>
      </c>
      <c r="C209">
        <v>3</v>
      </c>
      <c r="D209">
        <v>1</v>
      </c>
      <c r="E209">
        <v>4</v>
      </c>
      <c r="F209" s="6" t="s">
        <v>564</v>
      </c>
      <c r="G209" s="7" t="s">
        <v>508</v>
      </c>
      <c r="H209" s="6">
        <v>3</v>
      </c>
      <c r="I209" s="6">
        <v>3</v>
      </c>
      <c r="J209" s="6">
        <v>0</v>
      </c>
      <c r="L209" t="str">
        <f t="shared" si="3"/>
        <v>(NULL,"3","1","4","CIS 04","CISCO 4","3","3","0"),</v>
      </c>
      <c r="M209" t="str">
        <f>TextJoin(tblCourseSubjs[[#This Row],[CourseID]:[LabHrs]],"Value")</f>
        <v>"3","1","4","CIS 04","CISCO 4","3","3","0"</v>
      </c>
    </row>
    <row r="210" spans="2:13" x14ac:dyDescent="0.25">
      <c r="B210">
        <v>208</v>
      </c>
      <c r="C210">
        <v>3</v>
      </c>
      <c r="D210">
        <v>1</v>
      </c>
      <c r="E210">
        <v>4</v>
      </c>
      <c r="F210" s="6" t="s">
        <v>386</v>
      </c>
      <c r="G210" s="6" t="s">
        <v>646</v>
      </c>
      <c r="H210" s="6">
        <v>2</v>
      </c>
      <c r="I210" s="6">
        <v>0</v>
      </c>
      <c r="J210" s="6">
        <v>6</v>
      </c>
      <c r="L210" t="str">
        <f t="shared" si="3"/>
        <v>(NULL,"3","1","4","CPE 427","Cpe Practice &amp; Design","2","0","6"),</v>
      </c>
      <c r="M210" t="str">
        <f>TextJoin(tblCourseSubjs[[#This Row],[CourseID]:[LabHrs]],"Value")</f>
        <v>"3","1","4","CPE 427","Cpe Practice &amp; Design","2","0","6"</v>
      </c>
    </row>
    <row r="211" spans="2:13" x14ac:dyDescent="0.25">
      <c r="B211">
        <v>209</v>
      </c>
      <c r="C211">
        <v>3</v>
      </c>
      <c r="D211">
        <v>1</v>
      </c>
      <c r="E211">
        <v>4</v>
      </c>
      <c r="F211" s="6" t="s">
        <v>565</v>
      </c>
      <c r="G211" s="6" t="s">
        <v>647</v>
      </c>
      <c r="H211" s="6">
        <v>3</v>
      </c>
      <c r="I211" s="6">
        <v>3</v>
      </c>
      <c r="J211" s="6">
        <v>0</v>
      </c>
      <c r="L211" t="str">
        <f t="shared" si="3"/>
        <v>(NULL,"3","1","4","FEL 423","Software Development 3","3","3","0"),</v>
      </c>
      <c r="M211" t="str">
        <f>TextJoin(tblCourseSubjs[[#This Row],[CourseID]:[LabHrs]],"Value")</f>
        <v>"3","1","4","FEL 423","Software Development 3","3","3","0"</v>
      </c>
    </row>
    <row r="212" spans="2:13" x14ac:dyDescent="0.25">
      <c r="B212">
        <v>210</v>
      </c>
      <c r="C212">
        <v>3</v>
      </c>
      <c r="D212">
        <v>1</v>
      </c>
      <c r="E212">
        <v>4</v>
      </c>
      <c r="F212" s="6" t="s">
        <v>566</v>
      </c>
      <c r="G212" s="6" t="s">
        <v>648</v>
      </c>
      <c r="H212" s="6">
        <v>1</v>
      </c>
      <c r="I212" s="6">
        <v>0</v>
      </c>
      <c r="J212" s="6">
        <v>3</v>
      </c>
      <c r="L212" t="str">
        <f t="shared" si="3"/>
        <v>(NULL,"3","1","4","SF 421","Seminars &amp; Fieldtrip","1","0","3"),</v>
      </c>
      <c r="M212" t="str">
        <f>TextJoin(tblCourseSubjs[[#This Row],[CourseID]:[LabHrs]],"Value")</f>
        <v>"3","1","4","SF 421","Seminars &amp; Fieldtrip","1","0","3"</v>
      </c>
    </row>
    <row r="213" spans="2:13" x14ac:dyDescent="0.25">
      <c r="B213">
        <v>211</v>
      </c>
      <c r="C213">
        <v>3</v>
      </c>
      <c r="D213">
        <v>3</v>
      </c>
      <c r="E213">
        <v>4</v>
      </c>
      <c r="F213" s="6"/>
      <c r="G213" s="7" t="s">
        <v>830</v>
      </c>
      <c r="H213" s="6">
        <v>3</v>
      </c>
      <c r="I213" s="6">
        <v>0</v>
      </c>
      <c r="J213" s="6">
        <v>240</v>
      </c>
      <c r="L213" t="str">
        <f t="shared" si="3"/>
        <v>(NULL,"3","3","4","","OJT","3","0","240"),</v>
      </c>
      <c r="M213" t="str">
        <f>TextJoin(tblCourseSubjs[[#This Row],[CourseID]:[LabHrs]],"Value")</f>
        <v>"3","3","4","","OJT","3","0","240"</v>
      </c>
    </row>
    <row r="214" spans="2:13" ht="15.75" x14ac:dyDescent="0.25">
      <c r="B214">
        <v>212</v>
      </c>
      <c r="C214">
        <v>4</v>
      </c>
      <c r="D214">
        <v>1</v>
      </c>
      <c r="E214">
        <v>1</v>
      </c>
      <c r="F214" s="6" t="s">
        <v>521</v>
      </c>
      <c r="G214" s="9" t="s">
        <v>649</v>
      </c>
      <c r="H214" s="6">
        <v>3</v>
      </c>
      <c r="I214" s="6">
        <v>3</v>
      </c>
      <c r="J214" s="6">
        <v>0</v>
      </c>
      <c r="L214" t="str">
        <f t="shared" si="3"/>
        <v>(NULL,"4","1","1","GE 111","Understanding The Self","3","3","0"),</v>
      </c>
      <c r="M214" t="str">
        <f>TextJoin(tblCourseSubjs[[#This Row],[CourseID]:[LabHrs]],"Value")</f>
        <v>"4","1","1","GE 111","Understanding The Self","3","3","0"</v>
      </c>
    </row>
    <row r="215" spans="2:13" ht="15.75" x14ac:dyDescent="0.25">
      <c r="B215">
        <v>213</v>
      </c>
      <c r="C215">
        <v>4</v>
      </c>
      <c r="D215">
        <v>1</v>
      </c>
      <c r="E215">
        <v>1</v>
      </c>
      <c r="F215" s="6" t="s">
        <v>522</v>
      </c>
      <c r="G215" s="9" t="s">
        <v>598</v>
      </c>
      <c r="H215" s="6">
        <v>3</v>
      </c>
      <c r="I215" s="6">
        <v>3</v>
      </c>
      <c r="J215" s="6">
        <v>0</v>
      </c>
      <c r="L215" t="str">
        <f t="shared" si="3"/>
        <v>(NULL,"4","1","1","GE 112","Mathematics In The Modern World","3","3","0"),</v>
      </c>
      <c r="M215" t="str">
        <f>TextJoin(tblCourseSubjs[[#This Row],[CourseID]:[LabHrs]],"Value")</f>
        <v>"4","1","1","GE 112","Mathematics In The Modern World","3","3","0"</v>
      </c>
    </row>
    <row r="216" spans="2:13" ht="15.75" x14ac:dyDescent="0.25">
      <c r="B216">
        <v>214</v>
      </c>
      <c r="C216">
        <v>4</v>
      </c>
      <c r="D216">
        <v>1</v>
      </c>
      <c r="E216">
        <v>1</v>
      </c>
      <c r="F216" s="6" t="s">
        <v>523</v>
      </c>
      <c r="G216" s="9" t="s">
        <v>599</v>
      </c>
      <c r="H216" s="6">
        <v>3</v>
      </c>
      <c r="I216" s="6">
        <v>3</v>
      </c>
      <c r="J216" s="6">
        <v>0</v>
      </c>
      <c r="L216" t="str">
        <f t="shared" si="3"/>
        <v>(NULL,"4","1","1","GE 113","Science, Technology And Society","3","3","0"),</v>
      </c>
      <c r="M216" t="str">
        <f>TextJoin(tblCourseSubjs[[#This Row],[CourseID]:[LabHrs]],"Value")</f>
        <v>"4","1","1","GE 113","Science, Technology And Society","3","3","0"</v>
      </c>
    </row>
    <row r="217" spans="2:13" ht="15.75" x14ac:dyDescent="0.25">
      <c r="B217">
        <v>215</v>
      </c>
      <c r="C217">
        <v>4</v>
      </c>
      <c r="D217">
        <v>1</v>
      </c>
      <c r="E217">
        <v>1</v>
      </c>
      <c r="F217" s="6" t="s">
        <v>431</v>
      </c>
      <c r="G217" s="10" t="s">
        <v>650</v>
      </c>
      <c r="H217" s="6">
        <v>3</v>
      </c>
      <c r="I217" s="6">
        <v>3</v>
      </c>
      <c r="J217" s="6">
        <v>0</v>
      </c>
      <c r="L217" t="str">
        <f t="shared" si="3"/>
        <v>(NULL,"4","1","1","IT 111","Computer Concepts And Fundamentals","3","3","0"),</v>
      </c>
      <c r="M217" t="str">
        <f>TextJoin(tblCourseSubjs[[#This Row],[CourseID]:[LabHrs]],"Value")</f>
        <v>"4","1","1","IT 111","Computer Concepts And Fundamentals","3","3","0"</v>
      </c>
    </row>
    <row r="218" spans="2:13" ht="15.75" x14ac:dyDescent="0.25">
      <c r="B218">
        <v>216</v>
      </c>
      <c r="C218">
        <v>4</v>
      </c>
      <c r="D218">
        <v>1</v>
      </c>
      <c r="E218">
        <v>1</v>
      </c>
      <c r="F218" s="6" t="s">
        <v>567</v>
      </c>
      <c r="G218" s="10" t="s">
        <v>651</v>
      </c>
      <c r="H218" s="6">
        <v>3</v>
      </c>
      <c r="I218" s="6">
        <v>2</v>
      </c>
      <c r="J218" s="6">
        <v>1</v>
      </c>
      <c r="L218" t="str">
        <f t="shared" si="3"/>
        <v>(NULL,"4","1","1","PROG 111","Computer Programming 1 (C++)","3","2","1"),</v>
      </c>
      <c r="M218" t="str">
        <f>TextJoin(tblCourseSubjs[[#This Row],[CourseID]:[LabHrs]],"Value")</f>
        <v>"4","1","1","PROG 111","Computer Programming 1 (C++)","3","2","1"</v>
      </c>
    </row>
    <row r="219" spans="2:13" ht="15.75" x14ac:dyDescent="0.25">
      <c r="B219">
        <v>217</v>
      </c>
      <c r="C219">
        <v>4</v>
      </c>
      <c r="D219">
        <v>1</v>
      </c>
      <c r="E219">
        <v>1</v>
      </c>
      <c r="F219" s="6" t="s">
        <v>568</v>
      </c>
      <c r="G219" s="10" t="s">
        <v>652</v>
      </c>
      <c r="H219" s="6">
        <v>3</v>
      </c>
      <c r="I219" s="6">
        <v>3</v>
      </c>
      <c r="J219" s="6">
        <v>0</v>
      </c>
      <c r="L219" t="str">
        <f t="shared" si="3"/>
        <v>(NULL,"4","1","1","IT 112","Introduction To Computing","3","3","0"),</v>
      </c>
      <c r="M219" t="str">
        <f>TextJoin(tblCourseSubjs[[#This Row],[CourseID]:[LabHrs]],"Value")</f>
        <v>"4","1","1","IT 112","Introduction To Computing","3","3","0"</v>
      </c>
    </row>
    <row r="220" spans="2:13" ht="15.75" x14ac:dyDescent="0.25">
      <c r="B220">
        <v>218</v>
      </c>
      <c r="C220">
        <v>4</v>
      </c>
      <c r="D220">
        <v>1</v>
      </c>
      <c r="E220">
        <v>1</v>
      </c>
      <c r="F220" s="6" t="s">
        <v>437</v>
      </c>
      <c r="G220" s="10" t="s">
        <v>604</v>
      </c>
      <c r="H220" s="6">
        <v>2</v>
      </c>
      <c r="I220" s="6">
        <v>2</v>
      </c>
      <c r="J220" s="6">
        <v>0</v>
      </c>
      <c r="L220" t="str">
        <f t="shared" si="3"/>
        <v>(NULL,"4","1","1","PE 111","Physical Fitness/Gymnastics","2","2","0"),</v>
      </c>
      <c r="M220" t="str">
        <f>TextJoin(tblCourseSubjs[[#This Row],[CourseID]:[LabHrs]],"Value")</f>
        <v>"4","1","1","PE 111","Physical Fitness/Gymnastics","2","2","0"</v>
      </c>
    </row>
    <row r="221" spans="2:13" ht="15.75" x14ac:dyDescent="0.25">
      <c r="B221">
        <v>219</v>
      </c>
      <c r="C221">
        <v>4</v>
      </c>
      <c r="D221">
        <v>1</v>
      </c>
      <c r="E221">
        <v>1</v>
      </c>
      <c r="F221" s="6" t="s">
        <v>524</v>
      </c>
      <c r="G221" s="10" t="s">
        <v>605</v>
      </c>
      <c r="H221" s="6">
        <v>3</v>
      </c>
      <c r="I221" s="6">
        <v>3</v>
      </c>
      <c r="J221" s="6">
        <v>0</v>
      </c>
      <c r="L221" t="str">
        <f t="shared" si="3"/>
        <v>(NULL,"4","1","1","NSTP 1","Cwts 1","3","3","0"),</v>
      </c>
      <c r="M221" t="str">
        <f>TextJoin(tblCourseSubjs[[#This Row],[CourseID]:[LabHrs]],"Value")</f>
        <v>"4","1","1","NSTP 1","Cwts 1","3","3","0"</v>
      </c>
    </row>
    <row r="222" spans="2:13" x14ac:dyDescent="0.25">
      <c r="B222">
        <v>220</v>
      </c>
      <c r="C222">
        <v>4</v>
      </c>
      <c r="D222">
        <v>2</v>
      </c>
      <c r="E222">
        <v>1</v>
      </c>
      <c r="F222" s="6" t="s">
        <v>525</v>
      </c>
      <c r="G222" s="6" t="s">
        <v>606</v>
      </c>
      <c r="H222" s="6">
        <v>3</v>
      </c>
      <c r="I222" s="6">
        <v>3</v>
      </c>
      <c r="J222" s="6">
        <v>0</v>
      </c>
      <c r="L222" t="str">
        <f t="shared" si="3"/>
        <v>(NULL,"4","2","1","GE 124","Purposive Communication","3","3","0"),</v>
      </c>
      <c r="M222" t="str">
        <f>TextJoin(tblCourseSubjs[[#This Row],[CourseID]:[LabHrs]],"Value")</f>
        <v>"4","2","1","GE 124","Purposive Communication","3","3","0"</v>
      </c>
    </row>
    <row r="223" spans="2:13" x14ac:dyDescent="0.25">
      <c r="B223">
        <v>221</v>
      </c>
      <c r="C223">
        <v>4</v>
      </c>
      <c r="D223">
        <v>2</v>
      </c>
      <c r="E223">
        <v>1</v>
      </c>
      <c r="F223" s="6" t="s">
        <v>526</v>
      </c>
      <c r="G223" s="6" t="s">
        <v>607</v>
      </c>
      <c r="H223" s="6">
        <v>3</v>
      </c>
      <c r="I223" s="6">
        <v>3</v>
      </c>
      <c r="J223" s="6">
        <v>0</v>
      </c>
      <c r="L223" t="str">
        <f t="shared" si="3"/>
        <v>(NULL,"4","2","1","GE 125","Readings In The Philippines","3","3","0"),</v>
      </c>
      <c r="M223" t="str">
        <f>TextJoin(tblCourseSubjs[[#This Row],[CourseID]:[LabHrs]],"Value")</f>
        <v>"4","2","1","GE 125","Readings In The Philippines","3","3","0"</v>
      </c>
    </row>
    <row r="224" spans="2:13" x14ac:dyDescent="0.25">
      <c r="B224">
        <v>222</v>
      </c>
      <c r="C224">
        <v>4</v>
      </c>
      <c r="D224">
        <v>2</v>
      </c>
      <c r="E224">
        <v>1</v>
      </c>
      <c r="F224" s="6" t="s">
        <v>527</v>
      </c>
      <c r="G224" s="6" t="s">
        <v>608</v>
      </c>
      <c r="H224" s="6">
        <v>3</v>
      </c>
      <c r="I224" s="6">
        <v>3</v>
      </c>
      <c r="J224" s="6">
        <v>0</v>
      </c>
      <c r="L224" t="str">
        <f t="shared" si="3"/>
        <v>(NULL,"4","2","1","GE 126","Arts Appreciation","3","3","0"),</v>
      </c>
      <c r="M224" t="str">
        <f>TextJoin(tblCourseSubjs[[#This Row],[CourseID]:[LabHrs]],"Value")</f>
        <v>"4","2","1","GE 126","Arts Appreciation","3","3","0"</v>
      </c>
    </row>
    <row r="225" spans="2:13" x14ac:dyDescent="0.25">
      <c r="B225">
        <v>223</v>
      </c>
      <c r="C225">
        <v>4</v>
      </c>
      <c r="D225">
        <v>2</v>
      </c>
      <c r="E225">
        <v>1</v>
      </c>
      <c r="F225" s="6" t="s">
        <v>569</v>
      </c>
      <c r="G225" s="7" t="s">
        <v>653</v>
      </c>
      <c r="H225" s="6">
        <v>3</v>
      </c>
      <c r="I225" s="6">
        <v>2</v>
      </c>
      <c r="J225" s="6">
        <v>1</v>
      </c>
      <c r="L225" t="str">
        <f t="shared" si="3"/>
        <v>(NULL,"4","2","1","PROG 122","Computer Programming 2 (Java)","3","2","1"),</v>
      </c>
      <c r="M225" t="str">
        <f>TextJoin(tblCourseSubjs[[#This Row],[CourseID]:[LabHrs]],"Value")</f>
        <v>"4","2","1","PROG 122","Computer Programming 2 (Java)","3","2","1"</v>
      </c>
    </row>
    <row r="226" spans="2:13" x14ac:dyDescent="0.25">
      <c r="B226">
        <v>224</v>
      </c>
      <c r="C226">
        <v>4</v>
      </c>
      <c r="D226">
        <v>2</v>
      </c>
      <c r="E226">
        <v>1</v>
      </c>
      <c r="F226" s="6" t="s">
        <v>570</v>
      </c>
      <c r="G226" s="7" t="s">
        <v>654</v>
      </c>
      <c r="H226" s="6">
        <v>3</v>
      </c>
      <c r="I226" s="6">
        <v>3</v>
      </c>
      <c r="J226" s="6">
        <v>0</v>
      </c>
      <c r="L226" t="str">
        <f t="shared" si="3"/>
        <v>(NULL,"4","2","1","IT 123","Intro To Human Interaction","3","3","0"),</v>
      </c>
      <c r="M226" t="str">
        <f>TextJoin(tblCourseSubjs[[#This Row],[CourseID]:[LabHrs]],"Value")</f>
        <v>"4","2","1","IT 123","Intro To Human Interaction","3","3","0"</v>
      </c>
    </row>
    <row r="227" spans="2:13" x14ac:dyDescent="0.25">
      <c r="B227">
        <v>225</v>
      </c>
      <c r="C227">
        <v>4</v>
      </c>
      <c r="D227">
        <v>2</v>
      </c>
      <c r="E227">
        <v>1</v>
      </c>
      <c r="F227" s="6" t="s">
        <v>571</v>
      </c>
      <c r="G227" s="7" t="s">
        <v>610</v>
      </c>
      <c r="H227" s="6">
        <v>3</v>
      </c>
      <c r="I227" s="6">
        <v>3</v>
      </c>
      <c r="J227" s="6">
        <v>0</v>
      </c>
      <c r="L227" t="str">
        <f t="shared" si="3"/>
        <v>(NULL,"4","2","1","MAT 121","Discrete Mathematics","3","3","0"),</v>
      </c>
      <c r="M227" t="str">
        <f>TextJoin(tblCourseSubjs[[#This Row],[CourseID]:[LabHrs]],"Value")</f>
        <v>"4","2","1","MAT 121","Discrete Mathematics","3","3","0"</v>
      </c>
    </row>
    <row r="228" spans="2:13" x14ac:dyDescent="0.25">
      <c r="B228">
        <v>226</v>
      </c>
      <c r="C228">
        <v>4</v>
      </c>
      <c r="D228">
        <v>2</v>
      </c>
      <c r="E228">
        <v>1</v>
      </c>
      <c r="F228" s="6" t="s">
        <v>449</v>
      </c>
      <c r="G228" s="7" t="s">
        <v>611</v>
      </c>
      <c r="H228" s="6">
        <v>2</v>
      </c>
      <c r="I228" s="6">
        <v>2</v>
      </c>
      <c r="J228" s="6">
        <v>0</v>
      </c>
      <c r="L228" t="str">
        <f t="shared" si="3"/>
        <v>(NULL,"4","2","1","PE 122","Rhythmic Activities (Dance)","2","2","0"),</v>
      </c>
      <c r="M228" t="str">
        <f>TextJoin(tblCourseSubjs[[#This Row],[CourseID]:[LabHrs]],"Value")</f>
        <v>"4","2","1","PE 122","Rhythmic Activities (Dance)","2","2","0"</v>
      </c>
    </row>
    <row r="229" spans="2:13" x14ac:dyDescent="0.25">
      <c r="B229">
        <v>227</v>
      </c>
      <c r="C229">
        <v>4</v>
      </c>
      <c r="D229">
        <v>2</v>
      </c>
      <c r="E229">
        <v>1</v>
      </c>
      <c r="F229" s="6" t="s">
        <v>530</v>
      </c>
      <c r="G229" s="7" t="s">
        <v>612</v>
      </c>
      <c r="H229" s="6">
        <v>3</v>
      </c>
      <c r="I229" s="6">
        <v>3</v>
      </c>
      <c r="J229" s="6">
        <v>0</v>
      </c>
      <c r="L229" t="str">
        <f t="shared" si="3"/>
        <v>(NULL,"4","2","1","NSTP 2","Cwts 2","3","3","0"),</v>
      </c>
      <c r="M229" t="str">
        <f>TextJoin(tblCourseSubjs[[#This Row],[CourseID]:[LabHrs]],"Value")</f>
        <v>"4","2","1","NSTP 2","Cwts 2","3","3","0"</v>
      </c>
    </row>
    <row r="230" spans="2:13" x14ac:dyDescent="0.25">
      <c r="B230">
        <v>228</v>
      </c>
      <c r="C230">
        <v>4</v>
      </c>
      <c r="D230">
        <v>1</v>
      </c>
      <c r="E230">
        <v>2</v>
      </c>
      <c r="F230" s="6" t="s">
        <v>531</v>
      </c>
      <c r="G230" s="6" t="s">
        <v>613</v>
      </c>
      <c r="H230" s="6">
        <v>3</v>
      </c>
      <c r="I230" s="6">
        <v>3</v>
      </c>
      <c r="J230" s="6">
        <v>0</v>
      </c>
      <c r="L230" t="str">
        <f t="shared" si="3"/>
        <v>(NULL,"4","1","2","RIZ 211","Rizal'S Life, Works And Writing","3","3","0"),</v>
      </c>
      <c r="M230" t="str">
        <f>TextJoin(tblCourseSubjs[[#This Row],[CourseID]:[LabHrs]],"Value")</f>
        <v>"4","1","2","RIZ 211","Rizal'S Life, Works And Writing","3","3","0"</v>
      </c>
    </row>
    <row r="231" spans="2:13" x14ac:dyDescent="0.25">
      <c r="B231">
        <v>229</v>
      </c>
      <c r="C231">
        <v>4</v>
      </c>
      <c r="D231">
        <v>1</v>
      </c>
      <c r="E231">
        <v>2</v>
      </c>
      <c r="F231" s="6" t="s">
        <v>532</v>
      </c>
      <c r="G231" s="6" t="s">
        <v>655</v>
      </c>
      <c r="H231" s="6">
        <v>3</v>
      </c>
      <c r="I231" s="6">
        <v>3</v>
      </c>
      <c r="J231" s="6">
        <v>0</v>
      </c>
      <c r="L231" t="str">
        <f t="shared" si="3"/>
        <v>(NULL,"4","1","2","GE 217","The Contemporary World","3","3","0"),</v>
      </c>
      <c r="M231" t="str">
        <f>TextJoin(tblCourseSubjs[[#This Row],[CourseID]:[LabHrs]],"Value")</f>
        <v>"4","1","2","GE 217","The Contemporary World","3","3","0"</v>
      </c>
    </row>
    <row r="232" spans="2:13" x14ac:dyDescent="0.25">
      <c r="B232">
        <v>230</v>
      </c>
      <c r="C232">
        <v>4</v>
      </c>
      <c r="D232">
        <v>1</v>
      </c>
      <c r="E232">
        <v>2</v>
      </c>
      <c r="F232" s="6" t="s">
        <v>533</v>
      </c>
      <c r="G232" s="6" t="s">
        <v>615</v>
      </c>
      <c r="H232" s="6">
        <v>3</v>
      </c>
      <c r="I232" s="6">
        <v>3</v>
      </c>
      <c r="J232" s="6">
        <v>0</v>
      </c>
      <c r="L232" t="str">
        <f t="shared" si="3"/>
        <v>(NULL,"4","1","2","GE 218","Ethics","3","3","0"),</v>
      </c>
      <c r="M232" t="str">
        <f>TextJoin(tblCourseSubjs[[#This Row],[CourseID]:[LabHrs]],"Value")</f>
        <v>"4","1","2","GE 218","Ethics","3","3","0"</v>
      </c>
    </row>
    <row r="233" spans="2:13" x14ac:dyDescent="0.25">
      <c r="B233">
        <v>231</v>
      </c>
      <c r="C233">
        <v>4</v>
      </c>
      <c r="D233">
        <v>1</v>
      </c>
      <c r="E233">
        <v>2</v>
      </c>
      <c r="F233" s="6" t="s">
        <v>452</v>
      </c>
      <c r="G233" s="7" t="s">
        <v>656</v>
      </c>
      <c r="H233" s="6">
        <v>3</v>
      </c>
      <c r="I233" s="6">
        <v>2</v>
      </c>
      <c r="J233" s="6">
        <v>1</v>
      </c>
      <c r="L233" t="str">
        <f t="shared" si="3"/>
        <v>(NULL,"4","1","2","IT 214","Data Structures And Algorithm","3","2","1"),</v>
      </c>
      <c r="M233" t="str">
        <f>TextJoin(tblCourseSubjs[[#This Row],[CourseID]:[LabHrs]],"Value")</f>
        <v>"4","1","2","IT 214","Data Structures And Algorithm","3","2","1"</v>
      </c>
    </row>
    <row r="234" spans="2:13" x14ac:dyDescent="0.25">
      <c r="B234">
        <v>232</v>
      </c>
      <c r="C234">
        <v>4</v>
      </c>
      <c r="D234">
        <v>1</v>
      </c>
      <c r="E234">
        <v>2</v>
      </c>
      <c r="F234" s="6" t="s">
        <v>572</v>
      </c>
      <c r="G234" s="7" t="s">
        <v>657</v>
      </c>
      <c r="H234" s="6">
        <v>3</v>
      </c>
      <c r="I234" s="6">
        <v>2</v>
      </c>
      <c r="J234" s="6">
        <v>1</v>
      </c>
      <c r="L234" t="str">
        <f t="shared" si="3"/>
        <v>(NULL,"4","1","2","ELE 211","Object Oriented Programming (Vb.Net)","3","2","1"),</v>
      </c>
      <c r="M234" t="str">
        <f>TextJoin(tblCourseSubjs[[#This Row],[CourseID]:[LabHrs]],"Value")</f>
        <v>"4","1","2","ELE 211","Object Oriented Programming (Vb.Net)","3","2","1"</v>
      </c>
    </row>
    <row r="235" spans="2:13" x14ac:dyDescent="0.25">
      <c r="B235">
        <v>233</v>
      </c>
      <c r="C235">
        <v>4</v>
      </c>
      <c r="D235">
        <v>1</v>
      </c>
      <c r="E235">
        <v>2</v>
      </c>
      <c r="F235" s="6" t="s">
        <v>573</v>
      </c>
      <c r="G235" s="7" t="s">
        <v>658</v>
      </c>
      <c r="H235" s="6">
        <v>3</v>
      </c>
      <c r="I235" s="6">
        <v>3</v>
      </c>
      <c r="J235" s="6">
        <v>0</v>
      </c>
      <c r="L235" t="str">
        <f t="shared" si="3"/>
        <v>(NULL,"4","1","2","IT 215","Application Development &amp; Emerging Technologies","3","3","0"),</v>
      </c>
      <c r="M235" t="str">
        <f>TextJoin(tblCourseSubjs[[#This Row],[CourseID]:[LabHrs]],"Value")</f>
        <v>"4","1","2","IT 215","Application Development &amp; Emerging Technologies","3","3","0"</v>
      </c>
    </row>
    <row r="236" spans="2:13" x14ac:dyDescent="0.25">
      <c r="B236">
        <v>234</v>
      </c>
      <c r="C236">
        <v>4</v>
      </c>
      <c r="D236">
        <v>1</v>
      </c>
      <c r="E236">
        <v>2</v>
      </c>
      <c r="F236" s="6" t="s">
        <v>574</v>
      </c>
      <c r="G236" s="7" t="s">
        <v>659</v>
      </c>
      <c r="H236" s="6">
        <v>3</v>
      </c>
      <c r="I236" s="6">
        <v>3</v>
      </c>
      <c r="J236" s="6">
        <v>0</v>
      </c>
      <c r="L236" t="str">
        <f t="shared" si="3"/>
        <v>(NULL,"4","1","2","IAS 211","Information Assurance &amp; Security 1","3","3","0"),</v>
      </c>
      <c r="M236" t="str">
        <f>TextJoin(tblCourseSubjs[[#This Row],[CourseID]:[LabHrs]],"Value")</f>
        <v>"4","1","2","IAS 211","Information Assurance &amp; Security 1","3","3","0"</v>
      </c>
    </row>
    <row r="237" spans="2:13" x14ac:dyDescent="0.25">
      <c r="B237">
        <v>235</v>
      </c>
      <c r="C237">
        <v>4</v>
      </c>
      <c r="D237">
        <v>1</v>
      </c>
      <c r="E237">
        <v>2</v>
      </c>
      <c r="F237" s="6" t="s">
        <v>459</v>
      </c>
      <c r="G237" s="8" t="s">
        <v>660</v>
      </c>
      <c r="H237" s="6">
        <v>3</v>
      </c>
      <c r="I237" s="6">
        <v>2</v>
      </c>
      <c r="J237" s="6">
        <v>0</v>
      </c>
      <c r="L237" t="str">
        <f t="shared" si="3"/>
        <v>(NULL,"4","1","2","PE 213","Specialized Athletic","3","2","0"),</v>
      </c>
      <c r="M237" t="str">
        <f>TextJoin(tblCourseSubjs[[#This Row],[CourseID]:[LabHrs]],"Value")</f>
        <v>"4","1","2","PE 213","Specialized Athletic","3","2","0"</v>
      </c>
    </row>
    <row r="238" spans="2:13" x14ac:dyDescent="0.25">
      <c r="B238">
        <v>236</v>
      </c>
      <c r="C238">
        <v>4</v>
      </c>
      <c r="D238">
        <v>2</v>
      </c>
      <c r="E238">
        <v>2</v>
      </c>
      <c r="F238" s="6" t="s">
        <v>575</v>
      </c>
      <c r="G238" s="6" t="s">
        <v>661</v>
      </c>
      <c r="H238" s="6">
        <v>3</v>
      </c>
      <c r="I238" s="6">
        <v>2</v>
      </c>
      <c r="J238" s="6">
        <v>1</v>
      </c>
      <c r="L238" t="str">
        <f t="shared" si="3"/>
        <v>(NULL,"4","2","2","NET 221","Networking 1","3","2","1"),</v>
      </c>
      <c r="M238" t="str">
        <f>TextJoin(tblCourseSubjs[[#This Row],[CourseID]:[LabHrs]],"Value")</f>
        <v>"4","2","2","NET 221","Networking 1","3","2","1"</v>
      </c>
    </row>
    <row r="239" spans="2:13" x14ac:dyDescent="0.25">
      <c r="B239">
        <v>237</v>
      </c>
      <c r="C239">
        <v>4</v>
      </c>
      <c r="D239">
        <v>2</v>
      </c>
      <c r="E239">
        <v>2</v>
      </c>
      <c r="F239" s="6" t="s">
        <v>576</v>
      </c>
      <c r="G239" s="6" t="s">
        <v>662</v>
      </c>
      <c r="H239" s="6">
        <v>3</v>
      </c>
      <c r="I239" s="6">
        <v>3</v>
      </c>
      <c r="J239" s="6">
        <v>0</v>
      </c>
      <c r="L239" t="str">
        <f t="shared" si="3"/>
        <v>(NULL,"4","2","2","IAS 222","Information Assurance &amp; Security 2","3","3","0"),</v>
      </c>
      <c r="M239" t="str">
        <f>TextJoin(tblCourseSubjs[[#This Row],[CourseID]:[LabHrs]],"Value")</f>
        <v>"4","2","2","IAS 222","Information Assurance &amp; Security 2","3","3","0"</v>
      </c>
    </row>
    <row r="240" spans="2:13" x14ac:dyDescent="0.25">
      <c r="B240">
        <v>238</v>
      </c>
      <c r="C240">
        <v>4</v>
      </c>
      <c r="D240">
        <v>2</v>
      </c>
      <c r="E240">
        <v>2</v>
      </c>
      <c r="F240" s="6" t="s">
        <v>462</v>
      </c>
      <c r="G240" s="6" t="s">
        <v>663</v>
      </c>
      <c r="H240" s="6">
        <v>3</v>
      </c>
      <c r="I240" s="6">
        <v>3</v>
      </c>
      <c r="J240" s="6">
        <v>0</v>
      </c>
      <c r="L240" t="str">
        <f t="shared" si="3"/>
        <v>(NULL,"4","2","2","IT 226","Platform Technologies","3","3","0"),</v>
      </c>
      <c r="M240" t="str">
        <f>TextJoin(tblCourseSubjs[[#This Row],[CourseID]:[LabHrs]],"Value")</f>
        <v>"4","2","2","IT 226","Platform Technologies","3","3","0"</v>
      </c>
    </row>
    <row r="241" spans="2:13" x14ac:dyDescent="0.25">
      <c r="B241">
        <v>239</v>
      </c>
      <c r="C241">
        <v>4</v>
      </c>
      <c r="D241">
        <v>2</v>
      </c>
      <c r="E241">
        <v>2</v>
      </c>
      <c r="F241" s="6" t="s">
        <v>577</v>
      </c>
      <c r="G241" s="7" t="s">
        <v>664</v>
      </c>
      <c r="H241" s="6">
        <v>3</v>
      </c>
      <c r="I241" s="6">
        <v>2</v>
      </c>
      <c r="J241" s="6">
        <v>1</v>
      </c>
      <c r="L241" t="str">
        <f t="shared" si="3"/>
        <v>(NULL,"4","2","2","DBS 221","Fundamentals Of Database Systems","3","2","1"),</v>
      </c>
      <c r="M241" t="str">
        <f>TextJoin(tblCourseSubjs[[#This Row],[CourseID]:[LabHrs]],"Value")</f>
        <v>"4","2","2","DBS 221","Fundamentals Of Database Systems","3","2","1"</v>
      </c>
    </row>
    <row r="242" spans="2:13" x14ac:dyDescent="0.25">
      <c r="B242">
        <v>240</v>
      </c>
      <c r="C242">
        <v>4</v>
      </c>
      <c r="D242">
        <v>2</v>
      </c>
      <c r="E242">
        <v>2</v>
      </c>
      <c r="F242" s="6" t="s">
        <v>578</v>
      </c>
      <c r="G242" s="7" t="s">
        <v>665</v>
      </c>
      <c r="H242" s="6">
        <v>3</v>
      </c>
      <c r="I242" s="6">
        <v>1</v>
      </c>
      <c r="J242" s="6">
        <v>2</v>
      </c>
      <c r="L242" t="str">
        <f t="shared" si="3"/>
        <v>(NULL,"4","2","2","SAD 221","Systems Analysis &amp; Design","3","1","2"),</v>
      </c>
      <c r="M242" t="str">
        <f>TextJoin(tblCourseSubjs[[#This Row],[CourseID]:[LabHrs]],"Value")</f>
        <v>"4","2","2","SAD 221","Systems Analysis &amp; Design","3","1","2"</v>
      </c>
    </row>
    <row r="243" spans="2:13" x14ac:dyDescent="0.25">
      <c r="B243">
        <v>241</v>
      </c>
      <c r="C243">
        <v>4</v>
      </c>
      <c r="D243">
        <v>2</v>
      </c>
      <c r="E243">
        <v>2</v>
      </c>
      <c r="F243" s="6" t="s">
        <v>579</v>
      </c>
      <c r="G243" s="7" t="s">
        <v>666</v>
      </c>
      <c r="H243" s="6">
        <v>3</v>
      </c>
      <c r="I243" s="6">
        <v>1</v>
      </c>
      <c r="J243" s="6">
        <v>2</v>
      </c>
      <c r="L243" t="str">
        <f t="shared" si="3"/>
        <v>(NULL,"4","2","2","TVET 221","Computer Systems Servicing","3","1","2"),</v>
      </c>
      <c r="M243" t="str">
        <f>TextJoin(tblCourseSubjs[[#This Row],[CourseID]:[LabHrs]],"Value")</f>
        <v>"4","2","2","TVET 221","Computer Systems Servicing","3","1","2"</v>
      </c>
    </row>
    <row r="244" spans="2:13" x14ac:dyDescent="0.25">
      <c r="B244">
        <v>242</v>
      </c>
      <c r="C244">
        <v>4</v>
      </c>
      <c r="D244">
        <v>2</v>
      </c>
      <c r="E244">
        <v>2</v>
      </c>
      <c r="F244" s="6" t="s">
        <v>474</v>
      </c>
      <c r="G244" s="7" t="s">
        <v>335</v>
      </c>
      <c r="H244" s="6">
        <v>2</v>
      </c>
      <c r="I244" s="6">
        <v>2</v>
      </c>
      <c r="J244" s="6">
        <v>0</v>
      </c>
      <c r="L244" t="str">
        <f t="shared" si="3"/>
        <v>(NULL,"4","2","2","PE 224","Group Games","2","2","0"),</v>
      </c>
      <c r="M244" t="str">
        <f>TextJoin(tblCourseSubjs[[#This Row],[CourseID]:[LabHrs]],"Value")</f>
        <v>"4","2","2","PE 224","Group Games","2","2","0"</v>
      </c>
    </row>
    <row r="245" spans="2:13" x14ac:dyDescent="0.25">
      <c r="B245">
        <v>243</v>
      </c>
      <c r="C245">
        <v>4</v>
      </c>
      <c r="D245">
        <v>2</v>
      </c>
      <c r="E245">
        <v>2</v>
      </c>
      <c r="F245" s="6" t="s">
        <v>544</v>
      </c>
      <c r="G245" s="8" t="s">
        <v>359</v>
      </c>
      <c r="H245" s="6">
        <v>3</v>
      </c>
      <c r="I245" s="6">
        <v>1</v>
      </c>
      <c r="J245" s="6">
        <v>2</v>
      </c>
      <c r="L245" t="str">
        <f t="shared" si="3"/>
        <v>(NULL,"4","2","2","CIS 01","CISCO 1","3","1","2"),</v>
      </c>
      <c r="M245" t="str">
        <f>TextJoin(tblCourseSubjs[[#This Row],[CourseID]:[LabHrs]],"Value")</f>
        <v>"4","2","2","CIS 01","CISCO 1","3","1","2"</v>
      </c>
    </row>
    <row r="246" spans="2:13" x14ac:dyDescent="0.25">
      <c r="B246">
        <v>244</v>
      </c>
      <c r="C246">
        <v>4</v>
      </c>
      <c r="D246">
        <v>1</v>
      </c>
      <c r="E246">
        <v>3</v>
      </c>
      <c r="F246" s="6" t="s">
        <v>580</v>
      </c>
      <c r="G246" s="6" t="s">
        <v>667</v>
      </c>
      <c r="H246" s="6">
        <v>3</v>
      </c>
      <c r="I246" s="6">
        <v>2</v>
      </c>
      <c r="J246" s="6">
        <v>1</v>
      </c>
      <c r="L246" t="str">
        <f t="shared" si="3"/>
        <v>(NULL,"4","1","3","NET 312","Networking 2","3","2","1"),</v>
      </c>
      <c r="M246" t="str">
        <f>TextJoin(tblCourseSubjs[[#This Row],[CourseID]:[LabHrs]],"Value")</f>
        <v>"4","1","3","NET 312","Networking 2","3","2","1"</v>
      </c>
    </row>
    <row r="247" spans="2:13" x14ac:dyDescent="0.25">
      <c r="B247">
        <v>245</v>
      </c>
      <c r="C247">
        <v>4</v>
      </c>
      <c r="D247">
        <v>1</v>
      </c>
      <c r="E247">
        <v>3</v>
      </c>
      <c r="F247" s="6" t="s">
        <v>581</v>
      </c>
      <c r="G247" s="6" t="s">
        <v>668</v>
      </c>
      <c r="H247" s="6">
        <v>3</v>
      </c>
      <c r="I247" s="6">
        <v>2</v>
      </c>
      <c r="J247" s="6">
        <v>1</v>
      </c>
      <c r="L247" t="str">
        <f t="shared" si="3"/>
        <v>(NULL,"4","1","3","IM 311","Information Management","3","2","1"),</v>
      </c>
      <c r="M247" t="str">
        <f>TextJoin(tblCourseSubjs[[#This Row],[CourseID]:[LabHrs]],"Value")</f>
        <v>"4","1","3","IM 311","Information Management","3","2","1"</v>
      </c>
    </row>
    <row r="248" spans="2:13" x14ac:dyDescent="0.25">
      <c r="B248">
        <v>246</v>
      </c>
      <c r="C248">
        <v>4</v>
      </c>
      <c r="D248">
        <v>1</v>
      </c>
      <c r="E248">
        <v>3</v>
      </c>
      <c r="F248" s="6" t="s">
        <v>582</v>
      </c>
      <c r="G248" s="6" t="s">
        <v>669</v>
      </c>
      <c r="H248" s="6">
        <v>3</v>
      </c>
      <c r="I248" s="6">
        <v>2</v>
      </c>
      <c r="J248" s="6">
        <v>1</v>
      </c>
      <c r="L248" t="str">
        <f t="shared" si="3"/>
        <v>(NULL,"4","1","3","ELE","Web Systems &amp; Technology ","3","2","1"),</v>
      </c>
      <c r="M248" t="str">
        <f>TextJoin(tblCourseSubjs[[#This Row],[CourseID]:[LabHrs]],"Value")</f>
        <v>"4","1","3","ELE","Web Systems &amp; Technology ","3","2","1"</v>
      </c>
    </row>
    <row r="249" spans="2:13" x14ac:dyDescent="0.25">
      <c r="B249">
        <v>247</v>
      </c>
      <c r="C249">
        <v>4</v>
      </c>
      <c r="D249">
        <v>1</v>
      </c>
      <c r="E249">
        <v>3</v>
      </c>
      <c r="F249" s="6" t="s">
        <v>583</v>
      </c>
      <c r="G249" s="7" t="s">
        <v>670</v>
      </c>
      <c r="H249" s="6">
        <v>3</v>
      </c>
      <c r="I249" s="6">
        <v>2</v>
      </c>
      <c r="J249" s="6">
        <v>1</v>
      </c>
      <c r="L249" t="str">
        <f t="shared" si="3"/>
        <v>(NULL,"4","1","3","SIA 311","Systems Integration &amp; Architecture 1","3","2","1"),</v>
      </c>
      <c r="M249" t="str">
        <f>TextJoin(tblCourseSubjs[[#This Row],[CourseID]:[LabHrs]],"Value")</f>
        <v>"4","1","3","SIA 311","Systems Integration &amp; Architecture 1","3","2","1"</v>
      </c>
    </row>
    <row r="250" spans="2:13" x14ac:dyDescent="0.25">
      <c r="B250">
        <v>248</v>
      </c>
      <c r="C250">
        <v>4</v>
      </c>
      <c r="D250">
        <v>1</v>
      </c>
      <c r="E250">
        <v>3</v>
      </c>
      <c r="F250" s="6" t="s">
        <v>584</v>
      </c>
      <c r="G250" s="7" t="s">
        <v>671</v>
      </c>
      <c r="H250" s="6">
        <v>3</v>
      </c>
      <c r="I250" s="6">
        <v>2</v>
      </c>
      <c r="J250" s="6">
        <v>1</v>
      </c>
      <c r="L250" t="str">
        <f t="shared" si="3"/>
        <v>(NULL,"4","1","3","IPT 311","Integrative Programming &amp; Technologies 1","3","2","1"),</v>
      </c>
      <c r="M250" t="str">
        <f>TextJoin(tblCourseSubjs[[#This Row],[CourseID]:[LabHrs]],"Value")</f>
        <v>"4","1","3","IPT 311","Integrative Programming &amp; Technologies 1","3","2","1"</v>
      </c>
    </row>
    <row r="251" spans="2:13" x14ac:dyDescent="0.25">
      <c r="B251">
        <v>249</v>
      </c>
      <c r="C251">
        <v>4</v>
      </c>
      <c r="D251">
        <v>1</v>
      </c>
      <c r="E251">
        <v>3</v>
      </c>
      <c r="F251" s="6" t="s">
        <v>585</v>
      </c>
      <c r="G251" s="7" t="s">
        <v>628</v>
      </c>
      <c r="H251" s="6">
        <v>3</v>
      </c>
      <c r="I251" s="6">
        <v>3</v>
      </c>
      <c r="J251" s="6">
        <v>0</v>
      </c>
      <c r="L251" t="str">
        <f t="shared" si="3"/>
        <v>(NULL,"4","1","3","GEE 313","Human Behavior In Organization","3","3","0"),</v>
      </c>
      <c r="M251" t="str">
        <f>TextJoin(tblCourseSubjs[[#This Row],[CourseID]:[LabHrs]],"Value")</f>
        <v>"4","1","3","GEE 313","Human Behavior In Organization","3","3","0"</v>
      </c>
    </row>
    <row r="252" spans="2:13" x14ac:dyDescent="0.25">
      <c r="B252">
        <v>250</v>
      </c>
      <c r="C252">
        <v>4</v>
      </c>
      <c r="D252">
        <v>1</v>
      </c>
      <c r="E252">
        <v>3</v>
      </c>
      <c r="F252" s="6" t="s">
        <v>551</v>
      </c>
      <c r="G252" s="8" t="s">
        <v>633</v>
      </c>
      <c r="H252" s="6">
        <v>3</v>
      </c>
      <c r="I252" s="6">
        <v>3</v>
      </c>
      <c r="J252" s="6">
        <v>0</v>
      </c>
      <c r="L252" t="str">
        <f t="shared" si="3"/>
        <v>(NULL,"4","1","3","GEE 312","Retorika","3","3","0"),</v>
      </c>
      <c r="M252" t="str">
        <f>TextJoin(tblCourseSubjs[[#This Row],[CourseID]:[LabHrs]],"Value")</f>
        <v>"4","1","3","GEE 312","Retorika","3","3","0"</v>
      </c>
    </row>
    <row r="253" spans="2:13" x14ac:dyDescent="0.25">
      <c r="B253">
        <v>251</v>
      </c>
      <c r="C253">
        <v>4</v>
      </c>
      <c r="D253">
        <v>1</v>
      </c>
      <c r="E253">
        <v>3</v>
      </c>
      <c r="F253" s="6" t="s">
        <v>552</v>
      </c>
      <c r="G253" s="7" t="s">
        <v>371</v>
      </c>
      <c r="H253" s="6">
        <v>3</v>
      </c>
      <c r="I253" s="6">
        <v>1</v>
      </c>
      <c r="J253" s="6">
        <v>2</v>
      </c>
      <c r="L253" t="str">
        <f t="shared" si="3"/>
        <v>(NULL,"4","1","3","CIS 02","CISCO 2","3","1","2"),</v>
      </c>
      <c r="M253" t="str">
        <f>TextJoin(tblCourseSubjs[[#This Row],[CourseID]:[LabHrs]],"Value")</f>
        <v>"4","1","3","CIS 02","CISCO 2","3","1","2"</v>
      </c>
    </row>
    <row r="254" spans="2:13" x14ac:dyDescent="0.25">
      <c r="B254">
        <v>252</v>
      </c>
      <c r="C254">
        <v>4</v>
      </c>
      <c r="D254">
        <v>2</v>
      </c>
      <c r="E254">
        <v>3</v>
      </c>
      <c r="F254" s="6" t="s">
        <v>586</v>
      </c>
      <c r="G254" s="6" t="s">
        <v>672</v>
      </c>
      <c r="H254" s="6">
        <v>3</v>
      </c>
      <c r="I254" s="6">
        <v>1</v>
      </c>
      <c r="J254" s="6">
        <v>2</v>
      </c>
      <c r="L254" t="str">
        <f t="shared" si="3"/>
        <v>(NULL,"4","2","3","THESIS 1","Capstone Project And Research 1","3","1","2"),</v>
      </c>
      <c r="M254" t="str">
        <f>TextJoin(tblCourseSubjs[[#This Row],[CourseID]:[LabHrs]],"Value")</f>
        <v>"4","2","3","THESIS 1","Capstone Project And Research 1","3","1","2"</v>
      </c>
    </row>
    <row r="255" spans="2:13" x14ac:dyDescent="0.25">
      <c r="B255">
        <v>253</v>
      </c>
      <c r="C255">
        <v>4</v>
      </c>
      <c r="D255">
        <v>2</v>
      </c>
      <c r="E255">
        <v>3</v>
      </c>
      <c r="F255" s="6" t="s">
        <v>587</v>
      </c>
      <c r="G255" s="6" t="s">
        <v>673</v>
      </c>
      <c r="H255" s="6">
        <v>3</v>
      </c>
      <c r="I255" s="6">
        <v>3</v>
      </c>
      <c r="J255" s="6">
        <v>0</v>
      </c>
      <c r="L255" t="str">
        <f t="shared" si="3"/>
        <v>(NULL,"4","2","3","IT 327","System Administration &amp; Maintenance","3","3","0"),</v>
      </c>
      <c r="M255" t="str">
        <f>TextJoin(tblCourseSubjs[[#This Row],[CourseID]:[LabHrs]],"Value")</f>
        <v>"4","2","3","IT 327","System Administration &amp; Maintenance","3","3","0"</v>
      </c>
    </row>
    <row r="256" spans="2:13" x14ac:dyDescent="0.25">
      <c r="B256">
        <v>254</v>
      </c>
      <c r="C256">
        <v>4</v>
      </c>
      <c r="D256">
        <v>2</v>
      </c>
      <c r="E256">
        <v>3</v>
      </c>
      <c r="F256" s="6" t="s">
        <v>588</v>
      </c>
      <c r="G256" s="6" t="s">
        <v>674</v>
      </c>
      <c r="H256" s="6">
        <v>3</v>
      </c>
      <c r="I256" s="6">
        <v>3</v>
      </c>
      <c r="J256" s="6">
        <v>0</v>
      </c>
      <c r="L256" t="str">
        <f t="shared" si="3"/>
        <v>(NULL,"4","2","3","SS","Social And Professional Issues","3","3","0"),</v>
      </c>
      <c r="M256" t="str">
        <f>TextJoin(tblCourseSubjs[[#This Row],[CourseID]:[LabHrs]],"Value")</f>
        <v>"4","2","3","SS","Social And Professional Issues","3","3","0"</v>
      </c>
    </row>
    <row r="257" spans="2:13" x14ac:dyDescent="0.25">
      <c r="B257">
        <v>255</v>
      </c>
      <c r="C257">
        <v>4</v>
      </c>
      <c r="D257">
        <v>2</v>
      </c>
      <c r="E257">
        <v>3</v>
      </c>
      <c r="F257" s="6" t="s">
        <v>589</v>
      </c>
      <c r="G257" s="7" t="s">
        <v>675</v>
      </c>
      <c r="H257" s="6">
        <v>3</v>
      </c>
      <c r="I257" s="6">
        <v>3</v>
      </c>
      <c r="J257" s="6">
        <v>0</v>
      </c>
      <c r="L257" t="str">
        <f t="shared" si="3"/>
        <v>(NULL,"4","2","3","IT 328","Quantitative Methods (Inc. Modeling &amp; Simulation)","3","3","0"),</v>
      </c>
      <c r="M257" t="str">
        <f>TextJoin(tblCourseSubjs[[#This Row],[CourseID]:[LabHrs]],"Value")</f>
        <v>"4","2","3","IT 328","Quantitative Methods (Inc. Modeling &amp; Simulation)","3","3","0"</v>
      </c>
    </row>
    <row r="258" spans="2:13" x14ac:dyDescent="0.25">
      <c r="B258">
        <v>256</v>
      </c>
      <c r="C258">
        <v>4</v>
      </c>
      <c r="D258">
        <v>2</v>
      </c>
      <c r="E258">
        <v>3</v>
      </c>
      <c r="F258" s="6" t="s">
        <v>590</v>
      </c>
      <c r="G258" s="7" t="s">
        <v>299</v>
      </c>
      <c r="H258" s="6">
        <v>2</v>
      </c>
      <c r="I258" s="6">
        <v>0</v>
      </c>
      <c r="J258" s="6">
        <v>2</v>
      </c>
      <c r="L258" t="str">
        <f t="shared" si="3"/>
        <v>(NULL,"4","2","3","CAD 321","Computer Aided Drafting","2","0","2"),</v>
      </c>
      <c r="M258" t="str">
        <f>TextJoin(tblCourseSubjs[[#This Row],[CourseID]:[LabHrs]],"Value")</f>
        <v>"4","2","3","CAD 321","Computer Aided Drafting","2","0","2"</v>
      </c>
    </row>
    <row r="259" spans="2:13" x14ac:dyDescent="0.25">
      <c r="B259">
        <v>257</v>
      </c>
      <c r="C259">
        <v>4</v>
      </c>
      <c r="D259">
        <v>2</v>
      </c>
      <c r="E259">
        <v>3</v>
      </c>
      <c r="F259" s="6" t="s">
        <v>559</v>
      </c>
      <c r="G259" s="7" t="s">
        <v>276</v>
      </c>
      <c r="H259" s="6">
        <v>3</v>
      </c>
      <c r="I259" s="6">
        <v>2</v>
      </c>
      <c r="J259" s="6">
        <v>1</v>
      </c>
      <c r="L259" t="str">
        <f t="shared" si="3"/>
        <v>(NULL,"4","2","3","GEE 323","General Inorganic Chemistry","3","2","1"),</v>
      </c>
      <c r="M259" t="str">
        <f>TextJoin(tblCourseSubjs[[#This Row],[CourseID]:[LabHrs]],"Value")</f>
        <v>"4","2","3","GEE 323","General Inorganic Chemistry","3","2","1"</v>
      </c>
    </row>
    <row r="260" spans="2:13" x14ac:dyDescent="0.25">
      <c r="B260">
        <v>258</v>
      </c>
      <c r="C260">
        <v>4</v>
      </c>
      <c r="D260">
        <v>2</v>
      </c>
      <c r="E260">
        <v>3</v>
      </c>
      <c r="F260" s="6" t="s">
        <v>560</v>
      </c>
      <c r="G260" s="8" t="s">
        <v>415</v>
      </c>
      <c r="H260" s="6">
        <v>3</v>
      </c>
      <c r="I260" s="6">
        <v>1</v>
      </c>
      <c r="J260" s="6">
        <v>2</v>
      </c>
      <c r="L260" t="str">
        <f t="shared" ref="L260:L268" si="4">"(NULL,"&amp;M260&amp;")"&amp;IF(L261&lt;&gt;"",",",";")</f>
        <v>(NULL,"4","2","3","CIS 03","CISCO 3","3","1","2"),</v>
      </c>
      <c r="M260" t="str">
        <f>TextJoin(tblCourseSubjs[[#This Row],[CourseID]:[LabHrs]],"Value")</f>
        <v>"4","2","3","CIS 03","CISCO 3","3","1","2"</v>
      </c>
    </row>
    <row r="261" spans="2:13" x14ac:dyDescent="0.25">
      <c r="B261">
        <v>259</v>
      </c>
      <c r="C261">
        <v>4</v>
      </c>
      <c r="D261">
        <v>2</v>
      </c>
      <c r="E261">
        <v>3</v>
      </c>
      <c r="F261" s="6" t="s">
        <v>591</v>
      </c>
      <c r="G261" s="7" t="s">
        <v>828</v>
      </c>
      <c r="H261" s="6">
        <v>3</v>
      </c>
      <c r="I261" s="6">
        <v>1</v>
      </c>
      <c r="J261" s="6">
        <v>2</v>
      </c>
      <c r="L261" t="str">
        <f t="shared" si="4"/>
        <v>(NULL,"4","2","3","SAP 01","SAP 1","3","1","2"),</v>
      </c>
      <c r="M261" t="str">
        <f>TextJoin(tblCourseSubjs[[#This Row],[CourseID]:[LabHrs]],"Value")</f>
        <v>"4","2","3","SAP 01","SAP 1","3","1","2"</v>
      </c>
    </row>
    <row r="262" spans="2:13" x14ac:dyDescent="0.25">
      <c r="B262">
        <v>260</v>
      </c>
      <c r="C262">
        <v>4</v>
      </c>
      <c r="D262">
        <v>1</v>
      </c>
      <c r="E262">
        <v>4</v>
      </c>
      <c r="F262" s="6" t="s">
        <v>592</v>
      </c>
      <c r="G262" s="11" t="s">
        <v>676</v>
      </c>
      <c r="H262" s="6">
        <v>3</v>
      </c>
      <c r="I262" s="6">
        <v>1</v>
      </c>
      <c r="J262" s="6">
        <v>2</v>
      </c>
      <c r="L262" t="str">
        <f t="shared" si="4"/>
        <v>(NULL,"4","1","4","THESIS 2","Capstone Project And Research 2","3","1","2"),</v>
      </c>
      <c r="M262" t="str">
        <f>TextJoin(tblCourseSubjs[[#This Row],[CourseID]:[LabHrs]],"Value")</f>
        <v>"4","1","4","THESIS 2","Capstone Project And Research 2","3","1","2"</v>
      </c>
    </row>
    <row r="263" spans="2:13" x14ac:dyDescent="0.25">
      <c r="B263">
        <v>261</v>
      </c>
      <c r="C263">
        <v>4</v>
      </c>
      <c r="D263">
        <v>1</v>
      </c>
      <c r="E263">
        <v>4</v>
      </c>
      <c r="F263" s="6" t="s">
        <v>593</v>
      </c>
      <c r="G263" s="11" t="s">
        <v>677</v>
      </c>
      <c r="H263" s="6">
        <v>3</v>
      </c>
      <c r="I263" s="6">
        <v>2</v>
      </c>
      <c r="J263" s="6">
        <v>1</v>
      </c>
      <c r="L263" t="str">
        <f t="shared" si="4"/>
        <v>(NULL,"4","1","4","TVET 412","Contact Center Services","3","2","1"),</v>
      </c>
      <c r="M263" t="str">
        <f>TextJoin(tblCourseSubjs[[#This Row],[CourseID]:[LabHrs]],"Value")</f>
        <v>"4","1","4","TVET 412","Contact Center Services","3","2","1"</v>
      </c>
    </row>
    <row r="264" spans="2:13" x14ac:dyDescent="0.25">
      <c r="B264">
        <v>262</v>
      </c>
      <c r="C264">
        <v>4</v>
      </c>
      <c r="D264">
        <v>1</v>
      </c>
      <c r="E264">
        <v>4</v>
      </c>
      <c r="F264" s="6" t="s">
        <v>594</v>
      </c>
      <c r="G264" s="11" t="s">
        <v>678</v>
      </c>
      <c r="H264" s="6">
        <v>0</v>
      </c>
      <c r="I264" s="6">
        <v>0</v>
      </c>
      <c r="J264" s="6">
        <v>0</v>
      </c>
      <c r="L264" t="str">
        <f t="shared" si="4"/>
        <v>(NULL,"4","1","4","GE 410","Technical Writing ","0","0","0"),</v>
      </c>
      <c r="M264" t="str">
        <f>TextJoin(tblCourseSubjs[[#This Row],[CourseID]:[LabHrs]],"Value")</f>
        <v>"4","1","4","GE 410","Technical Writing ","0","0","0"</v>
      </c>
    </row>
    <row r="265" spans="2:13" x14ac:dyDescent="0.25">
      <c r="B265">
        <v>263</v>
      </c>
      <c r="C265">
        <v>4</v>
      </c>
      <c r="D265">
        <v>1</v>
      </c>
      <c r="E265">
        <v>4</v>
      </c>
      <c r="F265" s="6" t="s">
        <v>595</v>
      </c>
      <c r="G265" s="11" t="s">
        <v>492</v>
      </c>
      <c r="H265" s="6">
        <v>3</v>
      </c>
      <c r="I265" s="6">
        <v>3</v>
      </c>
      <c r="J265" s="6">
        <v>0</v>
      </c>
      <c r="L265" t="str">
        <f t="shared" si="4"/>
        <v>(NULL,"4","1","4","TEC 411","Technopreneurship","3","3","0"),</v>
      </c>
      <c r="M265" t="str">
        <f>TextJoin(tblCourseSubjs[[#This Row],[CourseID]:[LabHrs]],"Value")</f>
        <v>"4","1","4","TEC 411","Technopreneurship","3","3","0"</v>
      </c>
    </row>
    <row r="266" spans="2:13" x14ac:dyDescent="0.25">
      <c r="B266">
        <v>264</v>
      </c>
      <c r="C266">
        <v>4</v>
      </c>
      <c r="D266">
        <v>1</v>
      </c>
      <c r="E266">
        <v>4</v>
      </c>
      <c r="F266" s="6" t="s">
        <v>564</v>
      </c>
      <c r="G266" s="12" t="s">
        <v>508</v>
      </c>
      <c r="H266" s="6">
        <v>3</v>
      </c>
      <c r="I266" s="6">
        <v>1</v>
      </c>
      <c r="J266" s="6">
        <v>2</v>
      </c>
      <c r="L266" t="str">
        <f t="shared" si="4"/>
        <v>(NULL,"4","1","4","CIS 04","CISCO 4","3","1","2"),</v>
      </c>
      <c r="M266" t="str">
        <f>TextJoin(tblCourseSubjs[[#This Row],[CourseID]:[LabHrs]],"Value")</f>
        <v>"4","1","4","CIS 04","CISCO 4","3","1","2"</v>
      </c>
    </row>
    <row r="267" spans="2:13" x14ac:dyDescent="0.25">
      <c r="B267">
        <v>265</v>
      </c>
      <c r="C267">
        <v>4</v>
      </c>
      <c r="D267">
        <v>1</v>
      </c>
      <c r="E267">
        <v>4</v>
      </c>
      <c r="F267" s="6" t="s">
        <v>596</v>
      </c>
      <c r="G267" s="11" t="s">
        <v>829</v>
      </c>
      <c r="H267" s="6">
        <v>3</v>
      </c>
      <c r="I267" s="6">
        <v>1</v>
      </c>
      <c r="J267" s="6">
        <v>2</v>
      </c>
      <c r="L267" t="str">
        <f t="shared" si="4"/>
        <v>(NULL,"4","1","4","SAP 02","SAP 2","3","1","2"),</v>
      </c>
      <c r="M267" t="str">
        <f>TextJoin(tblCourseSubjs[[#This Row],[CourseID]:[LabHrs]],"Value")</f>
        <v>"4","1","4","SAP 02","SAP 2","3","1","2"</v>
      </c>
    </row>
    <row r="268" spans="2:13" x14ac:dyDescent="0.25">
      <c r="B268">
        <v>266</v>
      </c>
      <c r="C268">
        <v>4</v>
      </c>
      <c r="D268">
        <v>3</v>
      </c>
      <c r="E268">
        <v>4</v>
      </c>
      <c r="G268" s="6" t="s">
        <v>831</v>
      </c>
      <c r="H268" s="6">
        <v>6</v>
      </c>
      <c r="I268" s="6">
        <v>0</v>
      </c>
      <c r="J268" s="6">
        <v>500</v>
      </c>
      <c r="L268" t="str">
        <f t="shared" si="4"/>
        <v>(NULL,"4","3","4","","Practicum/OJT","6","0","500");</v>
      </c>
      <c r="M268" t="str">
        <f>TextJoin(tblCourseSubjs[[#This Row],[CourseID]:[LabHrs]],"Value")</f>
        <v>"4","3","4","","Practicum/OJT","6","0","500"</v>
      </c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I164"/>
  <sheetViews>
    <sheetView topLeftCell="F2" workbookViewId="0">
      <selection activeCell="H3" sqref="H3:H164"/>
    </sheetView>
  </sheetViews>
  <sheetFormatPr defaultRowHeight="15" x14ac:dyDescent="0.25"/>
  <cols>
    <col min="1" max="1" width="0.85546875" customWidth="1"/>
    <col min="2" max="2" width="16" customWidth="1"/>
    <col min="3" max="3" width="11.5703125" customWidth="1"/>
    <col min="4" max="4" width="9.42578125" style="34" bestFit="1" customWidth="1"/>
    <col min="5" max="5" width="12.85546875" bestFit="1" customWidth="1"/>
    <col min="6" max="6" width="13.85546875" bestFit="1" customWidth="1"/>
    <col min="7" max="7" width="0.85546875" customWidth="1"/>
    <col min="8" max="8" width="63.85546875" bestFit="1" customWidth="1"/>
  </cols>
  <sheetData>
    <row r="1" spans="2:9" ht="5.0999999999999996" customHeight="1" x14ac:dyDescent="0.25"/>
    <row r="2" spans="2:9" x14ac:dyDescent="0.25">
      <c r="B2" t="s">
        <v>23</v>
      </c>
      <c r="C2" t="s">
        <v>18</v>
      </c>
      <c r="D2" s="34" t="s">
        <v>832</v>
      </c>
      <c r="E2" t="s">
        <v>22</v>
      </c>
      <c r="F2" t="s">
        <v>826</v>
      </c>
      <c r="H2" t="str">
        <f>TextJoin(tblSubjPrerequisites[#Headers])</f>
        <v>PrerequisiteID,SubjectID,TypeID,PSubjectID,YearLevelID</v>
      </c>
    </row>
    <row r="3" spans="2:9" x14ac:dyDescent="0.25">
      <c r="B3">
        <v>1</v>
      </c>
      <c r="C3">
        <v>10</v>
      </c>
      <c r="D3" s="12">
        <v>1</v>
      </c>
      <c r="E3">
        <v>1</v>
      </c>
      <c r="F3" s="13" t="s">
        <v>520</v>
      </c>
      <c r="H3" t="str">
        <f>"(NULL,"&amp;I3&amp;")"&amp;IF(H4&lt;&gt;"",",",";")</f>
        <v>(NULL,"10","1","1",NULL),</v>
      </c>
      <c r="I3" t="str">
        <f>TextJoin(tblSubjPrerequisites[[#This Row],[SubjectID]:[YearLevelID]],"Value")</f>
        <v>"10","1","1",NULL</v>
      </c>
    </row>
    <row r="4" spans="2:9" x14ac:dyDescent="0.25">
      <c r="B4">
        <f>B3+1</f>
        <v>2</v>
      </c>
      <c r="C4" s="4">
        <v>11</v>
      </c>
      <c r="D4" s="12">
        <v>1</v>
      </c>
      <c r="E4" s="4">
        <v>2</v>
      </c>
      <c r="F4" s="13" t="s">
        <v>520</v>
      </c>
      <c r="H4" t="str">
        <f t="shared" ref="H4:H67" si="0">"(NULL,"&amp;I4&amp;")"&amp;IF(H5&lt;&gt;"",",",";")</f>
        <v>(NULL,"11","1","2",NULL),</v>
      </c>
      <c r="I4" t="str">
        <f>TextJoin(tblSubjPrerequisites[[#This Row],[SubjectID]:[YearLevelID]],"Value")</f>
        <v>"11","1","2",NULL</v>
      </c>
    </row>
    <row r="5" spans="2:9" x14ac:dyDescent="0.25">
      <c r="B5">
        <f t="shared" ref="B5:B26" si="1">B4+1</f>
        <v>3</v>
      </c>
      <c r="C5" s="4">
        <v>11</v>
      </c>
      <c r="D5" s="12">
        <v>1</v>
      </c>
      <c r="E5" s="4">
        <v>3</v>
      </c>
      <c r="F5" s="13" t="s">
        <v>520</v>
      </c>
      <c r="H5" t="str">
        <f t="shared" si="0"/>
        <v>(NULL,"11","1","3",NULL),</v>
      </c>
      <c r="I5" t="str">
        <f>TextJoin(tblSubjPrerequisites[[#This Row],[SubjectID]:[YearLevelID]],"Value")</f>
        <v>"11","1","3",NULL</v>
      </c>
    </row>
    <row r="6" spans="2:9" x14ac:dyDescent="0.25">
      <c r="B6">
        <f t="shared" si="1"/>
        <v>4</v>
      </c>
      <c r="C6">
        <v>12</v>
      </c>
      <c r="D6" s="12">
        <v>1</v>
      </c>
      <c r="E6">
        <v>7</v>
      </c>
      <c r="F6" s="13" t="s">
        <v>520</v>
      </c>
      <c r="H6" t="str">
        <f t="shared" si="0"/>
        <v>(NULL,"12","1","7",NULL),</v>
      </c>
      <c r="I6" t="str">
        <f>TextJoin(tblSubjPrerequisites[[#This Row],[SubjectID]:[YearLevelID]],"Value")</f>
        <v>"12","1","7",NULL</v>
      </c>
    </row>
    <row r="7" spans="2:9" x14ac:dyDescent="0.25">
      <c r="B7">
        <f t="shared" si="1"/>
        <v>5</v>
      </c>
      <c r="C7">
        <v>13</v>
      </c>
      <c r="D7" s="12">
        <v>1</v>
      </c>
      <c r="E7">
        <v>2</v>
      </c>
      <c r="F7" s="13" t="s">
        <v>520</v>
      </c>
      <c r="H7" t="str">
        <f t="shared" si="0"/>
        <v>(NULL,"13","1","2",NULL),</v>
      </c>
      <c r="I7" t="str">
        <f>TextJoin(tblSubjPrerequisites[[#This Row],[SubjectID]:[YearLevelID]],"Value")</f>
        <v>"13","1","2",NULL</v>
      </c>
    </row>
    <row r="8" spans="2:9" x14ac:dyDescent="0.25">
      <c r="B8">
        <f t="shared" si="1"/>
        <v>6</v>
      </c>
      <c r="C8">
        <v>14</v>
      </c>
      <c r="D8" s="12">
        <v>1</v>
      </c>
      <c r="E8">
        <v>2</v>
      </c>
      <c r="F8" s="13" t="s">
        <v>520</v>
      </c>
      <c r="H8" t="str">
        <f t="shared" si="0"/>
        <v>(NULL,"14","1","2",NULL),</v>
      </c>
      <c r="I8" t="str">
        <f>TextJoin(tblSubjPrerequisites[[#This Row],[SubjectID]:[YearLevelID]],"Value")</f>
        <v>"14","1","2",NULL</v>
      </c>
    </row>
    <row r="9" spans="2:9" x14ac:dyDescent="0.25">
      <c r="B9">
        <f t="shared" si="1"/>
        <v>7</v>
      </c>
      <c r="C9">
        <v>14</v>
      </c>
      <c r="D9" s="12">
        <v>1</v>
      </c>
      <c r="E9">
        <v>3</v>
      </c>
      <c r="F9" s="13" t="s">
        <v>520</v>
      </c>
      <c r="H9" t="str">
        <f t="shared" si="0"/>
        <v>(NULL,"14","1","3",NULL),</v>
      </c>
      <c r="I9" t="str">
        <f>TextJoin(tblSubjPrerequisites[[#This Row],[SubjectID]:[YearLevelID]],"Value")</f>
        <v>"14","1","3",NULL</v>
      </c>
    </row>
    <row r="10" spans="2:9" x14ac:dyDescent="0.25">
      <c r="B10">
        <f t="shared" si="1"/>
        <v>8</v>
      </c>
      <c r="C10">
        <v>16</v>
      </c>
      <c r="D10" s="12">
        <v>1</v>
      </c>
      <c r="E10">
        <v>5</v>
      </c>
      <c r="F10" s="13" t="s">
        <v>520</v>
      </c>
      <c r="H10" t="str">
        <f t="shared" si="0"/>
        <v>(NULL,"16","1","5",NULL),</v>
      </c>
      <c r="I10" t="str">
        <f>TextJoin(tblSubjPrerequisites[[#This Row],[SubjectID]:[YearLevelID]],"Value")</f>
        <v>"16","1","5",NULL</v>
      </c>
    </row>
    <row r="11" spans="2:9" x14ac:dyDescent="0.25">
      <c r="B11">
        <f t="shared" si="1"/>
        <v>9</v>
      </c>
      <c r="C11">
        <v>17</v>
      </c>
      <c r="D11" s="12">
        <v>1</v>
      </c>
      <c r="E11">
        <v>8</v>
      </c>
      <c r="F11" s="13" t="s">
        <v>520</v>
      </c>
      <c r="H11" t="str">
        <f t="shared" si="0"/>
        <v>(NULL,"17","1","8",NULL),</v>
      </c>
      <c r="I11" t="str">
        <f>TextJoin(tblSubjPrerequisites[[#This Row],[SubjectID]:[YearLevelID]],"Value")</f>
        <v>"17","1","8",NULL</v>
      </c>
    </row>
    <row r="12" spans="2:9" x14ac:dyDescent="0.25">
      <c r="B12">
        <f t="shared" si="1"/>
        <v>10</v>
      </c>
      <c r="C12">
        <v>18</v>
      </c>
      <c r="D12" s="12">
        <v>1</v>
      </c>
      <c r="E12">
        <v>9</v>
      </c>
      <c r="F12" s="13" t="s">
        <v>520</v>
      </c>
      <c r="H12" t="str">
        <f t="shared" si="0"/>
        <v>(NULL,"18","1","9",NULL),</v>
      </c>
      <c r="I12" t="str">
        <f>TextJoin(tblSubjPrerequisites[[#This Row],[SubjectID]:[YearLevelID]],"Value")</f>
        <v>"18","1","9",NULL</v>
      </c>
    </row>
    <row r="13" spans="2:9" x14ac:dyDescent="0.25">
      <c r="B13">
        <f t="shared" si="1"/>
        <v>11</v>
      </c>
      <c r="C13">
        <v>20</v>
      </c>
      <c r="D13" s="12">
        <v>1</v>
      </c>
      <c r="E13">
        <v>10</v>
      </c>
      <c r="F13" s="13" t="s">
        <v>520</v>
      </c>
      <c r="H13" t="str">
        <f t="shared" si="0"/>
        <v>(NULL,"20","1","10",NULL),</v>
      </c>
      <c r="I13" t="str">
        <f>TextJoin(tblSubjPrerequisites[[#This Row],[SubjectID]:[YearLevelID]],"Value")</f>
        <v>"20","1","10",NULL</v>
      </c>
    </row>
    <row r="14" spans="2:9" x14ac:dyDescent="0.25">
      <c r="B14">
        <f t="shared" si="1"/>
        <v>12</v>
      </c>
      <c r="C14">
        <v>21</v>
      </c>
      <c r="D14" s="12">
        <v>1</v>
      </c>
      <c r="E14">
        <v>11</v>
      </c>
      <c r="F14" s="13" t="s">
        <v>520</v>
      </c>
      <c r="H14" t="str">
        <f t="shared" si="0"/>
        <v>(NULL,"21","1","11",NULL),</v>
      </c>
      <c r="I14" t="str">
        <f>TextJoin(tblSubjPrerequisites[[#This Row],[SubjectID]:[YearLevelID]],"Value")</f>
        <v>"21","1","11",NULL</v>
      </c>
    </row>
    <row r="15" spans="2:9" x14ac:dyDescent="0.25">
      <c r="B15">
        <f t="shared" si="1"/>
        <v>13</v>
      </c>
      <c r="C15">
        <v>21</v>
      </c>
      <c r="D15" s="12">
        <v>1</v>
      </c>
      <c r="E15">
        <v>13</v>
      </c>
      <c r="F15" s="13" t="s">
        <v>520</v>
      </c>
      <c r="H15" t="str">
        <f t="shared" si="0"/>
        <v>(NULL,"21","1","13",NULL),</v>
      </c>
      <c r="I15" t="str">
        <f>TextJoin(tblSubjPrerequisites[[#This Row],[SubjectID]:[YearLevelID]],"Value")</f>
        <v>"21","1","13",NULL</v>
      </c>
    </row>
    <row r="16" spans="2:9" x14ac:dyDescent="0.25">
      <c r="B16">
        <f t="shared" si="1"/>
        <v>14</v>
      </c>
      <c r="C16">
        <v>21</v>
      </c>
      <c r="D16" s="12">
        <v>1</v>
      </c>
      <c r="E16">
        <v>14</v>
      </c>
      <c r="F16" s="13" t="s">
        <v>520</v>
      </c>
      <c r="H16" t="str">
        <f t="shared" si="0"/>
        <v>(NULL,"21","1","14",NULL),</v>
      </c>
      <c r="I16" t="str">
        <f>TextJoin(tblSubjPrerequisites[[#This Row],[SubjectID]:[YearLevelID]],"Value")</f>
        <v>"21","1","14",NULL</v>
      </c>
    </row>
    <row r="17" spans="2:9" x14ac:dyDescent="0.25">
      <c r="B17">
        <f t="shared" si="1"/>
        <v>15</v>
      </c>
      <c r="C17">
        <v>22</v>
      </c>
      <c r="D17" s="12">
        <v>1</v>
      </c>
      <c r="E17">
        <v>2</v>
      </c>
      <c r="F17" s="13" t="s">
        <v>520</v>
      </c>
      <c r="H17" t="str">
        <f t="shared" si="0"/>
        <v>(NULL,"22","1","2",NULL),</v>
      </c>
      <c r="I17" t="str">
        <f>TextJoin(tblSubjPrerequisites[[#This Row],[SubjectID]:[YearLevelID]],"Value")</f>
        <v>"22","1","2",NULL</v>
      </c>
    </row>
    <row r="18" spans="2:9" x14ac:dyDescent="0.25">
      <c r="B18">
        <f t="shared" si="1"/>
        <v>16</v>
      </c>
      <c r="C18">
        <v>22</v>
      </c>
      <c r="D18" s="12">
        <v>1</v>
      </c>
      <c r="E18">
        <v>3</v>
      </c>
      <c r="F18" s="13" t="s">
        <v>520</v>
      </c>
      <c r="H18" t="str">
        <f t="shared" si="0"/>
        <v>(NULL,"22","1","3",NULL),</v>
      </c>
      <c r="I18" t="str">
        <f>TextJoin(tblSubjPrerequisites[[#This Row],[SubjectID]:[YearLevelID]],"Value")</f>
        <v>"22","1","3",NULL</v>
      </c>
    </row>
    <row r="19" spans="2:9" x14ac:dyDescent="0.25">
      <c r="B19">
        <f t="shared" si="1"/>
        <v>17</v>
      </c>
      <c r="C19">
        <v>26</v>
      </c>
      <c r="D19" s="12">
        <v>1</v>
      </c>
      <c r="E19">
        <v>17</v>
      </c>
      <c r="F19" s="13" t="s">
        <v>520</v>
      </c>
      <c r="H19" t="str">
        <f t="shared" si="0"/>
        <v>(NULL,"26","1","17",NULL),</v>
      </c>
      <c r="I19" t="str">
        <f>TextJoin(tblSubjPrerequisites[[#This Row],[SubjectID]:[YearLevelID]],"Value")</f>
        <v>"26","1","17",NULL</v>
      </c>
    </row>
    <row r="20" spans="2:9" x14ac:dyDescent="0.25">
      <c r="B20">
        <f t="shared" si="1"/>
        <v>18</v>
      </c>
      <c r="C20">
        <v>27</v>
      </c>
      <c r="D20" s="12">
        <v>1</v>
      </c>
      <c r="E20">
        <v>19</v>
      </c>
      <c r="F20" s="13" t="s">
        <v>520</v>
      </c>
      <c r="H20" t="str">
        <f t="shared" si="0"/>
        <v>(NULL,"27","1","19",NULL),</v>
      </c>
      <c r="I20" t="str">
        <f>TextJoin(tblSubjPrerequisites[[#This Row],[SubjectID]:[YearLevelID]],"Value")</f>
        <v>"27","1","19",NULL</v>
      </c>
    </row>
    <row r="21" spans="2:9" x14ac:dyDescent="0.25">
      <c r="B21">
        <f t="shared" si="1"/>
        <v>19</v>
      </c>
      <c r="C21">
        <v>28</v>
      </c>
      <c r="D21" s="12">
        <v>1</v>
      </c>
      <c r="E21">
        <v>2</v>
      </c>
      <c r="F21" s="13" t="s">
        <v>520</v>
      </c>
      <c r="H21" t="str">
        <f t="shared" si="0"/>
        <v>(NULL,"28","1","2",NULL),</v>
      </c>
      <c r="I21" t="str">
        <f>TextJoin(tblSubjPrerequisites[[#This Row],[SubjectID]:[YearLevelID]],"Value")</f>
        <v>"28","1","2",NULL</v>
      </c>
    </row>
    <row r="22" spans="2:9" x14ac:dyDescent="0.25">
      <c r="B22">
        <f t="shared" si="1"/>
        <v>20</v>
      </c>
      <c r="C22">
        <v>29</v>
      </c>
      <c r="D22" s="12">
        <v>1</v>
      </c>
      <c r="E22">
        <v>21</v>
      </c>
      <c r="F22" s="13" t="s">
        <v>520</v>
      </c>
      <c r="H22" t="str">
        <f t="shared" si="0"/>
        <v>(NULL,"29","1","21",NULL),</v>
      </c>
      <c r="I22" t="str">
        <f>TextJoin(tblSubjPrerequisites[[#This Row],[SubjectID]:[YearLevelID]],"Value")</f>
        <v>"29","1","21",NULL</v>
      </c>
    </row>
    <row r="23" spans="2:9" x14ac:dyDescent="0.25">
      <c r="B23">
        <f t="shared" si="1"/>
        <v>21</v>
      </c>
      <c r="C23">
        <v>30</v>
      </c>
      <c r="D23" s="12">
        <v>1</v>
      </c>
      <c r="E23">
        <v>22</v>
      </c>
      <c r="F23" s="13" t="s">
        <v>520</v>
      </c>
      <c r="H23" t="str">
        <f t="shared" si="0"/>
        <v>(NULL,"30","1","22",NULL),</v>
      </c>
      <c r="I23" t="str">
        <f>TextJoin(tblSubjPrerequisites[[#This Row],[SubjectID]:[YearLevelID]],"Value")</f>
        <v>"30","1","22",NULL</v>
      </c>
    </row>
    <row r="24" spans="2:9" x14ac:dyDescent="0.25">
      <c r="B24">
        <f t="shared" si="1"/>
        <v>22</v>
      </c>
      <c r="C24">
        <v>31</v>
      </c>
      <c r="D24" s="12">
        <v>1</v>
      </c>
      <c r="E24">
        <v>6</v>
      </c>
      <c r="F24" s="13" t="s">
        <v>520</v>
      </c>
      <c r="H24" t="str">
        <f t="shared" si="0"/>
        <v>(NULL,"31","1","6",NULL),</v>
      </c>
      <c r="I24" t="str">
        <f>TextJoin(tblSubjPrerequisites[[#This Row],[SubjectID]:[YearLevelID]],"Value")</f>
        <v>"31","1","6",NULL</v>
      </c>
    </row>
    <row r="25" spans="2:9" x14ac:dyDescent="0.25">
      <c r="B25">
        <f t="shared" si="1"/>
        <v>23</v>
      </c>
      <c r="C25">
        <v>33</v>
      </c>
      <c r="D25" s="12">
        <v>1</v>
      </c>
      <c r="E25">
        <v>27</v>
      </c>
      <c r="F25" s="13" t="s">
        <v>520</v>
      </c>
      <c r="H25" t="str">
        <f t="shared" si="0"/>
        <v>(NULL,"33","1","27",NULL),</v>
      </c>
      <c r="I25" t="str">
        <f>TextJoin(tblSubjPrerequisites[[#This Row],[SubjectID]:[YearLevelID]],"Value")</f>
        <v>"33","1","27",NULL</v>
      </c>
    </row>
    <row r="26" spans="2:9" x14ac:dyDescent="0.25">
      <c r="B26">
        <f t="shared" si="1"/>
        <v>24</v>
      </c>
      <c r="C26">
        <v>34</v>
      </c>
      <c r="D26" s="12">
        <v>1</v>
      </c>
      <c r="E26">
        <v>26</v>
      </c>
      <c r="F26" s="13" t="s">
        <v>520</v>
      </c>
      <c r="H26" t="str">
        <f t="shared" si="0"/>
        <v>(NULL,"34","1","26",NULL),</v>
      </c>
      <c r="I26" t="str">
        <f>TextJoin(tblSubjPrerequisites[[#This Row],[SubjectID]:[YearLevelID]],"Value")</f>
        <v>"34","1","26",NULL</v>
      </c>
    </row>
    <row r="27" spans="2:9" x14ac:dyDescent="0.25">
      <c r="B27">
        <f t="shared" ref="B27:B58" si="2">B26+1</f>
        <v>25</v>
      </c>
      <c r="C27">
        <v>35</v>
      </c>
      <c r="D27" s="12">
        <v>2</v>
      </c>
      <c r="E27" s="13" t="s">
        <v>520</v>
      </c>
      <c r="F27" s="13">
        <v>3</v>
      </c>
      <c r="H27" t="str">
        <f t="shared" si="0"/>
        <v>(NULL,"35","2",NULL,"3"),</v>
      </c>
      <c r="I27" t="str">
        <f>TextJoin(tblSubjPrerequisites[[#This Row],[SubjectID]:[YearLevelID]],"Value")</f>
        <v>"35","2",NULL,"3"</v>
      </c>
    </row>
    <row r="28" spans="2:9" x14ac:dyDescent="0.25">
      <c r="B28">
        <f t="shared" si="2"/>
        <v>26</v>
      </c>
      <c r="C28">
        <v>36</v>
      </c>
      <c r="D28" s="12">
        <v>1</v>
      </c>
      <c r="E28">
        <v>29</v>
      </c>
      <c r="F28" s="13" t="s">
        <v>520</v>
      </c>
      <c r="H28" t="str">
        <f t="shared" si="0"/>
        <v>(NULL,"36","1","29",NULL),</v>
      </c>
      <c r="I28" t="str">
        <f>TextJoin(tblSubjPrerequisites[[#This Row],[SubjectID]:[YearLevelID]],"Value")</f>
        <v>"36","1","29",NULL</v>
      </c>
    </row>
    <row r="29" spans="2:9" x14ac:dyDescent="0.25">
      <c r="B29">
        <f t="shared" si="2"/>
        <v>27</v>
      </c>
      <c r="C29">
        <v>37</v>
      </c>
      <c r="D29" s="12">
        <v>1</v>
      </c>
      <c r="E29">
        <v>22</v>
      </c>
      <c r="F29" s="13" t="s">
        <v>520</v>
      </c>
      <c r="H29" t="str">
        <f t="shared" si="0"/>
        <v>(NULL,"37","1","22",NULL),</v>
      </c>
      <c r="I29" t="str">
        <f>TextJoin(tblSubjPrerequisites[[#This Row],[SubjectID]:[YearLevelID]],"Value")</f>
        <v>"37","1","22",NULL</v>
      </c>
    </row>
    <row r="30" spans="2:9" x14ac:dyDescent="0.25">
      <c r="B30">
        <f t="shared" si="2"/>
        <v>28</v>
      </c>
      <c r="C30">
        <v>37</v>
      </c>
      <c r="D30" s="12">
        <v>1</v>
      </c>
      <c r="E30">
        <v>29</v>
      </c>
      <c r="F30" s="13" t="s">
        <v>520</v>
      </c>
      <c r="H30" t="str">
        <f t="shared" si="0"/>
        <v>(NULL,"37","1","29",NULL),</v>
      </c>
      <c r="I30" t="str">
        <f>TextJoin(tblSubjPrerequisites[[#This Row],[SubjectID]:[YearLevelID]],"Value")</f>
        <v>"37","1","29",NULL</v>
      </c>
    </row>
    <row r="31" spans="2:9" x14ac:dyDescent="0.25">
      <c r="B31">
        <f t="shared" si="2"/>
        <v>29</v>
      </c>
      <c r="C31">
        <v>38</v>
      </c>
      <c r="D31" s="12">
        <v>1</v>
      </c>
      <c r="E31">
        <v>30</v>
      </c>
      <c r="F31" s="13" t="s">
        <v>520</v>
      </c>
      <c r="H31" t="str">
        <f t="shared" si="0"/>
        <v>(NULL,"38","1","30",NULL),</v>
      </c>
      <c r="I31" t="str">
        <f>TextJoin(tblSubjPrerequisites[[#This Row],[SubjectID]:[YearLevelID]],"Value")</f>
        <v>"38","1","30",NULL</v>
      </c>
    </row>
    <row r="32" spans="2:9" x14ac:dyDescent="0.25">
      <c r="B32">
        <f t="shared" si="2"/>
        <v>30</v>
      </c>
      <c r="C32">
        <v>38</v>
      </c>
      <c r="D32" s="12">
        <v>1</v>
      </c>
      <c r="E32">
        <v>29</v>
      </c>
      <c r="F32" s="13" t="s">
        <v>520</v>
      </c>
      <c r="H32" t="str">
        <f t="shared" si="0"/>
        <v>(NULL,"38","1","29",NULL),</v>
      </c>
      <c r="I32" t="str">
        <f>TextJoin(tblSubjPrerequisites[[#This Row],[SubjectID]:[YearLevelID]],"Value")</f>
        <v>"38","1","29",NULL</v>
      </c>
    </row>
    <row r="33" spans="2:9" x14ac:dyDescent="0.25">
      <c r="B33">
        <f t="shared" si="2"/>
        <v>31</v>
      </c>
      <c r="C33">
        <v>39</v>
      </c>
      <c r="D33" s="12">
        <v>1</v>
      </c>
      <c r="E33">
        <v>30</v>
      </c>
      <c r="F33" s="13" t="s">
        <v>520</v>
      </c>
      <c r="H33" t="str">
        <f t="shared" si="0"/>
        <v>(NULL,"39","1","30",NULL),</v>
      </c>
      <c r="I33" t="str">
        <f>TextJoin(tblSubjPrerequisites[[#This Row],[SubjectID]:[YearLevelID]],"Value")</f>
        <v>"39","1","30",NULL</v>
      </c>
    </row>
    <row r="34" spans="2:9" x14ac:dyDescent="0.25">
      <c r="B34">
        <f t="shared" si="2"/>
        <v>32</v>
      </c>
      <c r="C34">
        <v>39</v>
      </c>
      <c r="D34" s="12">
        <v>1</v>
      </c>
      <c r="E34">
        <v>29</v>
      </c>
      <c r="F34" s="13" t="s">
        <v>520</v>
      </c>
      <c r="H34" t="str">
        <f t="shared" si="0"/>
        <v>(NULL,"39","1","29",NULL),</v>
      </c>
      <c r="I34" t="str">
        <f>TextJoin(tblSubjPrerequisites[[#This Row],[SubjectID]:[YearLevelID]],"Value")</f>
        <v>"39","1","29",NULL</v>
      </c>
    </row>
    <row r="35" spans="2:9" x14ac:dyDescent="0.25">
      <c r="B35">
        <f t="shared" si="2"/>
        <v>33</v>
      </c>
      <c r="C35">
        <v>40</v>
      </c>
      <c r="D35" s="12">
        <v>1</v>
      </c>
      <c r="E35">
        <v>30</v>
      </c>
      <c r="F35" s="13" t="s">
        <v>520</v>
      </c>
      <c r="H35" t="str">
        <f t="shared" si="0"/>
        <v>(NULL,"40","1","30",NULL),</v>
      </c>
      <c r="I35" t="str">
        <f>TextJoin(tblSubjPrerequisites[[#This Row],[SubjectID]:[YearLevelID]],"Value")</f>
        <v>"40","1","30",NULL</v>
      </c>
    </row>
    <row r="36" spans="2:9" x14ac:dyDescent="0.25">
      <c r="B36">
        <f t="shared" si="2"/>
        <v>34</v>
      </c>
      <c r="C36">
        <v>41</v>
      </c>
      <c r="D36" s="12">
        <v>1</v>
      </c>
      <c r="E36">
        <v>31</v>
      </c>
      <c r="F36" s="13" t="s">
        <v>520</v>
      </c>
      <c r="H36" t="str">
        <f t="shared" si="0"/>
        <v>(NULL,"41","1","31",NULL),</v>
      </c>
      <c r="I36" t="str">
        <f>TextJoin(tblSubjPrerequisites[[#This Row],[SubjectID]:[YearLevelID]],"Value")</f>
        <v>"41","1","31",NULL</v>
      </c>
    </row>
    <row r="37" spans="2:9" x14ac:dyDescent="0.25">
      <c r="B37">
        <f t="shared" si="2"/>
        <v>35</v>
      </c>
      <c r="C37">
        <v>42</v>
      </c>
      <c r="D37" s="12">
        <v>1</v>
      </c>
      <c r="E37">
        <v>2</v>
      </c>
      <c r="F37" s="13" t="s">
        <v>520</v>
      </c>
      <c r="H37" t="str">
        <f t="shared" si="0"/>
        <v>(NULL,"42","1","2",NULL),</v>
      </c>
      <c r="I37" t="str">
        <f>TextJoin(tblSubjPrerequisites[[#This Row],[SubjectID]:[YearLevelID]],"Value")</f>
        <v>"42","1","2",NULL</v>
      </c>
    </row>
    <row r="38" spans="2:9" x14ac:dyDescent="0.25">
      <c r="B38">
        <f t="shared" si="2"/>
        <v>36</v>
      </c>
      <c r="C38">
        <v>43</v>
      </c>
      <c r="D38" s="12">
        <v>1</v>
      </c>
      <c r="E38">
        <v>36</v>
      </c>
      <c r="F38" s="13" t="s">
        <v>520</v>
      </c>
      <c r="H38" t="str">
        <f t="shared" si="0"/>
        <v>(NULL,"43","1","36",NULL),</v>
      </c>
      <c r="I38" t="str">
        <f>TextJoin(tblSubjPrerequisites[[#This Row],[SubjectID]:[YearLevelID]],"Value")</f>
        <v>"43","1","36",NULL</v>
      </c>
    </row>
    <row r="39" spans="2:9" x14ac:dyDescent="0.25">
      <c r="B39">
        <f t="shared" si="2"/>
        <v>37</v>
      </c>
      <c r="C39">
        <v>44</v>
      </c>
      <c r="D39" s="12">
        <v>1</v>
      </c>
      <c r="E39">
        <v>38</v>
      </c>
      <c r="F39" s="13" t="s">
        <v>520</v>
      </c>
      <c r="H39" t="str">
        <f t="shared" si="0"/>
        <v>(NULL,"44","1","38",NULL),</v>
      </c>
      <c r="I39" t="str">
        <f>TextJoin(tblSubjPrerequisites[[#This Row],[SubjectID]:[YearLevelID]],"Value")</f>
        <v>"44","1","38",NULL</v>
      </c>
    </row>
    <row r="40" spans="2:9" x14ac:dyDescent="0.25">
      <c r="B40">
        <f t="shared" si="2"/>
        <v>38</v>
      </c>
      <c r="C40">
        <v>45</v>
      </c>
      <c r="D40" s="12">
        <v>1</v>
      </c>
      <c r="E40">
        <v>4</v>
      </c>
      <c r="F40" s="13" t="s">
        <v>520</v>
      </c>
      <c r="H40" t="str">
        <f t="shared" si="0"/>
        <v>(NULL,"45","1","4",NULL),</v>
      </c>
      <c r="I40" t="str">
        <f>TextJoin(tblSubjPrerequisites[[#This Row],[SubjectID]:[YearLevelID]],"Value")</f>
        <v>"45","1","4",NULL</v>
      </c>
    </row>
    <row r="41" spans="2:9" x14ac:dyDescent="0.25">
      <c r="B41">
        <f t="shared" si="2"/>
        <v>39</v>
      </c>
      <c r="C41">
        <v>46</v>
      </c>
      <c r="D41" s="12">
        <v>2</v>
      </c>
      <c r="E41" s="13" t="s">
        <v>520</v>
      </c>
      <c r="F41" s="13">
        <v>3</v>
      </c>
      <c r="H41" t="str">
        <f t="shared" si="0"/>
        <v>(NULL,"46","2",NULL,"3"),</v>
      </c>
      <c r="I41" t="str">
        <f>TextJoin(tblSubjPrerequisites[[#This Row],[SubjectID]:[YearLevelID]],"Value")</f>
        <v>"46","2",NULL,"3"</v>
      </c>
    </row>
    <row r="42" spans="2:9" x14ac:dyDescent="0.25">
      <c r="B42">
        <f t="shared" si="2"/>
        <v>40</v>
      </c>
      <c r="C42">
        <v>47</v>
      </c>
      <c r="D42" s="12">
        <v>1</v>
      </c>
      <c r="E42">
        <v>40</v>
      </c>
      <c r="F42" s="13" t="s">
        <v>520</v>
      </c>
      <c r="H42" t="str">
        <f t="shared" si="0"/>
        <v>(NULL,"47","1","40",NULL),</v>
      </c>
      <c r="I42" t="str">
        <f>TextJoin(tblSubjPrerequisites[[#This Row],[SubjectID]:[YearLevelID]],"Value")</f>
        <v>"47","1","40",NULL</v>
      </c>
    </row>
    <row r="43" spans="2:9" x14ac:dyDescent="0.25">
      <c r="B43">
        <f t="shared" si="2"/>
        <v>41</v>
      </c>
      <c r="C43">
        <v>48</v>
      </c>
      <c r="D43" s="12">
        <v>1</v>
      </c>
      <c r="E43">
        <v>38</v>
      </c>
      <c r="F43" s="13" t="s">
        <v>520</v>
      </c>
      <c r="H43" t="str">
        <f t="shared" si="0"/>
        <v>(NULL,"48","1","38",NULL),</v>
      </c>
      <c r="I43" t="str">
        <f>TextJoin(tblSubjPrerequisites[[#This Row],[SubjectID]:[YearLevelID]],"Value")</f>
        <v>"48","1","38",NULL</v>
      </c>
    </row>
    <row r="44" spans="2:9" x14ac:dyDescent="0.25">
      <c r="B44">
        <f t="shared" si="2"/>
        <v>42</v>
      </c>
      <c r="C44">
        <v>49</v>
      </c>
      <c r="D44" s="12">
        <v>1</v>
      </c>
      <c r="E44">
        <v>41</v>
      </c>
      <c r="F44" s="13" t="s">
        <v>520</v>
      </c>
      <c r="H44" t="str">
        <f t="shared" si="0"/>
        <v>(NULL,"49","1","41",NULL),</v>
      </c>
      <c r="I44" t="str">
        <f>TextJoin(tblSubjPrerequisites[[#This Row],[SubjectID]:[YearLevelID]],"Value")</f>
        <v>"49","1","41",NULL</v>
      </c>
    </row>
    <row r="45" spans="2:9" x14ac:dyDescent="0.25">
      <c r="B45">
        <f t="shared" si="2"/>
        <v>43</v>
      </c>
      <c r="C45">
        <v>50</v>
      </c>
      <c r="D45" s="12">
        <v>1</v>
      </c>
      <c r="E45">
        <v>41</v>
      </c>
      <c r="F45" s="13" t="s">
        <v>520</v>
      </c>
      <c r="H45" t="str">
        <f t="shared" si="0"/>
        <v>(NULL,"50","1","41",NULL),</v>
      </c>
      <c r="I45" t="str">
        <f>TextJoin(tblSubjPrerequisites[[#This Row],[SubjectID]:[YearLevelID]],"Value")</f>
        <v>"50","1","41",NULL</v>
      </c>
    </row>
    <row r="46" spans="2:9" x14ac:dyDescent="0.25">
      <c r="B46">
        <f t="shared" si="2"/>
        <v>44</v>
      </c>
      <c r="C46">
        <v>51</v>
      </c>
      <c r="D46" s="12">
        <v>1</v>
      </c>
      <c r="E46">
        <v>43</v>
      </c>
      <c r="F46" s="13" t="s">
        <v>520</v>
      </c>
      <c r="H46" t="str">
        <f t="shared" si="0"/>
        <v>(NULL,"51","1","43",NULL),</v>
      </c>
      <c r="I46" t="str">
        <f>TextJoin(tblSubjPrerequisites[[#This Row],[SubjectID]:[YearLevelID]],"Value")</f>
        <v>"51","1","43",NULL</v>
      </c>
    </row>
    <row r="47" spans="2:9" x14ac:dyDescent="0.25">
      <c r="B47">
        <f t="shared" si="2"/>
        <v>45</v>
      </c>
      <c r="C47">
        <v>52</v>
      </c>
      <c r="D47" s="12">
        <v>1</v>
      </c>
      <c r="E47">
        <v>46</v>
      </c>
      <c r="F47" s="13" t="s">
        <v>520</v>
      </c>
      <c r="H47" t="str">
        <f t="shared" si="0"/>
        <v>(NULL,"52","1","46",NULL),</v>
      </c>
      <c r="I47" t="str">
        <f>TextJoin(tblSubjPrerequisites[[#This Row],[SubjectID]:[YearLevelID]],"Value")</f>
        <v>"52","1","46",NULL</v>
      </c>
    </row>
    <row r="48" spans="2:9" x14ac:dyDescent="0.25">
      <c r="B48">
        <f t="shared" si="2"/>
        <v>46</v>
      </c>
      <c r="C48">
        <v>192</v>
      </c>
      <c r="D48" s="12">
        <v>2</v>
      </c>
      <c r="E48" s="13" t="s">
        <v>520</v>
      </c>
      <c r="F48" s="13">
        <v>3</v>
      </c>
      <c r="H48" t="str">
        <f t="shared" si="0"/>
        <v>(NULL,"192","2",NULL,"3"),</v>
      </c>
      <c r="I48" t="str">
        <f>TextJoin(tblSubjPrerequisites[[#This Row],[SubjectID]:[YearLevelID]],"Value")</f>
        <v>"192","2",NULL,"3"</v>
      </c>
    </row>
    <row r="49" spans="2:9" x14ac:dyDescent="0.25">
      <c r="B49">
        <f t="shared" si="2"/>
        <v>47</v>
      </c>
      <c r="C49">
        <v>54</v>
      </c>
      <c r="D49" s="12">
        <v>1</v>
      </c>
      <c r="E49">
        <v>49</v>
      </c>
      <c r="F49" s="13" t="s">
        <v>520</v>
      </c>
      <c r="H49" t="str">
        <f t="shared" si="0"/>
        <v>(NULL,"54","1","49",NULL),</v>
      </c>
      <c r="I49" t="str">
        <f>TextJoin(tblSubjPrerequisites[[#This Row],[SubjectID]:[YearLevelID]],"Value")</f>
        <v>"54","1","49",NULL</v>
      </c>
    </row>
    <row r="50" spans="2:9" x14ac:dyDescent="0.25">
      <c r="B50">
        <f t="shared" si="2"/>
        <v>48</v>
      </c>
      <c r="C50">
        <v>55</v>
      </c>
      <c r="D50" s="12">
        <v>1</v>
      </c>
      <c r="E50">
        <v>47</v>
      </c>
      <c r="F50" s="13" t="s">
        <v>520</v>
      </c>
      <c r="H50" t="str">
        <f t="shared" si="0"/>
        <v>(NULL,"55","1","47",NULL),</v>
      </c>
      <c r="I50" t="str">
        <f>TextJoin(tblSubjPrerequisites[[#This Row],[SubjectID]:[YearLevelID]],"Value")</f>
        <v>"55","1","47",NULL</v>
      </c>
    </row>
    <row r="51" spans="2:9" x14ac:dyDescent="0.25">
      <c r="B51">
        <f t="shared" si="2"/>
        <v>49</v>
      </c>
      <c r="C51">
        <v>55</v>
      </c>
      <c r="D51" s="12">
        <v>1</v>
      </c>
      <c r="E51">
        <v>48</v>
      </c>
      <c r="F51" s="13" t="s">
        <v>520</v>
      </c>
      <c r="H51" t="str">
        <f t="shared" si="0"/>
        <v>(NULL,"55","1","48",NULL),</v>
      </c>
      <c r="I51" t="str">
        <f>TextJoin(tblSubjPrerequisites[[#This Row],[SubjectID]:[YearLevelID]],"Value")</f>
        <v>"55","1","48",NULL</v>
      </c>
    </row>
    <row r="52" spans="2:9" x14ac:dyDescent="0.25">
      <c r="B52">
        <f t="shared" si="2"/>
        <v>50</v>
      </c>
      <c r="C52">
        <v>56</v>
      </c>
      <c r="D52" s="12">
        <v>1</v>
      </c>
      <c r="E52">
        <v>37</v>
      </c>
      <c r="F52" s="13" t="s">
        <v>520</v>
      </c>
      <c r="H52" t="str">
        <f t="shared" si="0"/>
        <v>(NULL,"56","1","37",NULL),</v>
      </c>
      <c r="I52" t="str">
        <f>TextJoin(tblSubjPrerequisites[[#This Row],[SubjectID]:[YearLevelID]],"Value")</f>
        <v>"56","1","37",NULL</v>
      </c>
    </row>
    <row r="53" spans="2:9" x14ac:dyDescent="0.25">
      <c r="B53">
        <f t="shared" si="2"/>
        <v>51</v>
      </c>
      <c r="C53">
        <v>57</v>
      </c>
      <c r="D53" s="12">
        <v>1</v>
      </c>
      <c r="E53">
        <v>43</v>
      </c>
      <c r="F53" s="13" t="s">
        <v>520</v>
      </c>
      <c r="H53" t="str">
        <f t="shared" si="0"/>
        <v>(NULL,"57","1","43",NULL),</v>
      </c>
      <c r="I53" t="str">
        <f>TextJoin(tblSubjPrerequisites[[#This Row],[SubjectID]:[YearLevelID]],"Value")</f>
        <v>"57","1","43",NULL</v>
      </c>
    </row>
    <row r="54" spans="2:9" x14ac:dyDescent="0.25">
      <c r="B54">
        <f t="shared" si="2"/>
        <v>52</v>
      </c>
      <c r="C54">
        <v>58</v>
      </c>
      <c r="D54" s="12">
        <v>1</v>
      </c>
      <c r="E54">
        <v>16</v>
      </c>
      <c r="F54" s="13" t="s">
        <v>520</v>
      </c>
      <c r="H54" t="str">
        <f t="shared" si="0"/>
        <v>(NULL,"58","1","16",NULL),</v>
      </c>
      <c r="I54" t="str">
        <f>TextJoin(tblSubjPrerequisites[[#This Row],[SubjectID]:[YearLevelID]],"Value")</f>
        <v>"58","1","16",NULL</v>
      </c>
    </row>
    <row r="55" spans="2:9" x14ac:dyDescent="0.25">
      <c r="B55">
        <f t="shared" si="2"/>
        <v>53</v>
      </c>
      <c r="C55">
        <v>60</v>
      </c>
      <c r="D55" s="12">
        <v>1</v>
      </c>
      <c r="E55">
        <v>54</v>
      </c>
      <c r="F55" s="13" t="s">
        <v>520</v>
      </c>
      <c r="H55" t="str">
        <f t="shared" si="0"/>
        <v>(NULL,"60","1","54",NULL),</v>
      </c>
      <c r="I55" t="str">
        <f>TextJoin(tblSubjPrerequisites[[#This Row],[SubjectID]:[YearLevelID]],"Value")</f>
        <v>"60","1","54",NULL</v>
      </c>
    </row>
    <row r="56" spans="2:9" x14ac:dyDescent="0.25">
      <c r="B56">
        <f t="shared" si="2"/>
        <v>54</v>
      </c>
      <c r="C56">
        <v>61</v>
      </c>
      <c r="D56" s="12">
        <v>1</v>
      </c>
      <c r="E56">
        <v>53</v>
      </c>
      <c r="F56" s="13" t="s">
        <v>520</v>
      </c>
      <c r="H56" t="str">
        <f t="shared" si="0"/>
        <v>(NULL,"61","1","53",NULL),</v>
      </c>
      <c r="I56" t="str">
        <f>TextJoin(tblSubjPrerequisites[[#This Row],[SubjectID]:[YearLevelID]],"Value")</f>
        <v>"61","1","53",NULL</v>
      </c>
    </row>
    <row r="57" spans="2:9" x14ac:dyDescent="0.25">
      <c r="B57" s="5">
        <f t="shared" si="2"/>
        <v>55</v>
      </c>
      <c r="C57" s="5">
        <v>62</v>
      </c>
      <c r="D57" s="35">
        <v>1</v>
      </c>
      <c r="E57" s="5">
        <v>41</v>
      </c>
      <c r="F57" s="13" t="s">
        <v>520</v>
      </c>
      <c r="H57" t="str">
        <f t="shared" si="0"/>
        <v>(NULL,"62","1","41",NULL),</v>
      </c>
      <c r="I57" t="str">
        <f>TextJoin(tblSubjPrerequisites[[#This Row],[SubjectID]:[YearLevelID]],"Value")</f>
        <v>"62","1","41",NULL</v>
      </c>
    </row>
    <row r="58" spans="2:9" x14ac:dyDescent="0.25">
      <c r="B58">
        <f t="shared" si="2"/>
        <v>56</v>
      </c>
      <c r="C58">
        <v>62</v>
      </c>
      <c r="D58" s="12">
        <v>1</v>
      </c>
      <c r="E58">
        <v>54</v>
      </c>
      <c r="F58" s="13" t="s">
        <v>520</v>
      </c>
      <c r="H58" t="str">
        <f t="shared" si="0"/>
        <v>(NULL,"62","1","54",NULL),</v>
      </c>
      <c r="I58" t="str">
        <f>TextJoin(tblSubjPrerequisites[[#This Row],[SubjectID]:[YearLevelID]],"Value")</f>
        <v>"62","1","54",NULL</v>
      </c>
    </row>
    <row r="59" spans="2:9" x14ac:dyDescent="0.25">
      <c r="B59">
        <f t="shared" ref="B59:B90" si="3">B58+1</f>
        <v>57</v>
      </c>
      <c r="C59">
        <v>63</v>
      </c>
      <c r="D59" s="12">
        <v>1</v>
      </c>
      <c r="E59">
        <v>4</v>
      </c>
      <c r="F59" s="13" t="s">
        <v>520</v>
      </c>
      <c r="H59" t="str">
        <f t="shared" si="0"/>
        <v>(NULL,"63","1","4",NULL),</v>
      </c>
      <c r="I59" t="str">
        <f>TextJoin(tblSubjPrerequisites[[#This Row],[SubjectID]:[YearLevelID]],"Value")</f>
        <v>"63","1","4",NULL</v>
      </c>
    </row>
    <row r="60" spans="2:9" x14ac:dyDescent="0.25">
      <c r="B60">
        <f t="shared" si="3"/>
        <v>58</v>
      </c>
      <c r="C60">
        <v>74</v>
      </c>
      <c r="D60" s="12">
        <v>1</v>
      </c>
      <c r="E60">
        <v>52</v>
      </c>
      <c r="F60" s="13" t="s">
        <v>520</v>
      </c>
      <c r="H60" t="str">
        <f t="shared" si="0"/>
        <v>(NULL,"74","1","52",NULL),</v>
      </c>
      <c r="I60" t="str">
        <f>TextJoin(tblSubjPrerequisites[[#This Row],[SubjectID]:[YearLevelID]],"Value")</f>
        <v>"74","1","52",NULL</v>
      </c>
    </row>
    <row r="61" spans="2:9" x14ac:dyDescent="0.25">
      <c r="B61">
        <f t="shared" si="3"/>
        <v>59</v>
      </c>
      <c r="C61">
        <v>196</v>
      </c>
      <c r="D61" s="12">
        <v>2</v>
      </c>
      <c r="E61" s="13" t="s">
        <v>520</v>
      </c>
      <c r="F61" s="13">
        <v>3</v>
      </c>
      <c r="H61" t="str">
        <f t="shared" si="0"/>
        <v>(NULL,"196","2",NULL,"3"),</v>
      </c>
      <c r="I61" t="str">
        <f>TextJoin(tblSubjPrerequisites[[#This Row],[SubjectID]:[YearLevelID]],"Value")</f>
        <v>"196","2",NULL,"3"</v>
      </c>
    </row>
    <row r="62" spans="2:9" x14ac:dyDescent="0.25">
      <c r="B62">
        <f t="shared" si="3"/>
        <v>60</v>
      </c>
      <c r="C62">
        <v>67</v>
      </c>
      <c r="D62" s="12">
        <v>1</v>
      </c>
      <c r="E62">
        <v>31</v>
      </c>
      <c r="F62" s="13" t="s">
        <v>520</v>
      </c>
      <c r="H62" t="str">
        <f t="shared" si="0"/>
        <v>(NULL,"67","1","31",NULL),</v>
      </c>
      <c r="I62" t="str">
        <f>TextJoin(tblSubjPrerequisites[[#This Row],[SubjectID]:[YearLevelID]],"Value")</f>
        <v>"67","1","31",NULL</v>
      </c>
    </row>
    <row r="63" spans="2:9" x14ac:dyDescent="0.25">
      <c r="B63">
        <f t="shared" si="3"/>
        <v>61</v>
      </c>
      <c r="C63">
        <v>68</v>
      </c>
      <c r="D63" s="12">
        <v>1</v>
      </c>
      <c r="E63">
        <v>31</v>
      </c>
      <c r="F63" s="13" t="s">
        <v>520</v>
      </c>
      <c r="H63" t="str">
        <f t="shared" si="0"/>
        <v>(NULL,"68","1","31",NULL),</v>
      </c>
      <c r="I63" t="str">
        <f>TextJoin(tblSubjPrerequisites[[#This Row],[SubjectID]:[YearLevelID]],"Value")</f>
        <v>"68","1","31",NULL</v>
      </c>
    </row>
    <row r="64" spans="2:9" x14ac:dyDescent="0.25">
      <c r="B64">
        <f t="shared" si="3"/>
        <v>62</v>
      </c>
      <c r="C64">
        <v>197</v>
      </c>
      <c r="D64" s="12">
        <v>2</v>
      </c>
      <c r="E64" s="13" t="s">
        <v>520</v>
      </c>
      <c r="F64" s="13">
        <v>3</v>
      </c>
      <c r="H64" t="str">
        <f t="shared" si="0"/>
        <v>(NULL,"197","2",NULL,"3"),</v>
      </c>
      <c r="I64" t="str">
        <f>TextJoin(tblSubjPrerequisites[[#This Row],[SubjectID]:[YearLevelID]],"Value")</f>
        <v>"197","2",NULL,"3"</v>
      </c>
    </row>
    <row r="65" spans="2:9" x14ac:dyDescent="0.25">
      <c r="B65">
        <f t="shared" si="3"/>
        <v>63</v>
      </c>
      <c r="C65">
        <v>70</v>
      </c>
      <c r="D65" s="12">
        <v>1</v>
      </c>
      <c r="E65">
        <v>61</v>
      </c>
      <c r="F65" s="13" t="s">
        <v>520</v>
      </c>
      <c r="H65" t="str">
        <f t="shared" si="0"/>
        <v>(NULL,"70","1","61",NULL),</v>
      </c>
      <c r="I65" t="str">
        <f>TextJoin(tblSubjPrerequisites[[#This Row],[SubjectID]:[YearLevelID]],"Value")</f>
        <v>"70","1","61",NULL</v>
      </c>
    </row>
    <row r="66" spans="2:9" x14ac:dyDescent="0.25">
      <c r="B66">
        <f t="shared" si="3"/>
        <v>64</v>
      </c>
      <c r="C66">
        <v>198</v>
      </c>
      <c r="D66" s="12">
        <v>2</v>
      </c>
      <c r="E66" s="13" t="s">
        <v>520</v>
      </c>
      <c r="F66" s="13">
        <v>3</v>
      </c>
      <c r="H66" t="str">
        <f t="shared" si="0"/>
        <v>(NULL,"198","2",NULL,"3"),</v>
      </c>
      <c r="I66" t="str">
        <f>TextJoin(tblSubjPrerequisites[[#This Row],[SubjectID]:[YearLevelID]],"Value")</f>
        <v>"198","2",NULL,"3"</v>
      </c>
    </row>
    <row r="67" spans="2:9" x14ac:dyDescent="0.25">
      <c r="B67">
        <f t="shared" si="3"/>
        <v>65</v>
      </c>
      <c r="C67">
        <v>73</v>
      </c>
      <c r="D67" s="12">
        <v>1</v>
      </c>
      <c r="E67">
        <v>60</v>
      </c>
      <c r="F67" s="13" t="s">
        <v>520</v>
      </c>
      <c r="H67" t="str">
        <f t="shared" si="0"/>
        <v>(NULL,"73","1","60",NULL),</v>
      </c>
      <c r="I67" t="str">
        <f>TextJoin(tblSubjPrerequisites[[#This Row],[SubjectID]:[YearLevelID]],"Value")</f>
        <v>"73","1","60",NULL</v>
      </c>
    </row>
    <row r="68" spans="2:9" x14ac:dyDescent="0.25">
      <c r="B68">
        <f t="shared" si="3"/>
        <v>66</v>
      </c>
      <c r="C68">
        <v>141</v>
      </c>
      <c r="D68" s="12">
        <v>1</v>
      </c>
      <c r="E68">
        <v>74</v>
      </c>
      <c r="F68" s="13" t="s">
        <v>520</v>
      </c>
      <c r="H68" t="str">
        <f t="shared" ref="H68:H131" si="4">"(NULL,"&amp;I68&amp;")"&amp;IF(H69&lt;&gt;"",",",";")</f>
        <v>(NULL,"141","1","74",NULL),</v>
      </c>
      <c r="I68" t="str">
        <f>TextJoin(tblSubjPrerequisites[[#This Row],[SubjectID]:[YearLevelID]],"Value")</f>
        <v>"141","1","74",NULL</v>
      </c>
    </row>
    <row r="69" spans="2:9" x14ac:dyDescent="0.25">
      <c r="B69">
        <f t="shared" si="3"/>
        <v>67</v>
      </c>
      <c r="C69">
        <v>53</v>
      </c>
      <c r="D69" s="12">
        <v>2</v>
      </c>
      <c r="E69" s="13" t="s">
        <v>520</v>
      </c>
      <c r="F69" s="13">
        <v>4</v>
      </c>
      <c r="H69" t="str">
        <f t="shared" si="4"/>
        <v>(NULL,"53","2",NULL,"4"),</v>
      </c>
      <c r="I69" t="str">
        <f>TextJoin(tblSubjPrerequisites[[#This Row],[SubjectID]:[YearLevelID]],"Value")</f>
        <v>"53","2",NULL,"4"</v>
      </c>
    </row>
    <row r="70" spans="2:9" x14ac:dyDescent="0.25">
      <c r="B70">
        <f t="shared" si="3"/>
        <v>68</v>
      </c>
      <c r="C70">
        <v>76</v>
      </c>
      <c r="D70" s="12">
        <v>1</v>
      </c>
      <c r="E70" s="13">
        <v>67</v>
      </c>
      <c r="F70" s="13" t="s">
        <v>520</v>
      </c>
      <c r="H70" t="str">
        <f t="shared" si="4"/>
        <v>(NULL,"76","1","67",NULL),</v>
      </c>
      <c r="I70" t="str">
        <f>TextJoin(tblSubjPrerequisites[[#This Row],[SubjectID]:[YearLevelID]],"Value")</f>
        <v>"76","1","67",NULL</v>
      </c>
    </row>
    <row r="71" spans="2:9" x14ac:dyDescent="0.25">
      <c r="B71">
        <f t="shared" si="3"/>
        <v>69</v>
      </c>
      <c r="C71">
        <v>65</v>
      </c>
      <c r="D71" s="12">
        <v>2</v>
      </c>
      <c r="E71" s="13" t="s">
        <v>520</v>
      </c>
      <c r="F71" s="13">
        <v>4</v>
      </c>
      <c r="H71" t="str">
        <f t="shared" si="4"/>
        <v>(NULL,"65","2",NULL,"4"),</v>
      </c>
      <c r="I71" t="str">
        <f>TextJoin(tblSubjPrerequisites[[#This Row],[SubjectID]:[YearLevelID]],"Value")</f>
        <v>"65","2",NULL,"4"</v>
      </c>
    </row>
    <row r="72" spans="2:9" x14ac:dyDescent="0.25">
      <c r="B72">
        <f t="shared" si="3"/>
        <v>70</v>
      </c>
      <c r="C72">
        <v>78</v>
      </c>
      <c r="D72" s="12">
        <v>1</v>
      </c>
      <c r="E72">
        <v>73</v>
      </c>
      <c r="F72" s="13" t="s">
        <v>520</v>
      </c>
      <c r="H72" t="str">
        <f t="shared" si="4"/>
        <v>(NULL,"78","1","73",NULL),</v>
      </c>
      <c r="I72" t="str">
        <f>TextJoin(tblSubjPrerequisites[[#This Row],[SubjectID]:[YearLevelID]],"Value")</f>
        <v>"78","1","73",NULL</v>
      </c>
    </row>
    <row r="73" spans="2:9" x14ac:dyDescent="0.25">
      <c r="B73">
        <f t="shared" si="3"/>
        <v>71</v>
      </c>
      <c r="C73">
        <v>135</v>
      </c>
      <c r="D73" s="12">
        <v>2</v>
      </c>
      <c r="E73" s="13" t="s">
        <v>520</v>
      </c>
      <c r="F73" s="13">
        <v>4</v>
      </c>
      <c r="H73" t="str">
        <f t="shared" si="4"/>
        <v>(NULL,"135","2",NULL,"4"),</v>
      </c>
      <c r="I73" t="str">
        <f>TextJoin(tblSubjPrerequisites[[#This Row],[SubjectID]:[YearLevelID]],"Value")</f>
        <v>"135","2",NULL,"4"</v>
      </c>
    </row>
    <row r="74" spans="2:9" x14ac:dyDescent="0.25">
      <c r="B74">
        <f t="shared" si="3"/>
        <v>72</v>
      </c>
      <c r="C74">
        <v>91</v>
      </c>
      <c r="D74" s="12">
        <v>1</v>
      </c>
      <c r="E74">
        <v>81</v>
      </c>
      <c r="F74" s="13" t="s">
        <v>520</v>
      </c>
      <c r="H74" t="str">
        <f t="shared" si="4"/>
        <v>(NULL,"91","1","81",NULL),</v>
      </c>
      <c r="I74" t="str">
        <f>TextJoin(tblSubjPrerequisites[[#This Row],[SubjectID]:[YearLevelID]],"Value")</f>
        <v>"91","1","81",NULL</v>
      </c>
    </row>
    <row r="75" spans="2:9" x14ac:dyDescent="0.25">
      <c r="B75">
        <f t="shared" si="3"/>
        <v>73</v>
      </c>
      <c r="C75">
        <v>92</v>
      </c>
      <c r="D75" s="12">
        <v>1</v>
      </c>
      <c r="E75">
        <v>82</v>
      </c>
      <c r="F75" s="13" t="s">
        <v>520</v>
      </c>
      <c r="H75" t="str">
        <f t="shared" si="4"/>
        <v>(NULL,"92","1","82",NULL),</v>
      </c>
      <c r="I75" t="str">
        <f>TextJoin(tblSubjPrerequisites[[#This Row],[SubjectID]:[YearLevelID]],"Value")</f>
        <v>"92","1","82",NULL</v>
      </c>
    </row>
    <row r="76" spans="2:9" x14ac:dyDescent="0.25">
      <c r="B76">
        <f t="shared" si="3"/>
        <v>74</v>
      </c>
      <c r="C76">
        <v>94</v>
      </c>
      <c r="D76" s="12">
        <v>1</v>
      </c>
      <c r="E76">
        <v>85</v>
      </c>
      <c r="F76" s="13" t="s">
        <v>520</v>
      </c>
      <c r="H76" t="str">
        <f t="shared" si="4"/>
        <v>(NULL,"94","1","85",NULL),</v>
      </c>
      <c r="I76" t="str">
        <f>TextJoin(tblSubjPrerequisites[[#This Row],[SubjectID]:[YearLevelID]],"Value")</f>
        <v>"94","1","85",NULL</v>
      </c>
    </row>
    <row r="77" spans="2:9" x14ac:dyDescent="0.25">
      <c r="B77">
        <f t="shared" si="3"/>
        <v>75</v>
      </c>
      <c r="C77">
        <v>99</v>
      </c>
      <c r="D77" s="12">
        <v>1</v>
      </c>
      <c r="E77">
        <v>88</v>
      </c>
      <c r="F77" s="13" t="s">
        <v>520</v>
      </c>
      <c r="H77" t="str">
        <f t="shared" si="4"/>
        <v>(NULL,"99","1","88",NULL),</v>
      </c>
      <c r="I77" t="str">
        <f>TextJoin(tblSubjPrerequisites[[#This Row],[SubjectID]:[YearLevelID]],"Value")</f>
        <v>"99","1","88",NULL</v>
      </c>
    </row>
    <row r="78" spans="2:9" x14ac:dyDescent="0.25">
      <c r="B78">
        <f t="shared" si="3"/>
        <v>76</v>
      </c>
      <c r="C78">
        <v>100</v>
      </c>
      <c r="D78" s="12">
        <v>1</v>
      </c>
      <c r="E78">
        <v>89</v>
      </c>
      <c r="F78" s="13" t="s">
        <v>520</v>
      </c>
      <c r="H78" t="str">
        <f t="shared" si="4"/>
        <v>(NULL,"100","1","89",NULL),</v>
      </c>
      <c r="I78" t="str">
        <f>TextJoin(tblSubjPrerequisites[[#This Row],[SubjectID]:[YearLevelID]],"Value")</f>
        <v>"100","1","89",NULL</v>
      </c>
    </row>
    <row r="79" spans="2:9" x14ac:dyDescent="0.25">
      <c r="B79">
        <f t="shared" si="3"/>
        <v>77</v>
      </c>
      <c r="C79">
        <v>101</v>
      </c>
      <c r="D79" s="12">
        <v>1</v>
      </c>
      <c r="E79">
        <v>90</v>
      </c>
      <c r="F79" s="13" t="s">
        <v>520</v>
      </c>
      <c r="H79" t="str">
        <f t="shared" si="4"/>
        <v>(NULL,"101","1","90",NULL),</v>
      </c>
      <c r="I79" t="str">
        <f>TextJoin(tblSubjPrerequisites[[#This Row],[SubjectID]:[YearLevelID]],"Value")</f>
        <v>"101","1","90",NULL</v>
      </c>
    </row>
    <row r="80" spans="2:9" x14ac:dyDescent="0.25">
      <c r="B80">
        <f t="shared" si="3"/>
        <v>78</v>
      </c>
      <c r="C80">
        <v>102</v>
      </c>
      <c r="D80" s="12">
        <v>1</v>
      </c>
      <c r="E80">
        <v>91</v>
      </c>
      <c r="F80" s="13" t="s">
        <v>520</v>
      </c>
      <c r="H80" t="str">
        <f t="shared" si="4"/>
        <v>(NULL,"102","1","91",NULL),</v>
      </c>
      <c r="I80" t="str">
        <f>TextJoin(tblSubjPrerequisites[[#This Row],[SubjectID]:[YearLevelID]],"Value")</f>
        <v>"102","1","91",NULL</v>
      </c>
    </row>
    <row r="81" spans="2:9" x14ac:dyDescent="0.25">
      <c r="B81">
        <f t="shared" si="3"/>
        <v>79</v>
      </c>
      <c r="C81">
        <v>103</v>
      </c>
      <c r="D81" s="12">
        <v>1</v>
      </c>
      <c r="E81">
        <v>92</v>
      </c>
      <c r="F81" s="13" t="s">
        <v>520</v>
      </c>
      <c r="H81" t="str">
        <f t="shared" si="4"/>
        <v>(NULL,"103","1","92",NULL),</v>
      </c>
      <c r="I81" t="str">
        <f>TextJoin(tblSubjPrerequisites[[#This Row],[SubjectID]:[YearLevelID]],"Value")</f>
        <v>"103","1","92",NULL</v>
      </c>
    </row>
    <row r="82" spans="2:9" x14ac:dyDescent="0.25">
      <c r="B82">
        <f t="shared" si="3"/>
        <v>80</v>
      </c>
      <c r="C82">
        <v>104</v>
      </c>
      <c r="D82" s="12">
        <v>1</v>
      </c>
      <c r="E82">
        <v>94</v>
      </c>
      <c r="F82" s="13" t="s">
        <v>520</v>
      </c>
      <c r="H82" t="str">
        <f t="shared" si="4"/>
        <v>(NULL,"104","1","94",NULL),</v>
      </c>
      <c r="I82" t="str">
        <f>TextJoin(tblSubjPrerequisites[[#This Row],[SubjectID]:[YearLevelID]],"Value")</f>
        <v>"104","1","94",NULL</v>
      </c>
    </row>
    <row r="83" spans="2:9" x14ac:dyDescent="0.25">
      <c r="B83">
        <f t="shared" si="3"/>
        <v>81</v>
      </c>
      <c r="C83">
        <v>105</v>
      </c>
      <c r="D83" s="12">
        <v>1</v>
      </c>
      <c r="E83">
        <v>94</v>
      </c>
      <c r="F83" s="13" t="s">
        <v>520</v>
      </c>
      <c r="H83" t="str">
        <f t="shared" si="4"/>
        <v>(NULL,"105","1","94",NULL),</v>
      </c>
      <c r="I83" t="str">
        <f>TextJoin(tblSubjPrerequisites[[#This Row],[SubjectID]:[YearLevelID]],"Value")</f>
        <v>"105","1","94",NULL</v>
      </c>
    </row>
    <row r="84" spans="2:9" x14ac:dyDescent="0.25">
      <c r="B84">
        <f t="shared" si="3"/>
        <v>82</v>
      </c>
      <c r="C84">
        <v>106</v>
      </c>
      <c r="D84" s="12">
        <v>1</v>
      </c>
      <c r="E84">
        <v>94</v>
      </c>
      <c r="F84" s="13" t="s">
        <v>520</v>
      </c>
      <c r="H84" t="str">
        <f t="shared" si="4"/>
        <v>(NULL,"106","1","94",NULL),</v>
      </c>
      <c r="I84" t="str">
        <f>TextJoin(tblSubjPrerequisites[[#This Row],[SubjectID]:[YearLevelID]],"Value")</f>
        <v>"106","1","94",NULL</v>
      </c>
    </row>
    <row r="85" spans="2:9" x14ac:dyDescent="0.25">
      <c r="B85">
        <f t="shared" si="3"/>
        <v>83</v>
      </c>
      <c r="C85">
        <v>110</v>
      </c>
      <c r="D85" s="12">
        <v>1</v>
      </c>
      <c r="E85">
        <v>100</v>
      </c>
      <c r="F85" s="13" t="s">
        <v>520</v>
      </c>
      <c r="H85" t="str">
        <f t="shared" si="4"/>
        <v>(NULL,"110","1","100",NULL),</v>
      </c>
      <c r="I85" t="str">
        <f>TextJoin(tblSubjPrerequisites[[#This Row],[SubjectID]:[YearLevelID]],"Value")</f>
        <v>"110","1","100",NULL</v>
      </c>
    </row>
    <row r="86" spans="2:9" x14ac:dyDescent="0.25">
      <c r="B86">
        <f t="shared" si="3"/>
        <v>84</v>
      </c>
      <c r="C86">
        <v>111</v>
      </c>
      <c r="D86" s="12">
        <v>1</v>
      </c>
      <c r="E86">
        <v>106</v>
      </c>
      <c r="F86" s="13" t="s">
        <v>520</v>
      </c>
      <c r="H86" t="str">
        <f t="shared" si="4"/>
        <v>(NULL,"111","1","106",NULL),</v>
      </c>
      <c r="I86" t="str">
        <f>TextJoin(tblSubjPrerequisites[[#This Row],[SubjectID]:[YearLevelID]],"Value")</f>
        <v>"111","1","106",NULL</v>
      </c>
    </row>
    <row r="87" spans="2:9" x14ac:dyDescent="0.25">
      <c r="B87">
        <f t="shared" si="3"/>
        <v>85</v>
      </c>
      <c r="C87">
        <v>112</v>
      </c>
      <c r="D87" s="12">
        <v>1</v>
      </c>
      <c r="E87">
        <v>106</v>
      </c>
      <c r="F87" s="13" t="s">
        <v>520</v>
      </c>
      <c r="H87" t="str">
        <f t="shared" si="4"/>
        <v>(NULL,"112","1","106",NULL),</v>
      </c>
      <c r="I87" t="str">
        <f>TextJoin(tblSubjPrerequisites[[#This Row],[SubjectID]:[YearLevelID]],"Value")</f>
        <v>"112","1","106",NULL</v>
      </c>
    </row>
    <row r="88" spans="2:9" x14ac:dyDescent="0.25">
      <c r="B88">
        <f t="shared" si="3"/>
        <v>86</v>
      </c>
      <c r="C88">
        <v>113</v>
      </c>
      <c r="D88" s="12">
        <v>1</v>
      </c>
      <c r="E88">
        <v>106</v>
      </c>
      <c r="F88" s="13" t="s">
        <v>520</v>
      </c>
      <c r="H88" t="str">
        <f t="shared" si="4"/>
        <v>(NULL,"113","1","106",NULL),</v>
      </c>
      <c r="I88" t="str">
        <f>TextJoin(tblSubjPrerequisites[[#This Row],[SubjectID]:[YearLevelID]],"Value")</f>
        <v>"113","1","106",NULL</v>
      </c>
    </row>
    <row r="89" spans="2:9" x14ac:dyDescent="0.25">
      <c r="B89">
        <f t="shared" si="3"/>
        <v>87</v>
      </c>
      <c r="C89">
        <v>114</v>
      </c>
      <c r="D89" s="12">
        <v>1</v>
      </c>
      <c r="E89">
        <v>104</v>
      </c>
      <c r="F89" s="13" t="s">
        <v>520</v>
      </c>
      <c r="H89" t="str">
        <f t="shared" si="4"/>
        <v>(NULL,"114","1","104",NULL),</v>
      </c>
      <c r="I89" t="str">
        <f>TextJoin(tblSubjPrerequisites[[#This Row],[SubjectID]:[YearLevelID]],"Value")</f>
        <v>"114","1","104",NULL</v>
      </c>
    </row>
    <row r="90" spans="2:9" x14ac:dyDescent="0.25">
      <c r="B90">
        <f t="shared" si="3"/>
        <v>88</v>
      </c>
      <c r="C90">
        <v>117</v>
      </c>
      <c r="D90" s="12">
        <v>1</v>
      </c>
      <c r="E90">
        <v>99</v>
      </c>
      <c r="F90" s="13" t="s">
        <v>520</v>
      </c>
      <c r="H90" t="str">
        <f t="shared" si="4"/>
        <v>(NULL,"117","1","99",NULL),</v>
      </c>
      <c r="I90" t="str">
        <f>TextJoin(tblSubjPrerequisites[[#This Row],[SubjectID]:[YearLevelID]],"Value")</f>
        <v>"117","1","99",NULL</v>
      </c>
    </row>
    <row r="91" spans="2:9" x14ac:dyDescent="0.25">
      <c r="B91">
        <f t="shared" ref="B91:B122" si="5">B90+1</f>
        <v>89</v>
      </c>
      <c r="C91">
        <v>119</v>
      </c>
      <c r="D91" s="12">
        <v>1</v>
      </c>
      <c r="E91">
        <v>89</v>
      </c>
      <c r="F91" s="13" t="s">
        <v>520</v>
      </c>
      <c r="H91" t="str">
        <f t="shared" si="4"/>
        <v>(NULL,"119","1","89",NULL),</v>
      </c>
      <c r="I91" t="str">
        <f>TextJoin(tblSubjPrerequisites[[#This Row],[SubjectID]:[YearLevelID]],"Value")</f>
        <v>"119","1","89",NULL</v>
      </c>
    </row>
    <row r="92" spans="2:9" x14ac:dyDescent="0.25">
      <c r="B92">
        <f t="shared" si="5"/>
        <v>90</v>
      </c>
      <c r="C92">
        <v>120</v>
      </c>
      <c r="D92" s="12">
        <v>1</v>
      </c>
      <c r="E92">
        <v>111</v>
      </c>
      <c r="F92" s="13" t="s">
        <v>520</v>
      </c>
      <c r="H92" t="str">
        <f t="shared" si="4"/>
        <v>(NULL,"120","1","111",NULL),</v>
      </c>
      <c r="I92" t="str">
        <f>TextJoin(tblSubjPrerequisites[[#This Row],[SubjectID]:[YearLevelID]],"Value")</f>
        <v>"120","1","111",NULL</v>
      </c>
    </row>
    <row r="93" spans="2:9" x14ac:dyDescent="0.25">
      <c r="B93">
        <f t="shared" si="5"/>
        <v>91</v>
      </c>
      <c r="C93">
        <v>121</v>
      </c>
      <c r="D93" s="12">
        <v>1</v>
      </c>
      <c r="E93">
        <v>111</v>
      </c>
      <c r="F93" s="13" t="s">
        <v>520</v>
      </c>
      <c r="H93" t="str">
        <f t="shared" si="4"/>
        <v>(NULL,"121","1","111",NULL),</v>
      </c>
      <c r="I93" t="str">
        <f>TextJoin(tblSubjPrerequisites[[#This Row],[SubjectID]:[YearLevelID]],"Value")</f>
        <v>"121","1","111",NULL</v>
      </c>
    </row>
    <row r="94" spans="2:9" x14ac:dyDescent="0.25">
      <c r="B94">
        <f t="shared" si="5"/>
        <v>92</v>
      </c>
      <c r="C94">
        <v>122</v>
      </c>
      <c r="D94" s="12">
        <v>1</v>
      </c>
      <c r="E94">
        <v>111</v>
      </c>
      <c r="F94" s="13" t="s">
        <v>520</v>
      </c>
      <c r="H94" t="str">
        <f t="shared" si="4"/>
        <v>(NULL,"122","1","111",NULL),</v>
      </c>
      <c r="I94" t="str">
        <f>TextJoin(tblSubjPrerequisites[[#This Row],[SubjectID]:[YearLevelID]],"Value")</f>
        <v>"122","1","111",NULL</v>
      </c>
    </row>
    <row r="95" spans="2:9" x14ac:dyDescent="0.25">
      <c r="B95">
        <f t="shared" si="5"/>
        <v>93</v>
      </c>
      <c r="C95">
        <v>127</v>
      </c>
      <c r="D95" s="12">
        <v>1</v>
      </c>
      <c r="E95">
        <v>116</v>
      </c>
      <c r="F95" s="13" t="s">
        <v>520</v>
      </c>
      <c r="H95" t="str">
        <f t="shared" si="4"/>
        <v>(NULL,"127","1","116",NULL),</v>
      </c>
      <c r="I95" t="str">
        <f>TextJoin(tblSubjPrerequisites[[#This Row],[SubjectID]:[YearLevelID]],"Value")</f>
        <v>"127","1","116",NULL</v>
      </c>
    </row>
    <row r="96" spans="2:9" x14ac:dyDescent="0.25">
      <c r="B96">
        <f t="shared" si="5"/>
        <v>94</v>
      </c>
      <c r="C96">
        <v>128</v>
      </c>
      <c r="D96" s="12">
        <v>1</v>
      </c>
      <c r="E96">
        <v>121</v>
      </c>
      <c r="F96" s="13" t="s">
        <v>520</v>
      </c>
      <c r="H96" t="str">
        <f t="shared" si="4"/>
        <v>(NULL,"128","1","121",NULL),</v>
      </c>
      <c r="I96" t="str">
        <f>TextJoin(tblSubjPrerequisites[[#This Row],[SubjectID]:[YearLevelID]],"Value")</f>
        <v>"128","1","121",NULL</v>
      </c>
    </row>
    <row r="97" spans="2:9" x14ac:dyDescent="0.25">
      <c r="B97">
        <f t="shared" si="5"/>
        <v>95</v>
      </c>
      <c r="C97">
        <v>129</v>
      </c>
      <c r="D97" s="12">
        <v>1</v>
      </c>
      <c r="E97">
        <v>121</v>
      </c>
      <c r="F97" s="13" t="s">
        <v>520</v>
      </c>
      <c r="H97" t="str">
        <f t="shared" si="4"/>
        <v>(NULL,"129","1","121",NULL),</v>
      </c>
      <c r="I97" t="str">
        <f>TextJoin(tblSubjPrerequisites[[#This Row],[SubjectID]:[YearLevelID]],"Value")</f>
        <v>"129","1","121",NULL</v>
      </c>
    </row>
    <row r="98" spans="2:9" x14ac:dyDescent="0.25">
      <c r="B98">
        <f t="shared" si="5"/>
        <v>96</v>
      </c>
      <c r="C98">
        <v>130</v>
      </c>
      <c r="D98" s="12">
        <v>1</v>
      </c>
      <c r="E98">
        <v>121</v>
      </c>
      <c r="F98" s="13" t="s">
        <v>520</v>
      </c>
      <c r="H98" t="str">
        <f t="shared" si="4"/>
        <v>(NULL,"130","1","121",NULL),</v>
      </c>
      <c r="I98" t="str">
        <f>TextJoin(tblSubjPrerequisites[[#This Row],[SubjectID]:[YearLevelID]],"Value")</f>
        <v>"130","1","121",NULL</v>
      </c>
    </row>
    <row r="99" spans="2:9" x14ac:dyDescent="0.25">
      <c r="B99">
        <f t="shared" si="5"/>
        <v>97</v>
      </c>
      <c r="C99">
        <v>64</v>
      </c>
      <c r="D99" s="12">
        <v>1</v>
      </c>
      <c r="E99">
        <v>123</v>
      </c>
      <c r="F99" s="13" t="s">
        <v>520</v>
      </c>
      <c r="H99" t="str">
        <f t="shared" si="4"/>
        <v>(NULL,"64","1","123",NULL),</v>
      </c>
      <c r="I99" t="str">
        <f>TextJoin(tblSubjPrerequisites[[#This Row],[SubjectID]:[YearLevelID]],"Value")</f>
        <v>"64","1","123",NULL</v>
      </c>
    </row>
    <row r="100" spans="2:9" x14ac:dyDescent="0.25">
      <c r="B100">
        <f t="shared" si="5"/>
        <v>98</v>
      </c>
      <c r="C100">
        <v>203</v>
      </c>
      <c r="D100" s="12">
        <v>2</v>
      </c>
      <c r="E100" s="13" t="s">
        <v>520</v>
      </c>
      <c r="F100" s="13">
        <v>4</v>
      </c>
      <c r="H100" t="str">
        <f t="shared" si="4"/>
        <v>(NULL,"203","2",NULL,"4"),</v>
      </c>
      <c r="I100" t="str">
        <f>TextJoin(tblSubjPrerequisites[[#This Row],[SubjectID]:[YearLevelID]],"Value")</f>
        <v>"203","2",NULL,"4"</v>
      </c>
    </row>
    <row r="101" spans="2:9" x14ac:dyDescent="0.25">
      <c r="B101">
        <f t="shared" si="5"/>
        <v>99</v>
      </c>
      <c r="C101">
        <v>137</v>
      </c>
      <c r="D101" s="12">
        <v>1</v>
      </c>
      <c r="E101">
        <v>129</v>
      </c>
      <c r="F101" s="13" t="s">
        <v>520</v>
      </c>
      <c r="H101" t="str">
        <f t="shared" si="4"/>
        <v>(NULL,"137","1","129",NULL),</v>
      </c>
      <c r="I101" t="str">
        <f>TextJoin(tblSubjPrerequisites[[#This Row],[SubjectID]:[YearLevelID]],"Value")</f>
        <v>"137","1","129",NULL</v>
      </c>
    </row>
    <row r="102" spans="2:9" x14ac:dyDescent="0.25">
      <c r="B102">
        <f t="shared" si="5"/>
        <v>100</v>
      </c>
      <c r="C102">
        <v>138</v>
      </c>
      <c r="D102" s="12">
        <v>1</v>
      </c>
      <c r="E102">
        <v>129</v>
      </c>
      <c r="F102" s="13" t="s">
        <v>520</v>
      </c>
      <c r="H102" t="str">
        <f t="shared" si="4"/>
        <v>(NULL,"138","1","129",NULL),</v>
      </c>
      <c r="I102" t="str">
        <f>TextJoin(tblSubjPrerequisites[[#This Row],[SubjectID]:[YearLevelID]],"Value")</f>
        <v>"138","1","129",NULL</v>
      </c>
    </row>
    <row r="103" spans="2:9" x14ac:dyDescent="0.25">
      <c r="B103">
        <f t="shared" si="5"/>
        <v>101</v>
      </c>
      <c r="C103">
        <v>139</v>
      </c>
      <c r="D103" s="12">
        <v>1</v>
      </c>
      <c r="E103">
        <v>112</v>
      </c>
      <c r="F103" s="13" t="s">
        <v>520</v>
      </c>
      <c r="H103" t="str">
        <f t="shared" si="4"/>
        <v>(NULL,"139","1","112",NULL),</v>
      </c>
      <c r="I103" t="str">
        <f>TextJoin(tblSubjPrerequisites[[#This Row],[SubjectID]:[YearLevelID]],"Value")</f>
        <v>"139","1","112",NULL</v>
      </c>
    </row>
    <row r="104" spans="2:9" x14ac:dyDescent="0.25">
      <c r="B104">
        <f t="shared" si="5"/>
        <v>102</v>
      </c>
      <c r="C104">
        <v>159</v>
      </c>
      <c r="D104" s="12">
        <v>1</v>
      </c>
      <c r="E104">
        <v>150</v>
      </c>
      <c r="F104" s="13" t="s">
        <v>520</v>
      </c>
      <c r="H104" t="str">
        <f t="shared" si="4"/>
        <v>(NULL,"159","1","150",NULL),</v>
      </c>
      <c r="I104" t="str">
        <f>TextJoin(tblSubjPrerequisites[[#This Row],[SubjectID]:[YearLevelID]],"Value")</f>
        <v>"159","1","150",NULL</v>
      </c>
    </row>
    <row r="105" spans="2:9" x14ac:dyDescent="0.25">
      <c r="B105">
        <f t="shared" si="5"/>
        <v>103</v>
      </c>
      <c r="C105">
        <v>160</v>
      </c>
      <c r="D105" s="12">
        <v>1</v>
      </c>
      <c r="E105">
        <v>151</v>
      </c>
      <c r="F105" s="13" t="s">
        <v>520</v>
      </c>
      <c r="H105" t="str">
        <f t="shared" si="4"/>
        <v>(NULL,"160","1","151",NULL),</v>
      </c>
      <c r="I105" t="str">
        <f>TextJoin(tblSubjPrerequisites[[#This Row],[SubjectID]:[YearLevelID]],"Value")</f>
        <v>"160","1","151",NULL</v>
      </c>
    </row>
    <row r="106" spans="2:9" x14ac:dyDescent="0.25">
      <c r="B106">
        <f t="shared" si="5"/>
        <v>104</v>
      </c>
      <c r="C106">
        <v>161</v>
      </c>
      <c r="D106" s="12">
        <v>1</v>
      </c>
      <c r="E106">
        <v>153</v>
      </c>
      <c r="F106" s="13" t="s">
        <v>520</v>
      </c>
      <c r="H106" t="str">
        <f t="shared" si="4"/>
        <v>(NULL,"161","1","153",NULL),</v>
      </c>
      <c r="I106" t="str">
        <f>TextJoin(tblSubjPrerequisites[[#This Row],[SubjectID]:[YearLevelID]],"Value")</f>
        <v>"161","1","153",NULL</v>
      </c>
    </row>
    <row r="107" spans="2:9" x14ac:dyDescent="0.25">
      <c r="B107">
        <f t="shared" si="5"/>
        <v>105</v>
      </c>
      <c r="C107">
        <v>162</v>
      </c>
      <c r="D107" s="12">
        <v>1</v>
      </c>
      <c r="E107">
        <v>150</v>
      </c>
      <c r="F107" s="13" t="s">
        <v>520</v>
      </c>
      <c r="H107" t="str">
        <f t="shared" si="4"/>
        <v>(NULL,"162","1","150",NULL),</v>
      </c>
      <c r="I107" t="str">
        <f>TextJoin(tblSubjPrerequisites[[#This Row],[SubjectID]:[YearLevelID]],"Value")</f>
        <v>"162","1","150",NULL</v>
      </c>
    </row>
    <row r="108" spans="2:9" x14ac:dyDescent="0.25">
      <c r="B108">
        <f t="shared" si="5"/>
        <v>106</v>
      </c>
      <c r="C108">
        <v>163</v>
      </c>
      <c r="D108" s="12">
        <v>1</v>
      </c>
      <c r="E108">
        <v>154</v>
      </c>
      <c r="F108" s="13" t="s">
        <v>520</v>
      </c>
      <c r="H108" t="str">
        <f t="shared" si="4"/>
        <v>(NULL,"163","1","154",NULL),</v>
      </c>
      <c r="I108" t="str">
        <f>TextJoin(tblSubjPrerequisites[[#This Row],[SubjectID]:[YearLevelID]],"Value")</f>
        <v>"163","1","154",NULL</v>
      </c>
    </row>
    <row r="109" spans="2:9" x14ac:dyDescent="0.25">
      <c r="B109">
        <f t="shared" si="5"/>
        <v>107</v>
      </c>
      <c r="C109">
        <v>164</v>
      </c>
      <c r="D109" s="12">
        <v>1</v>
      </c>
      <c r="E109">
        <v>155</v>
      </c>
      <c r="F109" s="13" t="s">
        <v>520</v>
      </c>
      <c r="H109" t="str">
        <f t="shared" si="4"/>
        <v>(NULL,"164","1","155",NULL),</v>
      </c>
      <c r="I109" t="str">
        <f>TextJoin(tblSubjPrerequisites[[#This Row],[SubjectID]:[YearLevelID]],"Value")</f>
        <v>"164","1","155",NULL</v>
      </c>
    </row>
    <row r="110" spans="2:9" x14ac:dyDescent="0.25">
      <c r="B110">
        <f t="shared" si="5"/>
        <v>108</v>
      </c>
      <c r="C110">
        <v>168</v>
      </c>
      <c r="D110" s="12">
        <v>1</v>
      </c>
      <c r="E110">
        <v>159</v>
      </c>
      <c r="F110" s="13" t="s">
        <v>520</v>
      </c>
      <c r="H110" t="str">
        <f t="shared" si="4"/>
        <v>(NULL,"168","1","159",NULL),</v>
      </c>
      <c r="I110" t="str">
        <f>TextJoin(tblSubjPrerequisites[[#This Row],[SubjectID]:[YearLevelID]],"Value")</f>
        <v>"168","1","159",NULL</v>
      </c>
    </row>
    <row r="111" spans="2:9" x14ac:dyDescent="0.25">
      <c r="B111">
        <f t="shared" si="5"/>
        <v>109</v>
      </c>
      <c r="C111">
        <v>169</v>
      </c>
      <c r="D111" s="12">
        <v>1</v>
      </c>
      <c r="E111">
        <v>150</v>
      </c>
      <c r="F111" s="13" t="s">
        <v>520</v>
      </c>
      <c r="H111" t="str">
        <f t="shared" si="4"/>
        <v>(NULL,"169","1","150",NULL),</v>
      </c>
      <c r="I111" t="str">
        <f>TextJoin(tblSubjPrerequisites[[#This Row],[SubjectID]:[YearLevelID]],"Value")</f>
        <v>"169","1","150",NULL</v>
      </c>
    </row>
    <row r="112" spans="2:9" x14ac:dyDescent="0.25">
      <c r="B112">
        <f t="shared" si="5"/>
        <v>110</v>
      </c>
      <c r="C112">
        <v>170</v>
      </c>
      <c r="D112" s="12">
        <v>1</v>
      </c>
      <c r="E112">
        <v>161</v>
      </c>
      <c r="F112" s="13" t="s">
        <v>520</v>
      </c>
      <c r="H112" t="str">
        <f t="shared" si="4"/>
        <v>(NULL,"170","1","161",NULL),</v>
      </c>
      <c r="I112" t="str">
        <f>TextJoin(tblSubjPrerequisites[[#This Row],[SubjectID]:[YearLevelID]],"Value")</f>
        <v>"170","1","161",NULL</v>
      </c>
    </row>
    <row r="113" spans="2:9" x14ac:dyDescent="0.25">
      <c r="B113">
        <f t="shared" si="5"/>
        <v>111</v>
      </c>
      <c r="C113">
        <v>171</v>
      </c>
      <c r="D113" s="12">
        <v>1</v>
      </c>
      <c r="E113">
        <v>160</v>
      </c>
      <c r="F113" s="13" t="s">
        <v>520</v>
      </c>
      <c r="H113" t="str">
        <f t="shared" si="4"/>
        <v>(NULL,"171","1","160",NULL),</v>
      </c>
      <c r="I113" t="str">
        <f>TextJoin(tblSubjPrerequisites[[#This Row],[SubjectID]:[YearLevelID]],"Value")</f>
        <v>"171","1","160",NULL</v>
      </c>
    </row>
    <row r="114" spans="2:9" x14ac:dyDescent="0.25">
      <c r="B114">
        <f t="shared" si="5"/>
        <v>112</v>
      </c>
      <c r="C114">
        <v>173</v>
      </c>
      <c r="D114" s="12">
        <v>1</v>
      </c>
      <c r="E114">
        <v>148</v>
      </c>
      <c r="F114" s="13" t="s">
        <v>520</v>
      </c>
      <c r="H114" t="str">
        <f t="shared" si="4"/>
        <v>(NULL,"173","1","148",NULL),</v>
      </c>
      <c r="I114" t="str">
        <f>TextJoin(tblSubjPrerequisites[[#This Row],[SubjectID]:[YearLevelID]],"Value")</f>
        <v>"173","1","148",NULL</v>
      </c>
    </row>
    <row r="115" spans="2:9" x14ac:dyDescent="0.25">
      <c r="B115">
        <f t="shared" si="5"/>
        <v>113</v>
      </c>
      <c r="C115">
        <v>174</v>
      </c>
      <c r="D115" s="12">
        <v>1</v>
      </c>
      <c r="E115">
        <v>163</v>
      </c>
      <c r="F115" s="13" t="s">
        <v>520</v>
      </c>
      <c r="H115" t="str">
        <f t="shared" si="4"/>
        <v>(NULL,"174","1","163",NULL),</v>
      </c>
      <c r="I115" t="str">
        <f>TextJoin(tblSubjPrerequisites[[#This Row],[SubjectID]:[YearLevelID]],"Value")</f>
        <v>"174","1","163",NULL</v>
      </c>
    </row>
    <row r="116" spans="2:9" x14ac:dyDescent="0.25">
      <c r="B116">
        <f t="shared" si="5"/>
        <v>114</v>
      </c>
      <c r="C116">
        <v>175</v>
      </c>
      <c r="D116" s="12">
        <v>1</v>
      </c>
      <c r="E116">
        <v>170</v>
      </c>
      <c r="F116" s="13" t="s">
        <v>520</v>
      </c>
      <c r="H116" t="str">
        <f t="shared" si="4"/>
        <v>(NULL,"175","1","170",NULL),</v>
      </c>
      <c r="I116" t="str">
        <f>TextJoin(tblSubjPrerequisites[[#This Row],[SubjectID]:[YearLevelID]],"Value")</f>
        <v>"175","1","170",NULL</v>
      </c>
    </row>
    <row r="117" spans="2:9" x14ac:dyDescent="0.25">
      <c r="B117">
        <f t="shared" si="5"/>
        <v>115</v>
      </c>
      <c r="C117">
        <v>176</v>
      </c>
      <c r="D117" s="12">
        <v>1</v>
      </c>
      <c r="E117">
        <v>168</v>
      </c>
      <c r="F117" s="13" t="s">
        <v>520</v>
      </c>
      <c r="H117" t="str">
        <f t="shared" si="4"/>
        <v>(NULL,"176","1","168",NULL),</v>
      </c>
      <c r="I117" t="str">
        <f>TextJoin(tblSubjPrerequisites[[#This Row],[SubjectID]:[YearLevelID]],"Value")</f>
        <v>"176","1","168",NULL</v>
      </c>
    </row>
    <row r="118" spans="2:9" x14ac:dyDescent="0.25">
      <c r="B118">
        <f t="shared" si="5"/>
        <v>116</v>
      </c>
      <c r="C118">
        <v>177</v>
      </c>
      <c r="D118" s="12">
        <v>1</v>
      </c>
      <c r="E118">
        <v>170</v>
      </c>
      <c r="F118" s="13" t="s">
        <v>520</v>
      </c>
      <c r="H118" t="str">
        <f t="shared" si="4"/>
        <v>(NULL,"177","1","170",NULL),</v>
      </c>
      <c r="I118" t="str">
        <f>TextJoin(tblSubjPrerequisites[[#This Row],[SubjectID]:[YearLevelID]],"Value")</f>
        <v>"177","1","170",NULL</v>
      </c>
    </row>
    <row r="119" spans="2:9" x14ac:dyDescent="0.25">
      <c r="B119">
        <f t="shared" si="5"/>
        <v>117</v>
      </c>
      <c r="C119">
        <v>178</v>
      </c>
      <c r="D119" s="12">
        <v>1</v>
      </c>
      <c r="E119">
        <v>171</v>
      </c>
      <c r="F119" s="13" t="s">
        <v>520</v>
      </c>
      <c r="H119" t="str">
        <f t="shared" si="4"/>
        <v>(NULL,"178","1","171",NULL),</v>
      </c>
      <c r="I119" t="str">
        <f>TextJoin(tblSubjPrerequisites[[#This Row],[SubjectID]:[YearLevelID]],"Value")</f>
        <v>"178","1","171",NULL</v>
      </c>
    </row>
    <row r="120" spans="2:9" x14ac:dyDescent="0.25">
      <c r="B120">
        <f t="shared" si="5"/>
        <v>118</v>
      </c>
      <c r="C120">
        <v>180</v>
      </c>
      <c r="D120" s="12">
        <v>1</v>
      </c>
      <c r="E120">
        <v>172</v>
      </c>
      <c r="F120" s="13" t="s">
        <v>520</v>
      </c>
      <c r="H120" t="str">
        <f t="shared" si="4"/>
        <v>(NULL,"180","1","172",NULL),</v>
      </c>
      <c r="I120" t="str">
        <f>TextJoin(tblSubjPrerequisites[[#This Row],[SubjectID]:[YearLevelID]],"Value")</f>
        <v>"180","1","172",NULL</v>
      </c>
    </row>
    <row r="121" spans="2:9" x14ac:dyDescent="0.25">
      <c r="B121">
        <f t="shared" si="5"/>
        <v>119</v>
      </c>
      <c r="C121">
        <v>181</v>
      </c>
      <c r="D121" s="12">
        <v>1</v>
      </c>
      <c r="E121">
        <v>174</v>
      </c>
      <c r="F121" s="13" t="s">
        <v>520</v>
      </c>
      <c r="H121" t="str">
        <f t="shared" si="4"/>
        <v>(NULL,"181","1","174",NULL),</v>
      </c>
      <c r="I121" t="str">
        <f>TextJoin(tblSubjPrerequisites[[#This Row],[SubjectID]:[YearLevelID]],"Value")</f>
        <v>"181","1","174",NULL</v>
      </c>
    </row>
    <row r="122" spans="2:9" x14ac:dyDescent="0.25">
      <c r="B122">
        <f t="shared" si="5"/>
        <v>120</v>
      </c>
      <c r="C122">
        <v>184</v>
      </c>
      <c r="D122" s="12">
        <v>1</v>
      </c>
      <c r="E122">
        <v>178</v>
      </c>
      <c r="F122" s="13" t="s">
        <v>520</v>
      </c>
      <c r="H122" t="str">
        <f t="shared" si="4"/>
        <v>(NULL,"184","1","178",NULL),</v>
      </c>
      <c r="I122" t="str">
        <f>TextJoin(tblSubjPrerequisites[[#This Row],[SubjectID]:[YearLevelID]],"Value")</f>
        <v>"184","1","178",NULL</v>
      </c>
    </row>
    <row r="123" spans="2:9" x14ac:dyDescent="0.25">
      <c r="B123">
        <f t="shared" ref="B123:B141" si="6">B122+1</f>
        <v>121</v>
      </c>
      <c r="C123">
        <v>186</v>
      </c>
      <c r="D123" s="12">
        <v>1</v>
      </c>
      <c r="E123">
        <v>178</v>
      </c>
      <c r="F123" s="13" t="s">
        <v>520</v>
      </c>
      <c r="H123" t="str">
        <f t="shared" si="4"/>
        <v>(NULL,"186","1","178",NULL),</v>
      </c>
      <c r="I123" t="str">
        <f>TextJoin(tblSubjPrerequisites[[#This Row],[SubjectID]:[YearLevelID]],"Value")</f>
        <v>"186","1","178",NULL</v>
      </c>
    </row>
    <row r="124" spans="2:9" x14ac:dyDescent="0.25">
      <c r="B124">
        <f t="shared" si="6"/>
        <v>122</v>
      </c>
      <c r="C124">
        <v>187</v>
      </c>
      <c r="D124" s="12">
        <v>1</v>
      </c>
      <c r="E124">
        <v>178</v>
      </c>
      <c r="F124" s="13" t="s">
        <v>520</v>
      </c>
      <c r="H124" t="str">
        <f t="shared" si="4"/>
        <v>(NULL,"187","1","178",NULL),</v>
      </c>
      <c r="I124" t="str">
        <f>TextJoin(tblSubjPrerequisites[[#This Row],[SubjectID]:[YearLevelID]],"Value")</f>
        <v>"187","1","178",NULL</v>
      </c>
    </row>
    <row r="125" spans="2:9" x14ac:dyDescent="0.25">
      <c r="B125">
        <f t="shared" si="6"/>
        <v>123</v>
      </c>
      <c r="C125">
        <v>187</v>
      </c>
      <c r="D125" s="12">
        <v>1</v>
      </c>
      <c r="E125">
        <v>153</v>
      </c>
      <c r="F125" s="13" t="s">
        <v>520</v>
      </c>
      <c r="H125" t="str">
        <f t="shared" si="4"/>
        <v>(NULL,"187","1","153",NULL),</v>
      </c>
      <c r="I125" t="str">
        <f>TextJoin(tblSubjPrerequisites[[#This Row],[SubjectID]:[YearLevelID]],"Value")</f>
        <v>"187","1","153",NULL</v>
      </c>
    </row>
    <row r="126" spans="2:9" x14ac:dyDescent="0.25">
      <c r="B126">
        <f t="shared" si="6"/>
        <v>124</v>
      </c>
      <c r="C126">
        <v>188</v>
      </c>
      <c r="D126" s="12">
        <v>1</v>
      </c>
      <c r="E126">
        <v>176</v>
      </c>
      <c r="F126" s="13" t="s">
        <v>520</v>
      </c>
      <c r="H126" t="str">
        <f t="shared" si="4"/>
        <v>(NULL,"188","1","176",NULL),</v>
      </c>
      <c r="I126" t="str">
        <f>TextJoin(tblSubjPrerequisites[[#This Row],[SubjectID]:[YearLevelID]],"Value")</f>
        <v>"188","1","176",NULL</v>
      </c>
    </row>
    <row r="127" spans="2:9" x14ac:dyDescent="0.25">
      <c r="B127">
        <f t="shared" si="6"/>
        <v>125</v>
      </c>
      <c r="C127">
        <v>188</v>
      </c>
      <c r="D127" s="12">
        <v>1</v>
      </c>
      <c r="E127">
        <v>178</v>
      </c>
      <c r="F127" s="13" t="s">
        <v>520</v>
      </c>
      <c r="H127" t="str">
        <f t="shared" si="4"/>
        <v>(NULL,"188","1","178",NULL),</v>
      </c>
      <c r="I127" t="str">
        <f>TextJoin(tblSubjPrerequisites[[#This Row],[SubjectID]:[YearLevelID]],"Value")</f>
        <v>"188","1","178",NULL</v>
      </c>
    </row>
    <row r="128" spans="2:9" x14ac:dyDescent="0.25">
      <c r="B128">
        <f t="shared" si="6"/>
        <v>126</v>
      </c>
      <c r="C128">
        <v>189</v>
      </c>
      <c r="D128" s="12">
        <v>1</v>
      </c>
      <c r="E128">
        <v>178</v>
      </c>
      <c r="F128" s="13" t="s">
        <v>520</v>
      </c>
      <c r="H128" t="str">
        <f t="shared" si="4"/>
        <v>(NULL,"189","1","178",NULL),</v>
      </c>
      <c r="I128" t="str">
        <f>TextJoin(tblSubjPrerequisites[[#This Row],[SubjectID]:[YearLevelID]],"Value")</f>
        <v>"189","1","178",NULL</v>
      </c>
    </row>
    <row r="129" spans="2:9" x14ac:dyDescent="0.25">
      <c r="B129">
        <f t="shared" si="6"/>
        <v>127</v>
      </c>
      <c r="C129">
        <v>191</v>
      </c>
      <c r="D129" s="12">
        <v>1</v>
      </c>
      <c r="E129">
        <v>182</v>
      </c>
      <c r="F129" s="13" t="s">
        <v>520</v>
      </c>
      <c r="H129" t="str">
        <f t="shared" si="4"/>
        <v>(NULL,"191","1","182",NULL),</v>
      </c>
      <c r="I129" t="str">
        <f>TextJoin(tblSubjPrerequisites[[#This Row],[SubjectID]:[YearLevelID]],"Value")</f>
        <v>"191","1","182",NULL</v>
      </c>
    </row>
    <row r="130" spans="2:9" x14ac:dyDescent="0.25">
      <c r="B130">
        <f t="shared" si="6"/>
        <v>128</v>
      </c>
      <c r="C130">
        <v>69</v>
      </c>
      <c r="D130" s="12">
        <v>2</v>
      </c>
      <c r="E130" s="13" t="s">
        <v>520</v>
      </c>
      <c r="F130" s="13">
        <v>5</v>
      </c>
      <c r="H130" t="str">
        <f t="shared" si="4"/>
        <v>(NULL,"69","2",NULL,"5"),</v>
      </c>
      <c r="I130" t="str">
        <f>TextJoin(tblSubjPrerequisites[[#This Row],[SubjectID]:[YearLevelID]],"Value")</f>
        <v>"69","2",NULL,"5"</v>
      </c>
    </row>
    <row r="131" spans="2:9" x14ac:dyDescent="0.25">
      <c r="B131">
        <f t="shared" si="6"/>
        <v>129</v>
      </c>
      <c r="C131">
        <v>193</v>
      </c>
      <c r="D131" s="12">
        <v>1</v>
      </c>
      <c r="E131">
        <v>186</v>
      </c>
      <c r="F131" s="13" t="s">
        <v>520</v>
      </c>
      <c r="H131" t="str">
        <f t="shared" si="4"/>
        <v>(NULL,"193","1","186",NULL),</v>
      </c>
      <c r="I131" t="str">
        <f>TextJoin(tblSubjPrerequisites[[#This Row],[SubjectID]:[YearLevelID]],"Value")</f>
        <v>"193","1","186",NULL</v>
      </c>
    </row>
    <row r="132" spans="2:9" x14ac:dyDescent="0.25">
      <c r="B132">
        <f t="shared" si="6"/>
        <v>130</v>
      </c>
      <c r="C132">
        <v>194</v>
      </c>
      <c r="D132" s="12">
        <v>1</v>
      </c>
      <c r="E132">
        <v>184</v>
      </c>
      <c r="F132" s="13" t="s">
        <v>520</v>
      </c>
      <c r="H132" t="str">
        <f t="shared" ref="H132:H164" si="7">"(NULL,"&amp;I132&amp;")"&amp;IF(H133&lt;&gt;"",",",";")</f>
        <v>(NULL,"194","1","184",NULL),</v>
      </c>
      <c r="I132" t="str">
        <f>TextJoin(tblSubjPrerequisites[[#This Row],[SubjectID]:[YearLevelID]],"Value")</f>
        <v>"194","1","184",NULL</v>
      </c>
    </row>
    <row r="133" spans="2:9" x14ac:dyDescent="0.25">
      <c r="B133">
        <f t="shared" si="6"/>
        <v>131</v>
      </c>
      <c r="C133">
        <v>195</v>
      </c>
      <c r="D133" s="12">
        <v>1</v>
      </c>
      <c r="E133">
        <v>169</v>
      </c>
      <c r="F133" s="13" t="s">
        <v>520</v>
      </c>
      <c r="H133" t="str">
        <f t="shared" si="7"/>
        <v>(NULL,"195","1","169",NULL),</v>
      </c>
      <c r="I133" t="str">
        <f>TextJoin(tblSubjPrerequisites[[#This Row],[SubjectID]:[YearLevelID]],"Value")</f>
        <v>"195","1","169",NULL</v>
      </c>
    </row>
    <row r="134" spans="2:9" x14ac:dyDescent="0.25">
      <c r="B134">
        <f t="shared" si="6"/>
        <v>132</v>
      </c>
      <c r="C134">
        <v>195</v>
      </c>
      <c r="D134" s="12">
        <v>1</v>
      </c>
      <c r="E134">
        <v>184</v>
      </c>
      <c r="F134" s="13" t="s">
        <v>520</v>
      </c>
      <c r="H134" t="str">
        <f t="shared" si="7"/>
        <v>(NULL,"195","1","184",NULL),</v>
      </c>
      <c r="I134" t="str">
        <f>TextJoin(tblSubjPrerequisites[[#This Row],[SubjectID]:[YearLevelID]],"Value")</f>
        <v>"195","1","184",NULL</v>
      </c>
    </row>
    <row r="135" spans="2:9" x14ac:dyDescent="0.25">
      <c r="B135">
        <f t="shared" si="6"/>
        <v>133</v>
      </c>
      <c r="C135">
        <v>72</v>
      </c>
      <c r="D135" s="12">
        <v>2</v>
      </c>
      <c r="E135" s="13" t="s">
        <v>520</v>
      </c>
      <c r="F135" s="13">
        <v>5</v>
      </c>
      <c r="H135" t="str">
        <f t="shared" si="7"/>
        <v>(NULL,"72","2",NULL,"5"),</v>
      </c>
      <c r="I135" t="str">
        <f>TextJoin(tblSubjPrerequisites[[#This Row],[SubjectID]:[YearLevelID]],"Value")</f>
        <v>"72","2",NULL,"5"</v>
      </c>
    </row>
    <row r="136" spans="2:9" x14ac:dyDescent="0.25">
      <c r="B136">
        <f t="shared" si="6"/>
        <v>134</v>
      </c>
      <c r="C136">
        <v>75</v>
      </c>
      <c r="D136" s="12">
        <v>2</v>
      </c>
      <c r="E136" s="13" t="s">
        <v>520</v>
      </c>
      <c r="F136" s="13">
        <v>5</v>
      </c>
      <c r="H136" t="str">
        <f t="shared" si="7"/>
        <v>(NULL,"75","2",NULL,"5"),</v>
      </c>
      <c r="I136" t="str">
        <f>TextJoin(tblSubjPrerequisites[[#This Row],[SubjectID]:[YearLevelID]],"Value")</f>
        <v>"75","2",NULL,"5"</v>
      </c>
    </row>
    <row r="137" spans="2:9" x14ac:dyDescent="0.25">
      <c r="B137">
        <f t="shared" si="6"/>
        <v>135</v>
      </c>
      <c r="C137">
        <v>77</v>
      </c>
      <c r="D137" s="12">
        <v>2</v>
      </c>
      <c r="E137" s="13" t="s">
        <v>520</v>
      </c>
      <c r="F137" s="13">
        <v>5</v>
      </c>
      <c r="H137" t="str">
        <f t="shared" si="7"/>
        <v>(NULL,"77","2",NULL,"5"),</v>
      </c>
      <c r="I137" t="str">
        <f>TextJoin(tblSubjPrerequisites[[#This Row],[SubjectID]:[YearLevelID]],"Value")</f>
        <v>"77","2",NULL,"5"</v>
      </c>
    </row>
    <row r="138" spans="2:9" x14ac:dyDescent="0.25">
      <c r="B138">
        <f t="shared" si="6"/>
        <v>136</v>
      </c>
      <c r="C138">
        <v>200</v>
      </c>
      <c r="D138" s="12">
        <v>1</v>
      </c>
      <c r="E138">
        <v>191</v>
      </c>
      <c r="F138" s="13" t="s">
        <v>520</v>
      </c>
      <c r="H138" t="str">
        <f t="shared" si="7"/>
        <v>(NULL,"200","1","191",NULL),</v>
      </c>
      <c r="I138" t="str">
        <f>TextJoin(tblSubjPrerequisites[[#This Row],[SubjectID]:[YearLevelID]],"Value")</f>
        <v>"200","1","191",NULL</v>
      </c>
    </row>
    <row r="139" spans="2:9" x14ac:dyDescent="0.25">
      <c r="B139">
        <f t="shared" si="6"/>
        <v>137</v>
      </c>
      <c r="C139">
        <v>201</v>
      </c>
      <c r="D139" s="12">
        <v>1</v>
      </c>
      <c r="E139">
        <v>194</v>
      </c>
      <c r="F139" s="13" t="s">
        <v>520</v>
      </c>
      <c r="H139" t="str">
        <f t="shared" si="7"/>
        <v>(NULL,"201","1","194",NULL),</v>
      </c>
      <c r="I139" t="str">
        <f>TextJoin(tblSubjPrerequisites[[#This Row],[SubjectID]:[YearLevelID]],"Value")</f>
        <v>"201","1","194",NULL</v>
      </c>
    </row>
    <row r="140" spans="2:9" x14ac:dyDescent="0.25">
      <c r="B140">
        <f t="shared" si="6"/>
        <v>138</v>
      </c>
      <c r="C140">
        <v>202</v>
      </c>
      <c r="D140" s="12">
        <v>1</v>
      </c>
      <c r="E140">
        <v>194</v>
      </c>
      <c r="F140" s="13" t="s">
        <v>520</v>
      </c>
      <c r="H140" t="str">
        <f t="shared" si="7"/>
        <v>(NULL,"202","1","194",NULL),</v>
      </c>
      <c r="I140" t="str">
        <f>TextJoin(tblSubjPrerequisites[[#This Row],[SubjectID]:[YearLevelID]],"Value")</f>
        <v>"202","1","194",NULL</v>
      </c>
    </row>
    <row r="141" spans="2:9" x14ac:dyDescent="0.25">
      <c r="B141">
        <f t="shared" si="6"/>
        <v>139</v>
      </c>
      <c r="C141">
        <v>80</v>
      </c>
      <c r="D141" s="12">
        <v>2</v>
      </c>
      <c r="E141" s="13" t="s">
        <v>520</v>
      </c>
      <c r="F141" s="13">
        <v>5</v>
      </c>
      <c r="H141" t="str">
        <f t="shared" si="7"/>
        <v>(NULL,"80","2",NULL,"5"),</v>
      </c>
      <c r="I141" t="str">
        <f>TextJoin(tblSubjPrerequisites[[#This Row],[SubjectID]:[YearLevelID]],"Value")</f>
        <v>"80","2",NULL,"5"</v>
      </c>
    </row>
    <row r="142" spans="2:9" x14ac:dyDescent="0.25">
      <c r="B142">
        <f t="shared" ref="B142:B164" si="8">B141+1</f>
        <v>140</v>
      </c>
      <c r="C142">
        <v>204</v>
      </c>
      <c r="D142" s="12">
        <v>1</v>
      </c>
      <c r="E142">
        <v>188</v>
      </c>
      <c r="F142" s="13" t="s">
        <v>520</v>
      </c>
      <c r="H142" t="str">
        <f t="shared" si="7"/>
        <v>(NULL,"204","1","188",NULL),</v>
      </c>
      <c r="I142" t="str">
        <f>TextJoin(tblSubjPrerequisites[[#This Row],[SubjectID]:[YearLevelID]],"Value")</f>
        <v>"204","1","188",NULL</v>
      </c>
    </row>
    <row r="143" spans="2:9" x14ac:dyDescent="0.25">
      <c r="B143">
        <f t="shared" si="8"/>
        <v>141</v>
      </c>
      <c r="C143">
        <v>205</v>
      </c>
      <c r="D143" s="12">
        <v>1</v>
      </c>
      <c r="E143">
        <v>195</v>
      </c>
      <c r="F143" s="13" t="s">
        <v>520</v>
      </c>
      <c r="H143" t="str">
        <f t="shared" si="7"/>
        <v>(NULL,"205","1","195",NULL),</v>
      </c>
      <c r="I143" t="str">
        <f>TextJoin(tblSubjPrerequisites[[#This Row],[SubjectID]:[YearLevelID]],"Value")</f>
        <v>"205","1","195",NULL</v>
      </c>
    </row>
    <row r="144" spans="2:9" x14ac:dyDescent="0.25">
      <c r="B144">
        <f t="shared" si="8"/>
        <v>142</v>
      </c>
      <c r="C144">
        <v>206</v>
      </c>
      <c r="D144" s="12">
        <v>1</v>
      </c>
      <c r="E144">
        <v>198</v>
      </c>
      <c r="F144" s="13" t="s">
        <v>520</v>
      </c>
      <c r="H144" t="str">
        <f t="shared" si="7"/>
        <v>(NULL,"206","1","198",NULL),</v>
      </c>
      <c r="I144" t="str">
        <f>TextJoin(tblSubjPrerequisites[[#This Row],[SubjectID]:[YearLevelID]],"Value")</f>
        <v>"206","1","198",NULL</v>
      </c>
    </row>
    <row r="145" spans="2:9" x14ac:dyDescent="0.25">
      <c r="B145">
        <f t="shared" si="8"/>
        <v>143</v>
      </c>
      <c r="C145">
        <v>207</v>
      </c>
      <c r="D145" s="12">
        <v>1</v>
      </c>
      <c r="E145">
        <v>200</v>
      </c>
      <c r="F145" s="13" t="s">
        <v>520</v>
      </c>
      <c r="H145" t="str">
        <f t="shared" si="7"/>
        <v>(NULL,"207","1","200",NULL),</v>
      </c>
      <c r="I145" t="str">
        <f>TextJoin(tblSubjPrerequisites[[#This Row],[SubjectID]:[YearLevelID]],"Value")</f>
        <v>"207","1","200",NULL</v>
      </c>
    </row>
    <row r="146" spans="2:9" x14ac:dyDescent="0.25">
      <c r="B146">
        <f t="shared" si="8"/>
        <v>144</v>
      </c>
      <c r="C146">
        <v>209</v>
      </c>
      <c r="D146" s="12">
        <v>1</v>
      </c>
      <c r="E146">
        <v>206</v>
      </c>
      <c r="F146" s="13" t="s">
        <v>520</v>
      </c>
      <c r="H146" t="str">
        <f t="shared" si="7"/>
        <v>(NULL,"209","1","206",NULL),</v>
      </c>
      <c r="I146" t="str">
        <f>TextJoin(tblSubjPrerequisites[[#This Row],[SubjectID]:[YearLevelID]],"Value")</f>
        <v>"209","1","206",NULL</v>
      </c>
    </row>
    <row r="147" spans="2:9" x14ac:dyDescent="0.25">
      <c r="B147">
        <f t="shared" si="8"/>
        <v>145</v>
      </c>
      <c r="C147">
        <v>223</v>
      </c>
      <c r="D147" s="12">
        <v>1</v>
      </c>
      <c r="E147">
        <v>216</v>
      </c>
      <c r="F147" s="13" t="s">
        <v>520</v>
      </c>
      <c r="H147" t="str">
        <f t="shared" si="7"/>
        <v>(NULL,"223","1","216",NULL),</v>
      </c>
      <c r="I147" t="str">
        <f>TextJoin(tblSubjPrerequisites[[#This Row],[SubjectID]:[YearLevelID]],"Value")</f>
        <v>"223","1","216",NULL</v>
      </c>
    </row>
    <row r="148" spans="2:9" x14ac:dyDescent="0.25">
      <c r="B148">
        <f t="shared" si="8"/>
        <v>146</v>
      </c>
      <c r="C148">
        <v>226</v>
      </c>
      <c r="D148" s="12">
        <v>1</v>
      </c>
      <c r="E148">
        <v>218</v>
      </c>
      <c r="F148" s="13" t="s">
        <v>520</v>
      </c>
      <c r="H148" t="str">
        <f t="shared" si="7"/>
        <v>(NULL,"226","1","218",NULL),</v>
      </c>
      <c r="I148" t="str">
        <f>TextJoin(tblSubjPrerequisites[[#This Row],[SubjectID]:[YearLevelID]],"Value")</f>
        <v>"226","1","218",NULL</v>
      </c>
    </row>
    <row r="149" spans="2:9" x14ac:dyDescent="0.25">
      <c r="B149">
        <f t="shared" si="8"/>
        <v>147</v>
      </c>
      <c r="C149">
        <v>227</v>
      </c>
      <c r="D149" s="12">
        <v>1</v>
      </c>
      <c r="E149">
        <v>219</v>
      </c>
      <c r="F149" s="13" t="s">
        <v>520</v>
      </c>
      <c r="H149" t="str">
        <f t="shared" si="7"/>
        <v>(NULL,"227","1","219",NULL),</v>
      </c>
      <c r="I149" t="str">
        <f>TextJoin(tblSubjPrerequisites[[#This Row],[SubjectID]:[YearLevelID]],"Value")</f>
        <v>"227","1","219",NULL</v>
      </c>
    </row>
    <row r="150" spans="2:9" x14ac:dyDescent="0.25">
      <c r="B150">
        <f t="shared" si="8"/>
        <v>148</v>
      </c>
      <c r="C150">
        <v>231</v>
      </c>
      <c r="D150" s="12">
        <v>1</v>
      </c>
      <c r="E150">
        <v>223</v>
      </c>
      <c r="F150" s="13" t="s">
        <v>520</v>
      </c>
      <c r="H150" t="str">
        <f t="shared" si="7"/>
        <v>(NULL,"231","1","223",NULL),</v>
      </c>
      <c r="I150" t="str">
        <f>TextJoin(tblSubjPrerequisites[[#This Row],[SubjectID]:[YearLevelID]],"Value")</f>
        <v>"231","1","223",NULL</v>
      </c>
    </row>
    <row r="151" spans="2:9" x14ac:dyDescent="0.25">
      <c r="B151">
        <f t="shared" si="8"/>
        <v>149</v>
      </c>
      <c r="C151">
        <v>232</v>
      </c>
      <c r="D151" s="12">
        <v>1</v>
      </c>
      <c r="E151">
        <v>223</v>
      </c>
      <c r="F151" s="13" t="s">
        <v>520</v>
      </c>
      <c r="H151" t="str">
        <f t="shared" si="7"/>
        <v>(NULL,"232","1","223",NULL),</v>
      </c>
      <c r="I151" t="str">
        <f>TextJoin(tblSubjPrerequisites[[#This Row],[SubjectID]:[YearLevelID]],"Value")</f>
        <v>"232","1","223",NULL</v>
      </c>
    </row>
    <row r="152" spans="2:9" x14ac:dyDescent="0.25">
      <c r="B152">
        <f t="shared" si="8"/>
        <v>150</v>
      </c>
      <c r="C152">
        <v>235</v>
      </c>
      <c r="D152" s="12">
        <v>1</v>
      </c>
      <c r="E152">
        <v>226</v>
      </c>
      <c r="F152" s="13" t="s">
        <v>520</v>
      </c>
      <c r="H152" t="str">
        <f t="shared" si="7"/>
        <v>(NULL,"235","1","226",NULL),</v>
      </c>
      <c r="I152" t="str">
        <f>TextJoin(tblSubjPrerequisites[[#This Row],[SubjectID]:[YearLevelID]],"Value")</f>
        <v>"235","1","226",NULL</v>
      </c>
    </row>
    <row r="153" spans="2:9" x14ac:dyDescent="0.25">
      <c r="B153">
        <f t="shared" si="8"/>
        <v>151</v>
      </c>
      <c r="C153">
        <v>237</v>
      </c>
      <c r="D153" s="12">
        <v>1</v>
      </c>
      <c r="E153">
        <v>234</v>
      </c>
      <c r="F153" s="13" t="s">
        <v>520</v>
      </c>
      <c r="H153" t="str">
        <f t="shared" si="7"/>
        <v>(NULL,"237","1","234",NULL),</v>
      </c>
      <c r="I153" t="str">
        <f>TextJoin(tblSubjPrerequisites[[#This Row],[SubjectID]:[YearLevelID]],"Value")</f>
        <v>"237","1","234",NULL</v>
      </c>
    </row>
    <row r="154" spans="2:9" x14ac:dyDescent="0.25">
      <c r="B154">
        <f t="shared" si="8"/>
        <v>152</v>
      </c>
      <c r="C154">
        <v>239</v>
      </c>
      <c r="D154" s="12">
        <v>1</v>
      </c>
      <c r="E154">
        <v>231</v>
      </c>
      <c r="F154" s="13" t="s">
        <v>520</v>
      </c>
      <c r="H154" t="str">
        <f t="shared" si="7"/>
        <v>(NULL,"239","1","231",NULL),</v>
      </c>
      <c r="I154" t="str">
        <f>TextJoin(tblSubjPrerequisites[[#This Row],[SubjectID]:[YearLevelID]],"Value")</f>
        <v>"239","1","231",NULL</v>
      </c>
    </row>
    <row r="155" spans="2:9" x14ac:dyDescent="0.25">
      <c r="B155">
        <f t="shared" si="8"/>
        <v>153</v>
      </c>
      <c r="C155">
        <v>240</v>
      </c>
      <c r="D155" s="12">
        <v>1</v>
      </c>
      <c r="E155">
        <v>232</v>
      </c>
      <c r="F155" s="13" t="s">
        <v>520</v>
      </c>
      <c r="H155" t="str">
        <f t="shared" si="7"/>
        <v>(NULL,"240","1","232",NULL),</v>
      </c>
      <c r="I155" t="str">
        <f>TextJoin(tblSubjPrerequisites[[#This Row],[SubjectID]:[YearLevelID]],"Value")</f>
        <v>"240","1","232",NULL</v>
      </c>
    </row>
    <row r="156" spans="2:9" x14ac:dyDescent="0.25">
      <c r="B156">
        <f t="shared" si="8"/>
        <v>154</v>
      </c>
      <c r="C156">
        <v>242</v>
      </c>
      <c r="D156" s="12">
        <v>1</v>
      </c>
      <c r="E156">
        <v>235</v>
      </c>
      <c r="F156" s="13" t="s">
        <v>520</v>
      </c>
      <c r="H156" t="str">
        <f t="shared" si="7"/>
        <v>(NULL,"242","1","235",NULL),</v>
      </c>
      <c r="I156" t="str">
        <f>TextJoin(tblSubjPrerequisites[[#This Row],[SubjectID]:[YearLevelID]],"Value")</f>
        <v>"242","1","235",NULL</v>
      </c>
    </row>
    <row r="157" spans="2:9" x14ac:dyDescent="0.25">
      <c r="B157">
        <f t="shared" si="8"/>
        <v>155</v>
      </c>
      <c r="C157">
        <v>244</v>
      </c>
      <c r="D157" s="12">
        <v>1</v>
      </c>
      <c r="E157">
        <v>236</v>
      </c>
      <c r="F157" s="13" t="s">
        <v>520</v>
      </c>
      <c r="H157" t="str">
        <f t="shared" si="7"/>
        <v>(NULL,"244","1","236",NULL),</v>
      </c>
      <c r="I157" t="str">
        <f>TextJoin(tblSubjPrerequisites[[#This Row],[SubjectID]:[YearLevelID]],"Value")</f>
        <v>"244","1","236",NULL</v>
      </c>
    </row>
    <row r="158" spans="2:9" x14ac:dyDescent="0.25">
      <c r="B158">
        <f t="shared" si="8"/>
        <v>156</v>
      </c>
      <c r="C158">
        <v>247</v>
      </c>
      <c r="D158" s="12">
        <v>1</v>
      </c>
      <c r="E158">
        <v>231</v>
      </c>
      <c r="F158" s="13" t="s">
        <v>520</v>
      </c>
      <c r="H158" t="str">
        <f t="shared" si="7"/>
        <v>(NULL,"247","1","231",NULL),</v>
      </c>
      <c r="I158" t="str">
        <f>TextJoin(tblSubjPrerequisites[[#This Row],[SubjectID]:[YearLevelID]],"Value")</f>
        <v>"247","1","231",NULL</v>
      </c>
    </row>
    <row r="159" spans="2:9" x14ac:dyDescent="0.25">
      <c r="B159">
        <f t="shared" si="8"/>
        <v>157</v>
      </c>
      <c r="C159">
        <v>248</v>
      </c>
      <c r="D159" s="12">
        <v>1</v>
      </c>
      <c r="E159">
        <v>233</v>
      </c>
      <c r="F159" s="13" t="s">
        <v>520</v>
      </c>
      <c r="H159" t="str">
        <f t="shared" si="7"/>
        <v>(NULL,"248","1","233",NULL),</v>
      </c>
      <c r="I159" t="str">
        <f>TextJoin(tblSubjPrerequisites[[#This Row],[SubjectID]:[YearLevelID]],"Value")</f>
        <v>"248","1","233",NULL</v>
      </c>
    </row>
    <row r="160" spans="2:9" x14ac:dyDescent="0.25">
      <c r="B160">
        <f t="shared" si="8"/>
        <v>158</v>
      </c>
      <c r="C160">
        <v>251</v>
      </c>
      <c r="D160" s="12">
        <v>1</v>
      </c>
      <c r="E160">
        <v>243</v>
      </c>
      <c r="F160" s="13" t="s">
        <v>520</v>
      </c>
      <c r="H160" t="str">
        <f t="shared" si="7"/>
        <v>(NULL,"251","1","243",NULL),</v>
      </c>
      <c r="I160" t="str">
        <f>TextJoin(tblSubjPrerequisites[[#This Row],[SubjectID]:[YearLevelID]],"Value")</f>
        <v>"251","1","243",NULL</v>
      </c>
    </row>
    <row r="161" spans="2:9" x14ac:dyDescent="0.25">
      <c r="B161">
        <f t="shared" si="8"/>
        <v>159</v>
      </c>
      <c r="C161">
        <v>258</v>
      </c>
      <c r="D161" s="12">
        <v>1</v>
      </c>
      <c r="E161">
        <v>251</v>
      </c>
      <c r="F161" s="13" t="s">
        <v>520</v>
      </c>
      <c r="H161" t="str">
        <f t="shared" si="7"/>
        <v>(NULL,"258","1","251",NULL),</v>
      </c>
      <c r="I161" t="str">
        <f>TextJoin(tblSubjPrerequisites[[#This Row],[SubjectID]:[YearLevelID]],"Value")</f>
        <v>"258","1","251",NULL</v>
      </c>
    </row>
    <row r="162" spans="2:9" x14ac:dyDescent="0.25">
      <c r="B162">
        <f t="shared" si="8"/>
        <v>160</v>
      </c>
      <c r="C162">
        <v>260</v>
      </c>
      <c r="D162" s="12">
        <v>1</v>
      </c>
      <c r="E162">
        <v>252</v>
      </c>
      <c r="F162" s="13" t="s">
        <v>520</v>
      </c>
      <c r="H162" t="str">
        <f t="shared" si="7"/>
        <v>(NULL,"260","1","252",NULL),</v>
      </c>
      <c r="I162" t="str">
        <f>TextJoin(tblSubjPrerequisites[[#This Row],[SubjectID]:[YearLevelID]],"Value")</f>
        <v>"260","1","252",NULL</v>
      </c>
    </row>
    <row r="163" spans="2:9" x14ac:dyDescent="0.25">
      <c r="B163">
        <f t="shared" si="8"/>
        <v>161</v>
      </c>
      <c r="C163">
        <v>264</v>
      </c>
      <c r="D163" s="12">
        <v>1</v>
      </c>
      <c r="E163">
        <v>258</v>
      </c>
      <c r="F163" s="13" t="s">
        <v>520</v>
      </c>
      <c r="H163" t="str">
        <f t="shared" si="7"/>
        <v>(NULL,"264","1","258",NULL),</v>
      </c>
      <c r="I163" t="str">
        <f>TextJoin(tblSubjPrerequisites[[#This Row],[SubjectID]:[YearLevelID]],"Value")</f>
        <v>"264","1","258",NULL</v>
      </c>
    </row>
    <row r="164" spans="2:9" x14ac:dyDescent="0.25">
      <c r="B164">
        <f t="shared" si="8"/>
        <v>162</v>
      </c>
      <c r="C164">
        <v>265</v>
      </c>
      <c r="D164" s="12">
        <v>1</v>
      </c>
      <c r="E164">
        <v>259</v>
      </c>
      <c r="F164" s="13" t="s">
        <v>520</v>
      </c>
      <c r="H164" t="str">
        <f t="shared" si="7"/>
        <v>(NULL,"265","1","259",NULL);</v>
      </c>
      <c r="I164" t="str">
        <f>TextJoin(tblSubjPrerequisites[[#This Row],[SubjectID]:[YearLevelID]],"Value")</f>
        <v>"265","1","259",NULL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23"/>
  <sheetViews>
    <sheetView zoomScale="85" zoomScaleNormal="85" workbookViewId="0">
      <selection activeCell="H3" sqref="H3:H12"/>
    </sheetView>
  </sheetViews>
  <sheetFormatPr defaultRowHeight="15" x14ac:dyDescent="0.25"/>
  <cols>
    <col min="1" max="1" width="0.85546875" customWidth="1"/>
    <col min="2" max="2" width="10.42578125" bestFit="1" customWidth="1"/>
    <col min="3" max="4" width="13.5703125" bestFit="1" customWidth="1"/>
    <col min="5" max="6" width="13.85546875" bestFit="1" customWidth="1"/>
    <col min="7" max="7" width="12.85546875" bestFit="1" customWidth="1"/>
    <col min="9" max="9" width="50" bestFit="1" customWidth="1"/>
    <col min="10" max="10" width="61" bestFit="1" customWidth="1"/>
  </cols>
  <sheetData>
    <row r="1" spans="2:9" ht="5.0999999999999996" customHeight="1" x14ac:dyDescent="0.25"/>
    <row r="2" spans="2:9" x14ac:dyDescent="0.25">
      <c r="B2" t="s">
        <v>33</v>
      </c>
      <c r="C2" t="s">
        <v>825</v>
      </c>
      <c r="D2" t="s">
        <v>10</v>
      </c>
      <c r="E2" t="s">
        <v>833</v>
      </c>
      <c r="F2" t="s">
        <v>834</v>
      </c>
      <c r="I2" t="str">
        <f>TextJoin(tblSchoolTerms[#Headers])</f>
        <v>STermID,SemesterID,SchoolYear,DateOfStart,DateOfEnd</v>
      </c>
    </row>
    <row r="3" spans="2:9" x14ac:dyDescent="0.25">
      <c r="B3">
        <v>1</v>
      </c>
      <c r="C3">
        <v>2</v>
      </c>
      <c r="D3" t="s">
        <v>518</v>
      </c>
      <c r="E3" s="32">
        <v>43416.333333333336</v>
      </c>
      <c r="F3" s="32">
        <v>43554.999305555553</v>
      </c>
      <c r="H3" t="str">
        <f>"(NULL,"&amp;I3&amp;")"&amp;IF(H4&lt;&gt;"",",",";")</f>
        <v>(NULL,"2","S.Y. 2018-2019","2018-11-12","2019-03-30"),</v>
      </c>
      <c r="I3" t="str">
        <f>TextJoin(tblSchoolTerms[[#This Row],[SemesterID]:[DateOfEnd]], "Value")</f>
        <v>"2","S.Y. 2018-2019","2018-11-12","2019-03-30"</v>
      </c>
    </row>
    <row r="4" spans="2:9" x14ac:dyDescent="0.25">
      <c r="B4">
        <v>2</v>
      </c>
      <c r="C4">
        <v>1</v>
      </c>
      <c r="D4" t="s">
        <v>518</v>
      </c>
      <c r="E4" s="32">
        <v>43262.333333333336</v>
      </c>
      <c r="F4" s="32">
        <v>43400.999305555553</v>
      </c>
      <c r="H4" t="str">
        <f t="shared" ref="H4:H11" si="0">"(NULL,"&amp;I4&amp;")"&amp;IF(H5&lt;&gt;"",",",";")</f>
        <v>(NULL,"1","S.Y. 2018-2019","2018-06-11","2018-10-27"),</v>
      </c>
      <c r="I4" t="str">
        <f>TextJoin(tblSchoolTerms[[#This Row],[SemesterID]:[DateOfEnd]], "Value")</f>
        <v>"1","S.Y. 2018-2019","2018-06-11","2018-10-27"</v>
      </c>
    </row>
    <row r="5" spans="2:9" x14ac:dyDescent="0.25">
      <c r="B5">
        <v>3</v>
      </c>
      <c r="C5">
        <v>2</v>
      </c>
      <c r="D5" t="s">
        <v>774</v>
      </c>
      <c r="E5" s="32">
        <v>43045.333333333336</v>
      </c>
      <c r="F5" s="32">
        <v>43182.999305555553</v>
      </c>
      <c r="H5" t="str">
        <f t="shared" si="0"/>
        <v>(NULL,"2","S.Y. 2017-2018","2017-11-06","2018-03-23"),</v>
      </c>
      <c r="I5" t="str">
        <f>TextJoin(tblSchoolTerms[[#This Row],[SemesterID]:[DateOfEnd]], "Value")</f>
        <v>"2","S.Y. 2017-2018","2017-11-06","2018-03-23"</v>
      </c>
    </row>
    <row r="6" spans="2:9" x14ac:dyDescent="0.25">
      <c r="B6">
        <v>4</v>
      </c>
      <c r="C6">
        <v>1</v>
      </c>
      <c r="D6" t="s">
        <v>774</v>
      </c>
      <c r="E6" s="32">
        <v>42899.333333333336</v>
      </c>
      <c r="F6" s="32">
        <v>43036.999305555553</v>
      </c>
      <c r="H6" t="str">
        <f t="shared" si="0"/>
        <v>(NULL,"1","S.Y. 2017-2018","2017-06-13","2017-10-28"),</v>
      </c>
      <c r="I6" t="str">
        <f>TextJoin(tblSchoolTerms[[#This Row],[SemesterID]:[DateOfEnd]], "Value")</f>
        <v>"1","S.Y. 2017-2018","2017-06-13","2017-10-28"</v>
      </c>
    </row>
    <row r="7" spans="2:9" x14ac:dyDescent="0.25">
      <c r="B7">
        <v>5</v>
      </c>
      <c r="C7">
        <v>2</v>
      </c>
      <c r="D7" t="s">
        <v>775</v>
      </c>
      <c r="E7" s="32">
        <v>42681.333333333336</v>
      </c>
      <c r="F7" s="32">
        <v>42825.999305555553</v>
      </c>
      <c r="H7" t="str">
        <f t="shared" si="0"/>
        <v>(NULL,"2","S.Y. 2016-2017","2016-11-07","2017-03-31"),</v>
      </c>
      <c r="I7" t="str">
        <f>TextJoin(tblSchoolTerms[[#This Row],[SemesterID]:[DateOfEnd]], "Value")</f>
        <v>"2","S.Y. 2016-2017","2016-11-07","2017-03-31"</v>
      </c>
    </row>
    <row r="8" spans="2:9" x14ac:dyDescent="0.25">
      <c r="B8">
        <v>6</v>
      </c>
      <c r="C8">
        <v>1</v>
      </c>
      <c r="D8" t="s">
        <v>775</v>
      </c>
      <c r="E8" s="32">
        <v>42527.333333333336</v>
      </c>
      <c r="F8" s="32">
        <v>42672.999305555553</v>
      </c>
      <c r="H8" t="str">
        <f t="shared" si="0"/>
        <v>(NULL,"1","S.Y. 2016-2017","2016-06-06","2016-10-29"),</v>
      </c>
      <c r="I8" t="str">
        <f>TextJoin(tblSchoolTerms[[#This Row],[SemesterID]:[DateOfEnd]], "Value")</f>
        <v>"1","S.Y. 2016-2017","2016-06-06","2016-10-29"</v>
      </c>
    </row>
    <row r="9" spans="2:9" x14ac:dyDescent="0.25">
      <c r="B9">
        <v>7</v>
      </c>
      <c r="C9">
        <v>2</v>
      </c>
      <c r="D9" t="s">
        <v>776</v>
      </c>
      <c r="E9" s="32">
        <v>42317.333333333336</v>
      </c>
      <c r="F9" s="32">
        <v>42462.999305555553</v>
      </c>
      <c r="H9" t="str">
        <f t="shared" si="0"/>
        <v>(NULL,"2","S.Y. 2015-2016","2015-11-09","2016-04-02"),</v>
      </c>
      <c r="I9" t="str">
        <f>TextJoin(tblSchoolTerms[[#This Row],[SemesterID]:[DateOfEnd]], "Value")</f>
        <v>"2","S.Y. 2015-2016","2015-11-09","2016-04-02"</v>
      </c>
    </row>
    <row r="10" spans="2:9" x14ac:dyDescent="0.25">
      <c r="B10">
        <v>8</v>
      </c>
      <c r="C10">
        <v>1</v>
      </c>
      <c r="D10" t="s">
        <v>776</v>
      </c>
      <c r="E10" s="32">
        <v>42163.333333333336</v>
      </c>
      <c r="F10" s="32">
        <v>42307.999305555553</v>
      </c>
      <c r="H10" t="str">
        <f t="shared" si="0"/>
        <v>(NULL,"1","S.Y. 2015-2016","2015-06-08","2015-10-30"),</v>
      </c>
      <c r="I10" t="str">
        <f>TextJoin(tblSchoolTerms[[#This Row],[SemesterID]:[DateOfEnd]], "Value")</f>
        <v>"1","S.Y. 2015-2016","2015-06-08","2015-10-30"</v>
      </c>
    </row>
    <row r="11" spans="2:9" x14ac:dyDescent="0.25">
      <c r="B11">
        <v>9</v>
      </c>
      <c r="C11">
        <v>2</v>
      </c>
      <c r="D11" t="s">
        <v>777</v>
      </c>
      <c r="E11" s="32">
        <v>41953.333333333336</v>
      </c>
      <c r="F11" s="32">
        <v>42091.999305555553</v>
      </c>
      <c r="H11" t="str">
        <f t="shared" si="0"/>
        <v>(NULL,"2","S.Y. 2014-2015","2014-11-10","2015-03-28"),</v>
      </c>
      <c r="I11" t="str">
        <f>TextJoin(tblSchoolTerms[[#This Row],[SemesterID]:[DateOfEnd]], "Value")</f>
        <v>"2","S.Y. 2014-2015","2014-11-10","2015-03-28"</v>
      </c>
    </row>
    <row r="12" spans="2:9" x14ac:dyDescent="0.25">
      <c r="B12">
        <v>10</v>
      </c>
      <c r="C12">
        <v>1</v>
      </c>
      <c r="D12" t="s">
        <v>777</v>
      </c>
      <c r="E12" s="32">
        <v>41799.333333333336</v>
      </c>
      <c r="F12" s="32">
        <v>41937.999305555553</v>
      </c>
      <c r="H12" t="str">
        <f>"(NULL,"&amp;I12&amp;")"&amp;IF(I13&lt;&gt;"",",",";")</f>
        <v>(NULL,"1","S.Y. 2014-2015","2014-06-09","2014-10-25");</v>
      </c>
      <c r="I12" t="str">
        <f>TextJoin(tblSchoolTerms[[#This Row],[SemesterID]:[DateOfEnd]], "Value")</f>
        <v>"1","S.Y. 2014-2015","2014-06-09","2014-10-25"</v>
      </c>
    </row>
    <row r="17" spans="2:4" x14ac:dyDescent="0.25">
      <c r="B17">
        <v>8</v>
      </c>
      <c r="C17" t="s">
        <v>778</v>
      </c>
      <c r="D17" s="24" t="s">
        <v>776</v>
      </c>
    </row>
    <row r="18" spans="2:4" x14ac:dyDescent="0.25">
      <c r="B18">
        <v>6</v>
      </c>
      <c r="C18" t="s">
        <v>779</v>
      </c>
      <c r="D18" s="24" t="s">
        <v>775</v>
      </c>
    </row>
    <row r="19" spans="2:4" x14ac:dyDescent="0.25">
      <c r="B19">
        <v>6</v>
      </c>
      <c r="C19" t="s">
        <v>780</v>
      </c>
      <c r="D19" s="24" t="s">
        <v>775</v>
      </c>
    </row>
    <row r="20" spans="2:4" x14ac:dyDescent="0.25">
      <c r="B20">
        <v>6</v>
      </c>
      <c r="C20" t="s">
        <v>781</v>
      </c>
      <c r="D20" s="24" t="s">
        <v>775</v>
      </c>
    </row>
    <row r="21" spans="2:4" x14ac:dyDescent="0.25">
      <c r="B21">
        <v>2</v>
      </c>
      <c r="C21" t="s">
        <v>782</v>
      </c>
      <c r="D21" s="24" t="s">
        <v>518</v>
      </c>
    </row>
    <row r="22" spans="2:4" x14ac:dyDescent="0.25">
      <c r="B22">
        <v>8</v>
      </c>
      <c r="C22" t="s">
        <v>783</v>
      </c>
      <c r="D22" s="24" t="s">
        <v>776</v>
      </c>
    </row>
    <row r="23" spans="2:4" x14ac:dyDescent="0.25">
      <c r="B23">
        <v>6</v>
      </c>
      <c r="C23" t="s">
        <v>784</v>
      </c>
      <c r="D23" s="24" t="s">
        <v>775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73"/>
  <sheetViews>
    <sheetView topLeftCell="A10" workbookViewId="0">
      <selection activeCell="A22" sqref="A22:XFD22"/>
    </sheetView>
  </sheetViews>
  <sheetFormatPr defaultRowHeight="15" x14ac:dyDescent="0.25"/>
  <cols>
    <col min="1" max="1" width="0.85546875" customWidth="1"/>
    <col min="2" max="2" width="10.7109375" customWidth="1"/>
    <col min="3" max="3" width="15.7109375" customWidth="1"/>
    <col min="4" max="4" width="10.7109375" customWidth="1"/>
    <col min="5" max="6" width="11.140625" customWidth="1"/>
    <col min="8" max="8" width="11.5703125" bestFit="1" customWidth="1"/>
    <col min="9" max="9" width="19.85546875" bestFit="1" customWidth="1"/>
  </cols>
  <sheetData>
    <row r="1" spans="2:9" ht="5.0999999999999996" customHeight="1" x14ac:dyDescent="0.25"/>
    <row r="2" spans="2:9" x14ac:dyDescent="0.25">
      <c r="B2" t="s">
        <v>9</v>
      </c>
      <c r="C2" t="s">
        <v>835</v>
      </c>
      <c r="D2" t="s">
        <v>12</v>
      </c>
      <c r="E2" t="s">
        <v>5</v>
      </c>
      <c r="F2" t="s">
        <v>11</v>
      </c>
    </row>
    <row r="3" spans="2:9" x14ac:dyDescent="0.25">
      <c r="B3">
        <v>1</v>
      </c>
      <c r="C3" t="s">
        <v>193</v>
      </c>
      <c r="D3">
        <v>2</v>
      </c>
      <c r="E3">
        <v>1</v>
      </c>
      <c r="F3">
        <v>2</v>
      </c>
      <c r="H3" t="str">
        <f>"(NULL,"&amp;I3&amp;")"&amp;IF(H4&lt;&gt;"",",",";")</f>
        <v>(NULL,"04-16-0077","2","1","2"),</v>
      </c>
      <c r="I3" t="str">
        <f>TextJoin(tblStudents[[#This Row],[SchoolIDNo]:[CourseID]],"Value")</f>
        <v>"04-16-0077","2","1","2"</v>
      </c>
    </row>
    <row r="4" spans="2:9" x14ac:dyDescent="0.25">
      <c r="B4">
        <v>2</v>
      </c>
      <c r="C4" t="s">
        <v>194</v>
      </c>
      <c r="D4">
        <v>3</v>
      </c>
      <c r="E4">
        <v>2</v>
      </c>
      <c r="F4">
        <v>4</v>
      </c>
      <c r="H4" t="str">
        <f t="shared" ref="H4:H67" si="0">"(NULL,"&amp;I4&amp;")"&amp;IF(H5&lt;&gt;"",",",";")</f>
        <v>(NULL,"04-18-0125","3","2","4"),</v>
      </c>
      <c r="I4" t="str">
        <f>TextJoin(tblStudents[[#This Row],[SchoolIDNo]:[CourseID]],"Value")</f>
        <v>"04-18-0125","3","2","4"</v>
      </c>
    </row>
    <row r="5" spans="2:9" x14ac:dyDescent="0.25">
      <c r="B5">
        <v>3</v>
      </c>
      <c r="C5" t="s">
        <v>195</v>
      </c>
      <c r="D5">
        <v>4</v>
      </c>
      <c r="E5">
        <v>3</v>
      </c>
      <c r="F5">
        <v>2</v>
      </c>
      <c r="H5" t="str">
        <f t="shared" si="0"/>
        <v>(NULL,"04-15-0073","4","3","2"),</v>
      </c>
      <c r="I5" t="str">
        <f>TextJoin(tblStudents[[#This Row],[SchoolIDNo]:[CourseID]],"Value")</f>
        <v>"04-15-0073","4","3","2"</v>
      </c>
    </row>
    <row r="6" spans="2:9" x14ac:dyDescent="0.25">
      <c r="B6">
        <v>4</v>
      </c>
      <c r="C6" t="s">
        <v>196</v>
      </c>
      <c r="D6">
        <v>5</v>
      </c>
      <c r="E6">
        <v>4</v>
      </c>
      <c r="F6">
        <v>1</v>
      </c>
      <c r="H6" t="str">
        <f t="shared" si="0"/>
        <v>(NULL,"04-15-0074","5","4","1"),</v>
      </c>
      <c r="I6" t="str">
        <f>TextJoin(tblStudents[[#This Row],[SchoolIDNo]:[CourseID]],"Value")</f>
        <v>"04-15-0074","5","4","1"</v>
      </c>
    </row>
    <row r="7" spans="2:9" x14ac:dyDescent="0.25">
      <c r="B7">
        <v>5</v>
      </c>
      <c r="C7" t="s">
        <v>197</v>
      </c>
      <c r="D7">
        <v>6</v>
      </c>
      <c r="E7">
        <v>5</v>
      </c>
      <c r="F7">
        <v>2</v>
      </c>
      <c r="H7" t="str">
        <f t="shared" si="0"/>
        <v>(NULL,"04-16-0052","6","5","2"),</v>
      </c>
      <c r="I7" t="str">
        <f>TextJoin(tblStudents[[#This Row],[SchoolIDNo]:[CourseID]],"Value")</f>
        <v>"04-16-0052","6","5","2"</v>
      </c>
    </row>
    <row r="8" spans="2:9" x14ac:dyDescent="0.25">
      <c r="B8">
        <v>6</v>
      </c>
      <c r="C8" t="s">
        <v>198</v>
      </c>
      <c r="D8">
        <v>7</v>
      </c>
      <c r="E8">
        <v>6</v>
      </c>
      <c r="F8">
        <v>4</v>
      </c>
      <c r="H8" t="str">
        <f t="shared" si="0"/>
        <v>(NULL,"04-18-0080","7","6","4"),</v>
      </c>
      <c r="I8" t="str">
        <f>TextJoin(tblStudents[[#This Row],[SchoolIDNo]:[CourseID]],"Value")</f>
        <v>"04-18-0080","7","6","4"</v>
      </c>
    </row>
    <row r="9" spans="2:9" x14ac:dyDescent="0.25">
      <c r="B9">
        <v>7</v>
      </c>
      <c r="C9" t="s">
        <v>199</v>
      </c>
      <c r="D9">
        <v>8</v>
      </c>
      <c r="E9">
        <v>7</v>
      </c>
      <c r="F9">
        <v>2</v>
      </c>
      <c r="H9" t="str">
        <f t="shared" si="0"/>
        <v>(NULL,"04-16-0030","8","7","2"),</v>
      </c>
      <c r="I9" t="str">
        <f>TextJoin(tblStudents[[#This Row],[SchoolIDNo]:[CourseID]],"Value")</f>
        <v>"04-16-0030","8","7","2"</v>
      </c>
    </row>
    <row r="10" spans="2:9" x14ac:dyDescent="0.25">
      <c r="B10">
        <v>8</v>
      </c>
      <c r="C10" t="s">
        <v>200</v>
      </c>
      <c r="D10">
        <v>9</v>
      </c>
      <c r="E10">
        <v>8</v>
      </c>
      <c r="F10">
        <v>4</v>
      </c>
      <c r="H10" t="str">
        <f t="shared" si="0"/>
        <v>(NULL,"04-18-0043","9","8","4"),</v>
      </c>
      <c r="I10" t="str">
        <f>TextJoin(tblStudents[[#This Row],[SchoolIDNo]:[CourseID]],"Value")</f>
        <v>"04-18-0043","9","8","4"</v>
      </c>
    </row>
    <row r="11" spans="2:9" x14ac:dyDescent="0.25">
      <c r="B11">
        <v>9</v>
      </c>
      <c r="C11" t="s">
        <v>201</v>
      </c>
      <c r="D11">
        <v>10</v>
      </c>
      <c r="E11">
        <v>9</v>
      </c>
      <c r="F11">
        <v>4</v>
      </c>
      <c r="H11" t="str">
        <f t="shared" si="0"/>
        <v>(NULL,"04-18-0064","10","9","4"),</v>
      </c>
      <c r="I11" t="str">
        <f>TextJoin(tblStudents[[#This Row],[SchoolIDNo]:[CourseID]],"Value")</f>
        <v>"04-18-0064","10","9","4"</v>
      </c>
    </row>
    <row r="12" spans="2:9" x14ac:dyDescent="0.25">
      <c r="B12">
        <v>10</v>
      </c>
      <c r="C12" t="s">
        <v>202</v>
      </c>
      <c r="D12">
        <v>11</v>
      </c>
      <c r="E12">
        <v>10</v>
      </c>
      <c r="F12">
        <v>2</v>
      </c>
      <c r="H12" t="str">
        <f t="shared" si="0"/>
        <v>(NULL,"04-16-0004","11","10","2"),</v>
      </c>
      <c r="I12" t="str">
        <f>TextJoin(tblStudents[[#This Row],[SchoolIDNo]:[CourseID]],"Value")</f>
        <v>"04-16-0004","11","10","2"</v>
      </c>
    </row>
    <row r="13" spans="2:9" x14ac:dyDescent="0.25">
      <c r="B13">
        <v>11</v>
      </c>
      <c r="C13" t="s">
        <v>203</v>
      </c>
      <c r="D13">
        <v>12</v>
      </c>
      <c r="E13">
        <v>11</v>
      </c>
      <c r="F13">
        <v>1</v>
      </c>
      <c r="H13" t="str">
        <f t="shared" si="0"/>
        <v>(NULL,"04-15-0061","12","11","1"),</v>
      </c>
      <c r="I13" t="str">
        <f>TextJoin(tblStudents[[#This Row],[SchoolIDNo]:[CourseID]],"Value")</f>
        <v>"04-15-0061","12","11","1"</v>
      </c>
    </row>
    <row r="14" spans="2:9" x14ac:dyDescent="0.25">
      <c r="B14">
        <v>12</v>
      </c>
      <c r="C14" t="s">
        <v>204</v>
      </c>
      <c r="D14">
        <v>13</v>
      </c>
      <c r="E14">
        <v>12</v>
      </c>
      <c r="F14">
        <v>1</v>
      </c>
      <c r="H14" t="str">
        <f t="shared" si="0"/>
        <v>(NULL,"04-15-0072","13","12","1"),</v>
      </c>
      <c r="I14" t="str">
        <f>TextJoin(tblStudents[[#This Row],[SchoolIDNo]:[CourseID]],"Value")</f>
        <v>"04-15-0072","13","12","1"</v>
      </c>
    </row>
    <row r="15" spans="2:9" x14ac:dyDescent="0.25">
      <c r="B15">
        <v>13</v>
      </c>
      <c r="C15" t="s">
        <v>205</v>
      </c>
      <c r="D15">
        <v>14</v>
      </c>
      <c r="E15">
        <v>13</v>
      </c>
      <c r="F15">
        <v>4</v>
      </c>
      <c r="H15" t="str">
        <f t="shared" si="0"/>
        <v>(NULL,"04-18-0004","14","13","4"),</v>
      </c>
      <c r="I15" t="str">
        <f>TextJoin(tblStudents[[#This Row],[SchoolIDNo]:[CourseID]],"Value")</f>
        <v>"04-18-0004","14","13","4"</v>
      </c>
    </row>
    <row r="16" spans="2:9" x14ac:dyDescent="0.25">
      <c r="B16">
        <v>14</v>
      </c>
      <c r="C16" t="s">
        <v>206</v>
      </c>
      <c r="D16">
        <v>15</v>
      </c>
      <c r="E16">
        <v>14</v>
      </c>
      <c r="F16">
        <v>4</v>
      </c>
      <c r="H16" t="str">
        <f t="shared" si="0"/>
        <v>(NULL,"04-18-0119","15","14","4"),</v>
      </c>
      <c r="I16" t="str">
        <f>TextJoin(tblStudents[[#This Row],[SchoolIDNo]:[CourseID]],"Value")</f>
        <v>"04-18-0119","15","14","4"</v>
      </c>
    </row>
    <row r="17" spans="2:9" x14ac:dyDescent="0.25">
      <c r="B17">
        <v>15</v>
      </c>
      <c r="C17" t="s">
        <v>207</v>
      </c>
      <c r="D17">
        <v>16</v>
      </c>
      <c r="E17">
        <v>15</v>
      </c>
      <c r="F17">
        <v>4</v>
      </c>
      <c r="H17" t="str">
        <f t="shared" si="0"/>
        <v>(NULL,"04-18-0054","16","15","4"),</v>
      </c>
      <c r="I17" t="str">
        <f>TextJoin(tblStudents[[#This Row],[SchoolIDNo]:[CourseID]],"Value")</f>
        <v>"04-18-0054","16","15","4"</v>
      </c>
    </row>
    <row r="18" spans="2:9" x14ac:dyDescent="0.25">
      <c r="B18">
        <v>16</v>
      </c>
      <c r="C18" t="s">
        <v>208</v>
      </c>
      <c r="D18">
        <v>17</v>
      </c>
      <c r="E18">
        <v>16</v>
      </c>
      <c r="F18">
        <v>2</v>
      </c>
      <c r="H18" t="str">
        <f t="shared" si="0"/>
        <v>(NULL,"04-15-0077","17","16","2"),</v>
      </c>
      <c r="I18" t="str">
        <f>TextJoin(tblStudents[[#This Row],[SchoolIDNo]:[CourseID]],"Value")</f>
        <v>"04-15-0077","17","16","2"</v>
      </c>
    </row>
    <row r="19" spans="2:9" x14ac:dyDescent="0.25">
      <c r="B19">
        <v>17</v>
      </c>
      <c r="C19" t="s">
        <v>209</v>
      </c>
      <c r="D19">
        <v>18</v>
      </c>
      <c r="E19">
        <v>17</v>
      </c>
      <c r="F19">
        <v>3</v>
      </c>
      <c r="H19" t="str">
        <f t="shared" si="0"/>
        <v>(NULL,"04-18-0071","18","17","3"),</v>
      </c>
      <c r="I19" t="str">
        <f>TextJoin(tblStudents[[#This Row],[SchoolIDNo]:[CourseID]],"Value")</f>
        <v>"04-18-0071","18","17","3"</v>
      </c>
    </row>
    <row r="20" spans="2:9" x14ac:dyDescent="0.25">
      <c r="B20">
        <v>18</v>
      </c>
      <c r="C20" t="s">
        <v>210</v>
      </c>
      <c r="D20">
        <v>19</v>
      </c>
      <c r="E20">
        <v>18</v>
      </c>
      <c r="F20">
        <v>2</v>
      </c>
      <c r="H20" t="str">
        <f t="shared" si="0"/>
        <v>(NULL,"04-17-0042","19","18","2"),</v>
      </c>
      <c r="I20" t="str">
        <f>TextJoin(tblStudents[[#This Row],[SchoolIDNo]:[CourseID]],"Value")</f>
        <v>"04-17-0042","19","18","2"</v>
      </c>
    </row>
    <row r="21" spans="2:9" x14ac:dyDescent="0.25">
      <c r="B21">
        <v>19</v>
      </c>
      <c r="C21" t="s">
        <v>211</v>
      </c>
      <c r="D21">
        <v>20</v>
      </c>
      <c r="E21">
        <v>19</v>
      </c>
      <c r="F21">
        <v>2</v>
      </c>
      <c r="H21" t="str">
        <f>"(NULL,"&amp;I21&amp;")"&amp;IF(H22&lt;&gt;"",",",";")</f>
        <v>(NULL,"04-16-0024","20","19","2"),</v>
      </c>
      <c r="I21" t="str">
        <f>TextJoin(tblStudents[[#This Row],[SchoolIDNo]:[CourseID]],"Value")</f>
        <v>"04-16-0024","20","19","2"</v>
      </c>
    </row>
    <row r="22" spans="2:9" x14ac:dyDescent="0.25">
      <c r="B22">
        <v>20</v>
      </c>
      <c r="C22" t="s">
        <v>212</v>
      </c>
      <c r="D22">
        <v>21</v>
      </c>
      <c r="E22">
        <v>20</v>
      </c>
      <c r="F22">
        <v>2</v>
      </c>
      <c r="H22" t="str">
        <f t="shared" si="0"/>
        <v>(NULL,"04-17-0077","21","20","2"),</v>
      </c>
      <c r="I22" t="str">
        <f>TextJoin(tblStudents[[#This Row],[SchoolIDNo]:[CourseID]],"Value")</f>
        <v>"04-17-0077","21","20","2"</v>
      </c>
    </row>
    <row r="23" spans="2:9" x14ac:dyDescent="0.25">
      <c r="B23">
        <v>21</v>
      </c>
      <c r="C23" t="s">
        <v>213</v>
      </c>
      <c r="D23">
        <v>22</v>
      </c>
      <c r="E23">
        <v>21</v>
      </c>
      <c r="F23">
        <v>4</v>
      </c>
      <c r="H23" t="str">
        <f t="shared" si="0"/>
        <v>(NULL,"04-18-0049","22","21","4"),</v>
      </c>
      <c r="I23" t="str">
        <f>TextJoin(tblStudents[[#This Row],[SchoolIDNo]:[CourseID]],"Value")</f>
        <v>"04-18-0049","22","21","4"</v>
      </c>
    </row>
    <row r="24" spans="2:9" x14ac:dyDescent="0.25">
      <c r="B24">
        <v>22</v>
      </c>
      <c r="C24" t="s">
        <v>214</v>
      </c>
      <c r="D24">
        <v>23</v>
      </c>
      <c r="E24">
        <v>22</v>
      </c>
      <c r="F24">
        <v>2</v>
      </c>
      <c r="H24" t="str">
        <f t="shared" si="0"/>
        <v>(NULL,"04-17-0043","23","22","2"),</v>
      </c>
      <c r="I24" t="str">
        <f>TextJoin(tblStudents[[#This Row],[SchoolIDNo]:[CourseID]],"Value")</f>
        <v>"04-17-0043","23","22","2"</v>
      </c>
    </row>
    <row r="25" spans="2:9" x14ac:dyDescent="0.25">
      <c r="B25">
        <v>23</v>
      </c>
      <c r="C25" t="s">
        <v>215</v>
      </c>
      <c r="D25">
        <v>24</v>
      </c>
      <c r="E25">
        <v>23</v>
      </c>
      <c r="F25">
        <v>2</v>
      </c>
      <c r="H25" t="str">
        <f t="shared" si="0"/>
        <v>(NULL,"04-15-0040","24","23","2"),</v>
      </c>
      <c r="I25" t="str">
        <f>TextJoin(tblStudents[[#This Row],[SchoolIDNo]:[CourseID]],"Value")</f>
        <v>"04-15-0040","24","23","2"</v>
      </c>
    </row>
    <row r="26" spans="2:9" x14ac:dyDescent="0.25">
      <c r="B26">
        <v>24</v>
      </c>
      <c r="C26" t="s">
        <v>216</v>
      </c>
      <c r="D26">
        <v>25</v>
      </c>
      <c r="E26">
        <v>24</v>
      </c>
      <c r="F26">
        <v>4</v>
      </c>
      <c r="H26" t="str">
        <f t="shared" si="0"/>
        <v>(NULL,"04-18-0016","25","24","4"),</v>
      </c>
      <c r="I26" t="str">
        <f>TextJoin(tblStudents[[#This Row],[SchoolIDNo]:[CourseID]],"Value")</f>
        <v>"04-18-0016","25","24","4"</v>
      </c>
    </row>
    <row r="27" spans="2:9" x14ac:dyDescent="0.25">
      <c r="B27">
        <v>25</v>
      </c>
      <c r="C27" t="s">
        <v>217</v>
      </c>
      <c r="D27">
        <v>26</v>
      </c>
      <c r="E27">
        <v>25</v>
      </c>
      <c r="F27">
        <v>2</v>
      </c>
      <c r="H27" t="str">
        <f t="shared" si="0"/>
        <v>(NULL,"04-15-0018","26","25","2"),</v>
      </c>
      <c r="I27" t="str">
        <f>TextJoin(tblStudents[[#This Row],[SchoolIDNo]:[CourseID]],"Value")</f>
        <v>"04-15-0018","26","25","2"</v>
      </c>
    </row>
    <row r="28" spans="2:9" x14ac:dyDescent="0.25">
      <c r="B28">
        <v>26</v>
      </c>
      <c r="C28" t="s">
        <v>218</v>
      </c>
      <c r="D28">
        <v>27</v>
      </c>
      <c r="E28">
        <v>26</v>
      </c>
      <c r="F28">
        <v>2</v>
      </c>
      <c r="H28" t="str">
        <f t="shared" si="0"/>
        <v>(NULL,"04-15-0025","27","26","2"),</v>
      </c>
      <c r="I28" t="str">
        <f>TextJoin(tblStudents[[#This Row],[SchoolIDNo]:[CourseID]],"Value")</f>
        <v>"04-15-0025","27","26","2"</v>
      </c>
    </row>
    <row r="29" spans="2:9" x14ac:dyDescent="0.25">
      <c r="B29">
        <v>27</v>
      </c>
      <c r="C29" t="s">
        <v>219</v>
      </c>
      <c r="D29">
        <v>28</v>
      </c>
      <c r="E29">
        <v>27</v>
      </c>
      <c r="F29">
        <v>2</v>
      </c>
      <c r="H29" t="str">
        <f t="shared" si="0"/>
        <v>(NULL,"04-16-0055","28","27","2"),</v>
      </c>
      <c r="I29" t="str">
        <f>TextJoin(tblStudents[[#This Row],[SchoolIDNo]:[CourseID]],"Value")</f>
        <v>"04-16-0055","28","27","2"</v>
      </c>
    </row>
    <row r="30" spans="2:9" x14ac:dyDescent="0.25">
      <c r="B30">
        <v>28</v>
      </c>
      <c r="C30" t="s">
        <v>220</v>
      </c>
      <c r="D30">
        <v>29</v>
      </c>
      <c r="E30">
        <v>28</v>
      </c>
      <c r="F30">
        <v>2</v>
      </c>
      <c r="H30" t="str">
        <f t="shared" si="0"/>
        <v>(NULL,"04-16-0020","29","28","2"),</v>
      </c>
      <c r="I30" t="str">
        <f>TextJoin(tblStudents[[#This Row],[SchoolIDNo]:[CourseID]],"Value")</f>
        <v>"04-16-0020","29","28","2"</v>
      </c>
    </row>
    <row r="31" spans="2:9" x14ac:dyDescent="0.25">
      <c r="B31">
        <v>29</v>
      </c>
      <c r="C31" t="s">
        <v>221</v>
      </c>
      <c r="D31">
        <v>30</v>
      </c>
      <c r="E31">
        <v>29</v>
      </c>
      <c r="F31">
        <v>2</v>
      </c>
      <c r="H31" t="str">
        <f t="shared" si="0"/>
        <v>(NULL,"04-18-0114","30","29","2"),</v>
      </c>
      <c r="I31" t="str">
        <f>TextJoin(tblStudents[[#This Row],[SchoolIDNo]:[CourseID]],"Value")</f>
        <v>"04-18-0114","30","29","2"</v>
      </c>
    </row>
    <row r="32" spans="2:9" x14ac:dyDescent="0.25">
      <c r="B32">
        <v>30</v>
      </c>
      <c r="C32" t="s">
        <v>222</v>
      </c>
      <c r="D32">
        <v>31</v>
      </c>
      <c r="E32">
        <v>30</v>
      </c>
      <c r="F32">
        <v>1</v>
      </c>
      <c r="H32" t="str">
        <f t="shared" si="0"/>
        <v>(NULL,"04-15-0047","31","30","1"),</v>
      </c>
      <c r="I32" t="str">
        <f>TextJoin(tblStudents[[#This Row],[SchoolIDNo]:[CourseID]],"Value")</f>
        <v>"04-15-0047","31","30","1"</v>
      </c>
    </row>
    <row r="33" spans="2:9" x14ac:dyDescent="0.25">
      <c r="B33">
        <v>31</v>
      </c>
      <c r="C33" t="s">
        <v>223</v>
      </c>
      <c r="D33">
        <v>32</v>
      </c>
      <c r="E33">
        <v>31</v>
      </c>
      <c r="F33">
        <v>2</v>
      </c>
      <c r="H33" t="str">
        <f t="shared" si="0"/>
        <v>(NULL,"04-17-0044","32","31","2"),</v>
      </c>
      <c r="I33" t="str">
        <f>TextJoin(tblStudents[[#This Row],[SchoolIDNo]:[CourseID]],"Value")</f>
        <v>"04-17-0044","32","31","2"</v>
      </c>
    </row>
    <row r="34" spans="2:9" x14ac:dyDescent="0.25">
      <c r="B34">
        <v>32</v>
      </c>
      <c r="C34" t="s">
        <v>224</v>
      </c>
      <c r="D34">
        <v>33</v>
      </c>
      <c r="E34">
        <v>32</v>
      </c>
      <c r="F34">
        <v>2</v>
      </c>
      <c r="H34" t="str">
        <f t="shared" si="0"/>
        <v>(NULL,"04-17-0028","33","32","2"),</v>
      </c>
      <c r="I34" t="str">
        <f>TextJoin(tblStudents[[#This Row],[SchoolIDNo]:[CourseID]],"Value")</f>
        <v>"04-17-0028","33","32","2"</v>
      </c>
    </row>
    <row r="35" spans="2:9" x14ac:dyDescent="0.25">
      <c r="B35">
        <v>33</v>
      </c>
      <c r="C35" t="s">
        <v>225</v>
      </c>
      <c r="D35">
        <v>34</v>
      </c>
      <c r="E35">
        <v>33</v>
      </c>
      <c r="F35">
        <v>2</v>
      </c>
      <c r="H35" t="str">
        <f t="shared" si="0"/>
        <v>(NULL,"04-15-0076","34","33","2"),</v>
      </c>
      <c r="I35" t="str">
        <f>TextJoin(tblStudents[[#This Row],[SchoolIDNo]:[CourseID]],"Value")</f>
        <v>"04-15-0076","34","33","2"</v>
      </c>
    </row>
    <row r="36" spans="2:9" x14ac:dyDescent="0.25">
      <c r="B36">
        <v>34</v>
      </c>
      <c r="C36" t="s">
        <v>226</v>
      </c>
      <c r="D36">
        <v>35</v>
      </c>
      <c r="E36">
        <v>34</v>
      </c>
      <c r="F36">
        <v>2</v>
      </c>
      <c r="H36" t="str">
        <f t="shared" si="0"/>
        <v>(NULL,"04-18-0113","35","34","2"),</v>
      </c>
      <c r="I36" t="str">
        <f>TextJoin(tblStudents[[#This Row],[SchoolIDNo]:[CourseID]],"Value")</f>
        <v>"04-18-0113","35","34","2"</v>
      </c>
    </row>
    <row r="37" spans="2:9" x14ac:dyDescent="0.25">
      <c r="B37">
        <v>35</v>
      </c>
      <c r="C37" t="s">
        <v>227</v>
      </c>
      <c r="D37">
        <v>36</v>
      </c>
      <c r="E37">
        <v>35</v>
      </c>
      <c r="F37">
        <v>2</v>
      </c>
      <c r="H37" t="str">
        <f t="shared" si="0"/>
        <v>(NULL,"04-17-0070","36","35","2"),</v>
      </c>
      <c r="I37" t="str">
        <f>TextJoin(tblStudents[[#This Row],[SchoolIDNo]:[CourseID]],"Value")</f>
        <v>"04-17-0070","36","35","2"</v>
      </c>
    </row>
    <row r="38" spans="2:9" x14ac:dyDescent="0.25">
      <c r="B38">
        <v>36</v>
      </c>
      <c r="C38" t="s">
        <v>228</v>
      </c>
      <c r="D38">
        <v>37</v>
      </c>
      <c r="E38">
        <v>36</v>
      </c>
      <c r="F38">
        <v>4</v>
      </c>
      <c r="H38" t="str">
        <f t="shared" si="0"/>
        <v>(NULL,"04-18-0127","37","36","4"),</v>
      </c>
      <c r="I38" t="str">
        <f>TextJoin(tblStudents[[#This Row],[SchoolIDNo]:[CourseID]],"Value")</f>
        <v>"04-18-0127","37","36","4"</v>
      </c>
    </row>
    <row r="39" spans="2:9" x14ac:dyDescent="0.25">
      <c r="B39">
        <v>37</v>
      </c>
      <c r="C39" t="s">
        <v>229</v>
      </c>
      <c r="D39">
        <v>38</v>
      </c>
      <c r="E39">
        <v>37</v>
      </c>
      <c r="F39">
        <v>1</v>
      </c>
      <c r="H39" t="str">
        <f t="shared" si="0"/>
        <v>(NULL,"04-14-0040","38","37","1"),</v>
      </c>
      <c r="I39" t="str">
        <f>TextJoin(tblStudents[[#This Row],[SchoolIDNo]:[CourseID]],"Value")</f>
        <v>"04-14-0040","38","37","1"</v>
      </c>
    </row>
    <row r="40" spans="2:9" x14ac:dyDescent="0.25">
      <c r="B40">
        <v>38</v>
      </c>
      <c r="C40" t="s">
        <v>230</v>
      </c>
      <c r="D40">
        <v>39</v>
      </c>
      <c r="E40">
        <v>38</v>
      </c>
      <c r="F40">
        <v>1</v>
      </c>
      <c r="H40" t="str">
        <f t="shared" si="0"/>
        <v>(NULL,"04-15-0079","39","38","1"),</v>
      </c>
      <c r="I40" t="str">
        <f>TextJoin(tblStudents[[#This Row],[SchoolIDNo]:[CourseID]],"Value")</f>
        <v>"04-15-0079","39","38","1"</v>
      </c>
    </row>
    <row r="41" spans="2:9" x14ac:dyDescent="0.25">
      <c r="B41">
        <v>39</v>
      </c>
      <c r="C41" t="s">
        <v>231</v>
      </c>
      <c r="D41">
        <v>40</v>
      </c>
      <c r="E41">
        <v>39</v>
      </c>
      <c r="F41">
        <v>2</v>
      </c>
      <c r="H41" t="str">
        <f t="shared" si="0"/>
        <v>(NULL,"04-17-0020","40","39","2"),</v>
      </c>
      <c r="I41" t="str">
        <f>TextJoin(tblStudents[[#This Row],[SchoolIDNo]:[CourseID]],"Value")</f>
        <v>"04-17-0020","40","39","2"</v>
      </c>
    </row>
    <row r="42" spans="2:9" x14ac:dyDescent="0.25">
      <c r="B42">
        <v>40</v>
      </c>
      <c r="C42" t="s">
        <v>232</v>
      </c>
      <c r="D42">
        <v>41</v>
      </c>
      <c r="E42">
        <v>40</v>
      </c>
      <c r="F42">
        <v>2</v>
      </c>
      <c r="H42" t="str">
        <f t="shared" si="0"/>
        <v>(NULL,"04-16-0031","41","40","2"),</v>
      </c>
      <c r="I42" t="str">
        <f>TextJoin(tblStudents[[#This Row],[SchoolIDNo]:[CourseID]],"Value")</f>
        <v>"04-16-0031","41","40","2"</v>
      </c>
    </row>
    <row r="43" spans="2:9" x14ac:dyDescent="0.25">
      <c r="B43">
        <v>41</v>
      </c>
      <c r="C43" t="s">
        <v>233</v>
      </c>
      <c r="D43">
        <v>42</v>
      </c>
      <c r="E43">
        <v>41</v>
      </c>
      <c r="F43">
        <v>2</v>
      </c>
      <c r="H43" t="str">
        <f t="shared" si="0"/>
        <v>(NULL,"04-17-0079","42","41","2"),</v>
      </c>
      <c r="I43" t="str">
        <f>TextJoin(tblStudents[[#This Row],[SchoolIDNo]:[CourseID]],"Value")</f>
        <v>"04-17-0079","42","41","2"</v>
      </c>
    </row>
    <row r="44" spans="2:9" x14ac:dyDescent="0.25">
      <c r="B44">
        <v>42</v>
      </c>
      <c r="C44" t="s">
        <v>234</v>
      </c>
      <c r="D44">
        <v>43</v>
      </c>
      <c r="E44">
        <v>42</v>
      </c>
      <c r="F44">
        <v>1</v>
      </c>
      <c r="H44" t="str">
        <f t="shared" si="0"/>
        <v>(NULL,"04-15-0034","43","42","1"),</v>
      </c>
      <c r="I44" t="str">
        <f>TextJoin(tblStudents[[#This Row],[SchoolIDNo]:[CourseID]],"Value")</f>
        <v>"04-15-0034","43","42","1"</v>
      </c>
    </row>
    <row r="45" spans="2:9" x14ac:dyDescent="0.25">
      <c r="B45">
        <v>43</v>
      </c>
      <c r="C45" t="s">
        <v>235</v>
      </c>
      <c r="D45">
        <v>44</v>
      </c>
      <c r="E45">
        <v>43</v>
      </c>
      <c r="F45">
        <v>2</v>
      </c>
      <c r="H45" t="str">
        <f t="shared" si="0"/>
        <v>(NULL,"04-15-0028","44","43","2"),</v>
      </c>
      <c r="I45" t="str">
        <f>TextJoin(tblStudents[[#This Row],[SchoolIDNo]:[CourseID]],"Value")</f>
        <v>"04-15-0028","44","43","2"</v>
      </c>
    </row>
    <row r="46" spans="2:9" x14ac:dyDescent="0.25">
      <c r="B46">
        <v>44</v>
      </c>
      <c r="C46" t="s">
        <v>236</v>
      </c>
      <c r="D46">
        <v>45</v>
      </c>
      <c r="E46">
        <v>44</v>
      </c>
      <c r="F46">
        <v>4</v>
      </c>
      <c r="H46" t="str">
        <f t="shared" si="0"/>
        <v>(NULL,"04-18-0068","45","44","4"),</v>
      </c>
      <c r="I46" t="str">
        <f>TextJoin(tblStudents[[#This Row],[SchoolIDNo]:[CourseID]],"Value")</f>
        <v>"04-18-0068","45","44","4"</v>
      </c>
    </row>
    <row r="47" spans="2:9" x14ac:dyDescent="0.25">
      <c r="B47">
        <v>45</v>
      </c>
      <c r="C47" t="s">
        <v>237</v>
      </c>
      <c r="D47">
        <v>46</v>
      </c>
      <c r="E47">
        <v>45</v>
      </c>
      <c r="F47">
        <v>4</v>
      </c>
      <c r="H47" t="str">
        <f t="shared" si="0"/>
        <v>(NULL,"04-18-0138","46","45","4"),</v>
      </c>
      <c r="I47" t="str">
        <f>TextJoin(tblStudents[[#This Row],[SchoolIDNo]:[CourseID]],"Value")</f>
        <v>"04-18-0138","46","45","4"</v>
      </c>
    </row>
    <row r="48" spans="2:9" x14ac:dyDescent="0.25">
      <c r="B48">
        <v>46</v>
      </c>
      <c r="C48" t="s">
        <v>238</v>
      </c>
      <c r="D48">
        <v>47</v>
      </c>
      <c r="E48">
        <v>46</v>
      </c>
      <c r="F48">
        <v>2</v>
      </c>
      <c r="H48" t="str">
        <f t="shared" si="0"/>
        <v>(NULL,"04-16-0070","47","46","2"),</v>
      </c>
      <c r="I48" t="str">
        <f>TextJoin(tblStudents[[#This Row],[SchoolIDNo]:[CourseID]],"Value")</f>
        <v>"04-16-0070","47","46","2"</v>
      </c>
    </row>
    <row r="49" spans="2:9" x14ac:dyDescent="0.25">
      <c r="B49">
        <v>47</v>
      </c>
      <c r="C49" t="s">
        <v>239</v>
      </c>
      <c r="D49">
        <v>48</v>
      </c>
      <c r="E49">
        <v>47</v>
      </c>
      <c r="F49">
        <v>1</v>
      </c>
      <c r="H49" t="str">
        <f t="shared" si="0"/>
        <v>(NULL,"04-16-0051","48","47","1"),</v>
      </c>
      <c r="I49" t="str">
        <f>TextJoin(tblStudents[[#This Row],[SchoolIDNo]:[CourseID]],"Value")</f>
        <v>"04-16-0051","48","47","1"</v>
      </c>
    </row>
    <row r="50" spans="2:9" x14ac:dyDescent="0.25">
      <c r="B50">
        <v>48</v>
      </c>
      <c r="C50" t="s">
        <v>240</v>
      </c>
      <c r="D50">
        <v>49</v>
      </c>
      <c r="E50">
        <v>48</v>
      </c>
      <c r="F50">
        <v>2</v>
      </c>
      <c r="H50" t="str">
        <f t="shared" si="0"/>
        <v>(NULL,"04-17-0009","49","48","2"),</v>
      </c>
      <c r="I50" t="str">
        <f>TextJoin(tblStudents[[#This Row],[SchoolIDNo]:[CourseID]],"Value")</f>
        <v>"04-17-0009","49","48","2"</v>
      </c>
    </row>
    <row r="51" spans="2:9" x14ac:dyDescent="0.25">
      <c r="B51">
        <v>49</v>
      </c>
      <c r="C51" t="s">
        <v>241</v>
      </c>
      <c r="D51">
        <v>50</v>
      </c>
      <c r="E51">
        <v>49</v>
      </c>
      <c r="F51">
        <v>4</v>
      </c>
      <c r="H51" t="str">
        <f t="shared" si="0"/>
        <v>(NULL,"04-18-0038","50","49","4"),</v>
      </c>
      <c r="I51" t="str">
        <f>TextJoin(tblStudents[[#This Row],[SchoolIDNo]:[CourseID]],"Value")</f>
        <v>"04-18-0038","50","49","4"</v>
      </c>
    </row>
    <row r="52" spans="2:9" x14ac:dyDescent="0.25">
      <c r="B52">
        <v>50</v>
      </c>
      <c r="C52" t="s">
        <v>242</v>
      </c>
      <c r="D52">
        <v>51</v>
      </c>
      <c r="E52">
        <v>50</v>
      </c>
      <c r="F52">
        <v>2</v>
      </c>
      <c r="H52" t="str">
        <f t="shared" si="0"/>
        <v>(NULL,"04-17-0017","51","50","2"),</v>
      </c>
      <c r="I52" t="str">
        <f>TextJoin(tblStudents[[#This Row],[SchoolIDNo]:[CourseID]],"Value")</f>
        <v>"04-17-0017","51","50","2"</v>
      </c>
    </row>
    <row r="53" spans="2:9" x14ac:dyDescent="0.25">
      <c r="B53">
        <v>51</v>
      </c>
      <c r="C53" t="s">
        <v>243</v>
      </c>
      <c r="D53">
        <v>52</v>
      </c>
      <c r="E53">
        <v>51</v>
      </c>
      <c r="F53">
        <v>2</v>
      </c>
      <c r="H53" t="str">
        <f t="shared" si="0"/>
        <v>(NULL,"04-16-0014","52","51","2"),</v>
      </c>
      <c r="I53" t="str">
        <f>TextJoin(tblStudents[[#This Row],[SchoolIDNo]:[CourseID]],"Value")</f>
        <v>"04-16-0014","52","51","2"</v>
      </c>
    </row>
    <row r="54" spans="2:9" x14ac:dyDescent="0.25">
      <c r="B54">
        <v>52</v>
      </c>
      <c r="C54" t="s">
        <v>244</v>
      </c>
      <c r="D54">
        <v>53</v>
      </c>
      <c r="E54">
        <v>52</v>
      </c>
      <c r="F54">
        <v>3</v>
      </c>
      <c r="H54" t="str">
        <f t="shared" si="0"/>
        <v>(NULL,"04-18-0073","53","52","3"),</v>
      </c>
      <c r="I54" t="str">
        <f>TextJoin(tblStudents[[#This Row],[SchoolIDNo]:[CourseID]],"Value")</f>
        <v>"04-18-0073","53","52","3"</v>
      </c>
    </row>
    <row r="55" spans="2:9" x14ac:dyDescent="0.25">
      <c r="B55">
        <v>53</v>
      </c>
      <c r="C55" t="s">
        <v>245</v>
      </c>
      <c r="D55">
        <v>54</v>
      </c>
      <c r="E55">
        <v>53</v>
      </c>
      <c r="F55">
        <v>3</v>
      </c>
      <c r="H55" t="str">
        <f t="shared" si="0"/>
        <v>(NULL,"04-18-0040","54","53","3"),</v>
      </c>
      <c r="I55" t="str">
        <f>TextJoin(tblStudents[[#This Row],[SchoolIDNo]:[CourseID]],"Value")</f>
        <v>"04-18-0040","54","53","3"</v>
      </c>
    </row>
    <row r="56" spans="2:9" x14ac:dyDescent="0.25">
      <c r="B56">
        <v>54</v>
      </c>
      <c r="C56" t="s">
        <v>246</v>
      </c>
      <c r="D56">
        <v>55</v>
      </c>
      <c r="E56">
        <v>54</v>
      </c>
      <c r="F56">
        <v>2</v>
      </c>
      <c r="H56" t="str">
        <f t="shared" si="0"/>
        <v>(NULL,"04-16-0046","55","54","2"),</v>
      </c>
      <c r="I56" t="str">
        <f>TextJoin(tblStudents[[#This Row],[SchoolIDNo]:[CourseID]],"Value")</f>
        <v>"04-16-0046","55","54","2"</v>
      </c>
    </row>
    <row r="57" spans="2:9" x14ac:dyDescent="0.25">
      <c r="B57">
        <v>55</v>
      </c>
      <c r="C57" t="s">
        <v>247</v>
      </c>
      <c r="D57">
        <v>56</v>
      </c>
      <c r="E57">
        <v>55</v>
      </c>
      <c r="F57">
        <v>4</v>
      </c>
      <c r="H57" t="str">
        <f t="shared" si="0"/>
        <v>(NULL,"04-17-0092","56","55","4"),</v>
      </c>
      <c r="I57" t="str">
        <f>TextJoin(tblStudents[[#This Row],[SchoolIDNo]:[CourseID]],"Value")</f>
        <v>"04-17-0092","56","55","4"</v>
      </c>
    </row>
    <row r="58" spans="2:9" x14ac:dyDescent="0.25">
      <c r="B58">
        <v>56</v>
      </c>
      <c r="C58" t="s">
        <v>248</v>
      </c>
      <c r="D58">
        <v>57</v>
      </c>
      <c r="E58">
        <v>56</v>
      </c>
      <c r="F58">
        <v>2</v>
      </c>
      <c r="H58" t="str">
        <f t="shared" si="0"/>
        <v>(NULL,"04-16-0043","57","56","2"),</v>
      </c>
      <c r="I58" t="str">
        <f>TextJoin(tblStudents[[#This Row],[SchoolIDNo]:[CourseID]],"Value")</f>
        <v>"04-16-0043","57","56","2"</v>
      </c>
    </row>
    <row r="59" spans="2:9" x14ac:dyDescent="0.25">
      <c r="B59">
        <v>57</v>
      </c>
      <c r="C59" t="s">
        <v>249</v>
      </c>
      <c r="D59">
        <v>58</v>
      </c>
      <c r="E59">
        <v>57</v>
      </c>
      <c r="F59">
        <v>2</v>
      </c>
      <c r="H59" t="str">
        <f t="shared" si="0"/>
        <v>(NULL,"04-15-0092","58","57","2"),</v>
      </c>
      <c r="I59" t="str">
        <f>TextJoin(tblStudents[[#This Row],[SchoolIDNo]:[CourseID]],"Value")</f>
        <v>"04-15-0092","58","57","2"</v>
      </c>
    </row>
    <row r="60" spans="2:9" x14ac:dyDescent="0.25">
      <c r="B60">
        <v>58</v>
      </c>
      <c r="C60" t="s">
        <v>250</v>
      </c>
      <c r="D60">
        <v>59</v>
      </c>
      <c r="E60">
        <v>58</v>
      </c>
      <c r="F60">
        <v>3</v>
      </c>
      <c r="H60" t="str">
        <f t="shared" si="0"/>
        <v>(NULL,"04-18-0007","59","58","3"),</v>
      </c>
      <c r="I60" t="str">
        <f>TextJoin(tblStudents[[#This Row],[SchoolIDNo]:[CourseID]],"Value")</f>
        <v>"04-18-0007","59","58","3"</v>
      </c>
    </row>
    <row r="61" spans="2:9" x14ac:dyDescent="0.25">
      <c r="B61">
        <v>59</v>
      </c>
      <c r="C61" t="s">
        <v>519</v>
      </c>
      <c r="D61">
        <v>60</v>
      </c>
      <c r="E61">
        <v>59</v>
      </c>
      <c r="F61">
        <v>2</v>
      </c>
      <c r="H61" t="str">
        <f t="shared" si="0"/>
        <v>(NULL,"asd","60","59","2"),</v>
      </c>
      <c r="I61" t="str">
        <f>TextJoin(tblStudents[[#This Row],[SchoolIDNo]:[CourseID]],"Value")</f>
        <v>"asd","60","59","2"</v>
      </c>
    </row>
    <row r="62" spans="2:9" x14ac:dyDescent="0.25">
      <c r="B62">
        <v>60</v>
      </c>
      <c r="C62" t="s">
        <v>251</v>
      </c>
      <c r="D62">
        <v>61</v>
      </c>
      <c r="E62">
        <v>60</v>
      </c>
      <c r="F62">
        <v>4</v>
      </c>
      <c r="H62" t="str">
        <f t="shared" si="0"/>
        <v>(NULL,"04-18-0025","61","60","4"),</v>
      </c>
      <c r="I62" t="str">
        <f>TextJoin(tblStudents[[#This Row],[SchoolIDNo]:[CourseID]],"Value")</f>
        <v>"04-18-0025","61","60","4"</v>
      </c>
    </row>
    <row r="63" spans="2:9" x14ac:dyDescent="0.25">
      <c r="B63">
        <v>61</v>
      </c>
      <c r="C63" t="s">
        <v>252</v>
      </c>
      <c r="D63">
        <v>62</v>
      </c>
      <c r="E63">
        <v>61</v>
      </c>
      <c r="F63">
        <v>4</v>
      </c>
      <c r="H63" t="str">
        <f t="shared" si="0"/>
        <v>(NULL,"04-18-0069","62","61","4"),</v>
      </c>
      <c r="I63" t="str">
        <f>TextJoin(tblStudents[[#This Row],[SchoolIDNo]:[CourseID]],"Value")</f>
        <v>"04-18-0069","62","61","4"</v>
      </c>
    </row>
    <row r="64" spans="2:9" x14ac:dyDescent="0.25">
      <c r="B64">
        <v>62</v>
      </c>
      <c r="C64" t="s">
        <v>253</v>
      </c>
      <c r="D64">
        <v>63</v>
      </c>
      <c r="E64">
        <v>62</v>
      </c>
      <c r="F64">
        <v>4</v>
      </c>
      <c r="H64" t="str">
        <f t="shared" si="0"/>
        <v>(NULL,"04-18-0002","63","62","4"),</v>
      </c>
      <c r="I64" t="str">
        <f>TextJoin(tblStudents[[#This Row],[SchoolIDNo]:[CourseID]],"Value")</f>
        <v>"04-18-0002","63","62","4"</v>
      </c>
    </row>
    <row r="65" spans="2:9" x14ac:dyDescent="0.25">
      <c r="B65">
        <v>63</v>
      </c>
      <c r="C65" t="s">
        <v>254</v>
      </c>
      <c r="D65">
        <v>64</v>
      </c>
      <c r="E65">
        <v>63</v>
      </c>
      <c r="F65">
        <v>2</v>
      </c>
      <c r="H65" t="str">
        <f t="shared" si="0"/>
        <v>(NULL,"04-17-0061","64","63","2"),</v>
      </c>
      <c r="I65" t="str">
        <f>TextJoin(tblStudents[[#This Row],[SchoolIDNo]:[CourseID]],"Value")</f>
        <v>"04-17-0061","64","63","2"</v>
      </c>
    </row>
    <row r="66" spans="2:9" x14ac:dyDescent="0.25">
      <c r="B66">
        <v>64</v>
      </c>
      <c r="C66" t="s">
        <v>255</v>
      </c>
      <c r="D66">
        <v>65</v>
      </c>
      <c r="E66">
        <v>64</v>
      </c>
      <c r="F66">
        <v>4</v>
      </c>
      <c r="H66" t="str">
        <f t="shared" si="0"/>
        <v>(NULL,"04-18-0041","65","64","4"),</v>
      </c>
      <c r="I66" t="str">
        <f>TextJoin(tblStudents[[#This Row],[SchoolIDNo]:[CourseID]],"Value")</f>
        <v>"04-18-0041","65","64","4"</v>
      </c>
    </row>
    <row r="67" spans="2:9" x14ac:dyDescent="0.25">
      <c r="B67">
        <v>65</v>
      </c>
      <c r="C67" t="s">
        <v>256</v>
      </c>
      <c r="D67">
        <v>66</v>
      </c>
      <c r="E67">
        <v>65</v>
      </c>
      <c r="F67">
        <v>2</v>
      </c>
      <c r="H67" t="str">
        <f t="shared" si="0"/>
        <v>(NULL,"04-17-0002","66","65","2"),</v>
      </c>
      <c r="I67" t="str">
        <f>TextJoin(tblStudents[[#This Row],[SchoolIDNo]:[CourseID]],"Value")</f>
        <v>"04-17-0002","66","65","2"</v>
      </c>
    </row>
    <row r="68" spans="2:9" x14ac:dyDescent="0.25">
      <c r="B68">
        <v>66</v>
      </c>
      <c r="C68" t="s">
        <v>257</v>
      </c>
      <c r="D68">
        <v>67</v>
      </c>
      <c r="E68">
        <v>66</v>
      </c>
      <c r="F68">
        <v>3</v>
      </c>
      <c r="H68" t="str">
        <f t="shared" ref="H68:H73" si="1">"(NULL,"&amp;I68&amp;")"&amp;IF(H69&lt;&gt;"",",",";")</f>
        <v>(NULL,"04-18-0103","67","66","3"),</v>
      </c>
      <c r="I68" t="str">
        <f>TextJoin(tblStudents[[#This Row],[SchoolIDNo]:[CourseID]],"Value")</f>
        <v>"04-18-0103","67","66","3"</v>
      </c>
    </row>
    <row r="69" spans="2:9" x14ac:dyDescent="0.25">
      <c r="B69">
        <v>67</v>
      </c>
      <c r="C69" t="s">
        <v>258</v>
      </c>
      <c r="D69">
        <v>68</v>
      </c>
      <c r="E69">
        <v>67</v>
      </c>
      <c r="F69">
        <v>1</v>
      </c>
      <c r="H69" t="str">
        <f t="shared" si="1"/>
        <v>(NULL,"04-18-0081","68","67","1"),</v>
      </c>
      <c r="I69" t="str">
        <f>TextJoin(tblStudents[[#This Row],[SchoolIDNo]:[CourseID]],"Value")</f>
        <v>"04-18-0081","68","67","1"</v>
      </c>
    </row>
    <row r="70" spans="2:9" x14ac:dyDescent="0.25">
      <c r="B70">
        <v>68</v>
      </c>
      <c r="C70" t="s">
        <v>259</v>
      </c>
      <c r="D70">
        <v>69</v>
      </c>
      <c r="E70">
        <v>68</v>
      </c>
      <c r="F70">
        <v>2</v>
      </c>
      <c r="H70" t="str">
        <f t="shared" si="1"/>
        <v>(NULL,"04-15-0046","69","68","2"),</v>
      </c>
      <c r="I70" t="str">
        <f>TextJoin(tblStudents[[#This Row],[SchoolIDNo]:[CourseID]],"Value")</f>
        <v>"04-15-0046","69","68","2"</v>
      </c>
    </row>
    <row r="71" spans="2:9" x14ac:dyDescent="0.25">
      <c r="B71">
        <v>69</v>
      </c>
      <c r="C71" t="s">
        <v>260</v>
      </c>
      <c r="D71">
        <v>70</v>
      </c>
      <c r="E71">
        <v>69</v>
      </c>
      <c r="F71">
        <v>2</v>
      </c>
      <c r="H71" t="str">
        <f t="shared" si="1"/>
        <v>(NULL,"04-15-0001","70","69","2"),</v>
      </c>
      <c r="I71" t="str">
        <f>TextJoin(tblStudents[[#This Row],[SchoolIDNo]:[CourseID]],"Value")</f>
        <v>"04-15-0001","70","69","2"</v>
      </c>
    </row>
    <row r="72" spans="2:9" x14ac:dyDescent="0.25">
      <c r="B72">
        <v>70</v>
      </c>
      <c r="C72" t="s">
        <v>261</v>
      </c>
      <c r="D72">
        <v>71</v>
      </c>
      <c r="E72">
        <v>70</v>
      </c>
      <c r="F72">
        <v>1</v>
      </c>
      <c r="H72" t="str">
        <f t="shared" si="1"/>
        <v>(NULL,"04-14-0070","71","70","1"),</v>
      </c>
      <c r="I72" t="str">
        <f>TextJoin(tblStudents[[#This Row],[SchoolIDNo]:[CourseID]],"Value")</f>
        <v>"04-14-0070","71","70","1"</v>
      </c>
    </row>
    <row r="73" spans="2:9" x14ac:dyDescent="0.25">
      <c r="B73">
        <v>71</v>
      </c>
      <c r="C73" t="s">
        <v>262</v>
      </c>
      <c r="D73">
        <v>72</v>
      </c>
      <c r="E73">
        <v>71</v>
      </c>
      <c r="F73">
        <v>1</v>
      </c>
      <c r="H73" t="str">
        <f t="shared" si="1"/>
        <v>(NULL,"04-13-0029","72","71","1");</v>
      </c>
      <c r="I73" t="str">
        <f>TextJoin(tblStudents[[#This Row],[SchoolIDNo]:[CourseID]],"Value")</f>
        <v>"04-13-0029","72","71","1"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21"/>
  <sheetViews>
    <sheetView topLeftCell="C1" workbookViewId="0">
      <selection activeCell="G3" sqref="G3:G21"/>
    </sheetView>
  </sheetViews>
  <sheetFormatPr defaultRowHeight="15" x14ac:dyDescent="0.25"/>
  <cols>
    <col min="1" max="1" width="0.85546875" customWidth="1"/>
    <col min="2" max="2" width="11.28515625" customWidth="1"/>
    <col min="3" max="3" width="16.42578125" customWidth="1"/>
    <col min="5" max="5" width="10.7109375" customWidth="1"/>
    <col min="7" max="7" width="24.28515625" customWidth="1"/>
  </cols>
  <sheetData>
    <row r="1" spans="2:8" ht="5.0999999999999996" customHeight="1" x14ac:dyDescent="0.25"/>
    <row r="2" spans="2:8" x14ac:dyDescent="0.25">
      <c r="B2" t="s">
        <v>13</v>
      </c>
      <c r="C2" t="s">
        <v>835</v>
      </c>
      <c r="D2" t="s">
        <v>12</v>
      </c>
      <c r="E2" t="s">
        <v>5</v>
      </c>
    </row>
    <row r="3" spans="2:8" x14ac:dyDescent="0.25">
      <c r="B3">
        <v>1</v>
      </c>
      <c r="C3" s="15" t="s">
        <v>688</v>
      </c>
      <c r="D3">
        <v>73</v>
      </c>
      <c r="E3">
        <v>72</v>
      </c>
      <c r="G3" t="str">
        <f>"(NULL,"&amp;H3&amp;")"&amp;IF(G4&lt;&gt;"",",",";")</f>
        <v>(NULL,"1214-92","73","72"),</v>
      </c>
      <c r="H3" t="str">
        <f>TextJoin(tblFaculty[[#This Row],[SchoolIDNo]:[PersonID]],"Value")</f>
        <v>"1214-92","73","72"</v>
      </c>
    </row>
    <row r="4" spans="2:8" x14ac:dyDescent="0.25">
      <c r="B4">
        <v>2</v>
      </c>
      <c r="C4" s="17" t="s">
        <v>689</v>
      </c>
      <c r="D4">
        <v>74</v>
      </c>
      <c r="E4">
        <v>73</v>
      </c>
      <c r="G4" t="str">
        <f t="shared" ref="G4:G21" si="0">"(NULL,"&amp;H4&amp;")"&amp;IF(G5&lt;&gt;"",",",";")</f>
        <v>(NULL,"1011-89","74","73"),</v>
      </c>
      <c r="H4" t="str">
        <f>TextJoin(tblFaculty[[#This Row],[SchoolIDNo]:[PersonID]],"Value")</f>
        <v>"1011-89","74","73"</v>
      </c>
    </row>
    <row r="5" spans="2:8" x14ac:dyDescent="0.25">
      <c r="B5">
        <v>3</v>
      </c>
      <c r="C5" s="18" t="s">
        <v>690</v>
      </c>
      <c r="D5">
        <v>75</v>
      </c>
      <c r="E5">
        <v>74</v>
      </c>
      <c r="G5" t="str">
        <f t="shared" si="0"/>
        <v>(NULL,"1224-07","75","74"),</v>
      </c>
      <c r="H5" t="str">
        <f>TextJoin(tblFaculty[[#This Row],[SchoolIDNo]:[PersonID]],"Value")</f>
        <v>"1224-07","75","74"</v>
      </c>
    </row>
    <row r="6" spans="2:8" x14ac:dyDescent="0.25">
      <c r="B6">
        <v>4</v>
      </c>
      <c r="C6" s="16" t="s">
        <v>691</v>
      </c>
      <c r="D6">
        <v>76</v>
      </c>
      <c r="E6">
        <v>75</v>
      </c>
      <c r="G6" t="str">
        <f t="shared" si="0"/>
        <v>(NULL,"0629-18","76","75"),</v>
      </c>
      <c r="H6" t="str">
        <f>TextJoin(tblFaculty[[#This Row],[SchoolIDNo]:[PersonID]],"Value")</f>
        <v>"0629-18","76","75"</v>
      </c>
    </row>
    <row r="7" spans="2:8" x14ac:dyDescent="0.25">
      <c r="B7">
        <v>5</v>
      </c>
      <c r="C7" t="s">
        <v>724</v>
      </c>
      <c r="D7">
        <v>77</v>
      </c>
      <c r="E7">
        <v>76</v>
      </c>
      <c r="G7" t="str">
        <f t="shared" si="0"/>
        <v>(NULL,"0001-18","77","76"),</v>
      </c>
      <c r="H7" t="str">
        <f>TextJoin(tblFaculty[[#This Row],[SchoolIDNo]:[PersonID]],"Value")</f>
        <v>"0001-18","77","76"</v>
      </c>
    </row>
    <row r="8" spans="2:8" x14ac:dyDescent="0.25">
      <c r="B8">
        <v>6</v>
      </c>
      <c r="C8" t="s">
        <v>725</v>
      </c>
      <c r="D8">
        <v>78</v>
      </c>
      <c r="E8">
        <v>77</v>
      </c>
      <c r="G8" t="str">
        <f t="shared" si="0"/>
        <v>(NULL,"0002-18","78","77"),</v>
      </c>
      <c r="H8" t="str">
        <f>TextJoin(tblFaculty[[#This Row],[SchoolIDNo]:[PersonID]],"Value")</f>
        <v>"0002-18","78","77"</v>
      </c>
    </row>
    <row r="9" spans="2:8" x14ac:dyDescent="0.25">
      <c r="B9">
        <v>7</v>
      </c>
      <c r="C9" t="s">
        <v>726</v>
      </c>
      <c r="D9">
        <v>79</v>
      </c>
      <c r="E9">
        <v>78</v>
      </c>
      <c r="G9" t="str">
        <f t="shared" si="0"/>
        <v>(NULL,"0003-18","79","78"),</v>
      </c>
      <c r="H9" t="str">
        <f>TextJoin(tblFaculty[[#This Row],[SchoolIDNo]:[PersonID]],"Value")</f>
        <v>"0003-18","79","78"</v>
      </c>
    </row>
    <row r="10" spans="2:8" x14ac:dyDescent="0.25">
      <c r="B10">
        <v>8</v>
      </c>
      <c r="C10" t="s">
        <v>727</v>
      </c>
      <c r="D10">
        <v>80</v>
      </c>
      <c r="E10">
        <v>79</v>
      </c>
      <c r="G10" t="str">
        <f t="shared" si="0"/>
        <v>(NULL,"0004-18","80","79"),</v>
      </c>
      <c r="H10" t="str">
        <f>TextJoin(tblFaculty[[#This Row],[SchoolIDNo]:[PersonID]],"Value")</f>
        <v>"0004-18","80","79"</v>
      </c>
    </row>
    <row r="11" spans="2:8" x14ac:dyDescent="0.25">
      <c r="B11">
        <v>9</v>
      </c>
      <c r="C11" t="s">
        <v>728</v>
      </c>
      <c r="D11">
        <v>81</v>
      </c>
      <c r="E11">
        <v>80</v>
      </c>
      <c r="G11" t="str">
        <f t="shared" si="0"/>
        <v>(NULL,"0005-18","81","80"),</v>
      </c>
      <c r="H11" t="str">
        <f>TextJoin(tblFaculty[[#This Row],[SchoolIDNo]:[PersonID]],"Value")</f>
        <v>"0005-18","81","80"</v>
      </c>
    </row>
    <row r="12" spans="2:8" x14ac:dyDescent="0.25">
      <c r="B12">
        <v>10</v>
      </c>
      <c r="C12" t="s">
        <v>729</v>
      </c>
      <c r="D12">
        <v>82</v>
      </c>
      <c r="E12">
        <v>81</v>
      </c>
      <c r="G12" t="str">
        <f t="shared" si="0"/>
        <v>(NULL,"0006-18","82","81"),</v>
      </c>
      <c r="H12" t="str">
        <f>TextJoin(tblFaculty[[#This Row],[SchoolIDNo]:[PersonID]],"Value")</f>
        <v>"0006-18","82","81"</v>
      </c>
    </row>
    <row r="13" spans="2:8" x14ac:dyDescent="0.25">
      <c r="B13">
        <v>11</v>
      </c>
      <c r="C13" t="s">
        <v>730</v>
      </c>
      <c r="D13">
        <v>83</v>
      </c>
      <c r="E13">
        <v>82</v>
      </c>
      <c r="G13" t="str">
        <f t="shared" si="0"/>
        <v>(NULL,"0007-18","83","82"),</v>
      </c>
      <c r="H13" t="str">
        <f>TextJoin(tblFaculty[[#This Row],[SchoolIDNo]:[PersonID]],"Value")</f>
        <v>"0007-18","83","82"</v>
      </c>
    </row>
    <row r="14" spans="2:8" x14ac:dyDescent="0.25">
      <c r="B14">
        <v>12</v>
      </c>
      <c r="C14" t="s">
        <v>731</v>
      </c>
      <c r="D14">
        <v>84</v>
      </c>
      <c r="E14">
        <v>83</v>
      </c>
      <c r="G14" t="str">
        <f t="shared" si="0"/>
        <v>(NULL,"0008-18","84","83"),</v>
      </c>
      <c r="H14" t="str">
        <f>TextJoin(tblFaculty[[#This Row],[SchoolIDNo]:[PersonID]],"Value")</f>
        <v>"0008-18","84","83"</v>
      </c>
    </row>
    <row r="15" spans="2:8" x14ac:dyDescent="0.25">
      <c r="B15">
        <v>13</v>
      </c>
      <c r="C15" t="s">
        <v>732</v>
      </c>
      <c r="D15">
        <v>85</v>
      </c>
      <c r="E15">
        <v>84</v>
      </c>
      <c r="G15" t="str">
        <f t="shared" si="0"/>
        <v>(NULL,"0009-18","85","84"),</v>
      </c>
      <c r="H15" t="str">
        <f>TextJoin(tblFaculty[[#This Row],[SchoolIDNo]:[PersonID]],"Value")</f>
        <v>"0009-18","85","84"</v>
      </c>
    </row>
    <row r="16" spans="2:8" x14ac:dyDescent="0.25">
      <c r="B16">
        <v>14</v>
      </c>
      <c r="C16" t="s">
        <v>733</v>
      </c>
      <c r="D16">
        <v>86</v>
      </c>
      <c r="E16">
        <v>85</v>
      </c>
      <c r="G16" t="str">
        <f t="shared" si="0"/>
        <v>(NULL,"0010-18","86","85"),</v>
      </c>
      <c r="H16" t="str">
        <f>TextJoin(tblFaculty[[#This Row],[SchoolIDNo]:[PersonID]],"Value")</f>
        <v>"0010-18","86","85"</v>
      </c>
    </row>
    <row r="17" spans="2:8" x14ac:dyDescent="0.25">
      <c r="B17">
        <v>15</v>
      </c>
      <c r="C17" t="s">
        <v>734</v>
      </c>
      <c r="D17">
        <v>87</v>
      </c>
      <c r="E17">
        <v>86</v>
      </c>
      <c r="G17" t="str">
        <f t="shared" si="0"/>
        <v>(NULL,"0011-18","87","86"),</v>
      </c>
      <c r="H17" t="str">
        <f>TextJoin(tblFaculty[[#This Row],[SchoolIDNo]:[PersonID]],"Value")</f>
        <v>"0011-18","87","86"</v>
      </c>
    </row>
    <row r="18" spans="2:8" x14ac:dyDescent="0.25">
      <c r="B18">
        <v>16</v>
      </c>
      <c r="C18" t="s">
        <v>735</v>
      </c>
      <c r="D18">
        <v>88</v>
      </c>
      <c r="E18">
        <v>87</v>
      </c>
      <c r="G18" t="str">
        <f t="shared" si="0"/>
        <v>(NULL,"0012-18","88","87"),</v>
      </c>
      <c r="H18" t="str">
        <f>TextJoin(tblFaculty[[#This Row],[SchoolIDNo]:[PersonID]],"Value")</f>
        <v>"0012-18","88","87"</v>
      </c>
    </row>
    <row r="19" spans="2:8" x14ac:dyDescent="0.25">
      <c r="B19">
        <v>17</v>
      </c>
      <c r="C19" t="s">
        <v>736</v>
      </c>
      <c r="D19">
        <v>89</v>
      </c>
      <c r="E19">
        <v>88</v>
      </c>
      <c r="G19" t="str">
        <f t="shared" si="0"/>
        <v>(NULL,"0013-18","89","88"),</v>
      </c>
      <c r="H19" t="str">
        <f>TextJoin(tblFaculty[[#This Row],[SchoolIDNo]:[PersonID]],"Value")</f>
        <v>"0013-18","89","88"</v>
      </c>
    </row>
    <row r="20" spans="2:8" x14ac:dyDescent="0.25">
      <c r="B20">
        <v>18</v>
      </c>
      <c r="C20" t="s">
        <v>737</v>
      </c>
      <c r="D20">
        <v>90</v>
      </c>
      <c r="E20">
        <v>89</v>
      </c>
      <c r="G20" t="str">
        <f t="shared" si="0"/>
        <v>(NULL,"0014-18","90","89"),</v>
      </c>
      <c r="H20" t="str">
        <f>TextJoin(tblFaculty[[#This Row],[SchoolIDNo]:[PersonID]],"Value")</f>
        <v>"0014-18","90","89"</v>
      </c>
    </row>
    <row r="21" spans="2:8" x14ac:dyDescent="0.25">
      <c r="B21">
        <v>19</v>
      </c>
      <c r="C21" t="s">
        <v>738</v>
      </c>
      <c r="D21">
        <v>91</v>
      </c>
      <c r="E21">
        <v>90</v>
      </c>
      <c r="G21" t="str">
        <f t="shared" si="0"/>
        <v>(NULL,"0015-18","91","90");</v>
      </c>
      <c r="H21" t="str">
        <f>TextJoin(tblFaculty[[#This Row],[SchoolIDNo]:[PersonID]],"Value")</f>
        <v>"0015-18","91","90"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X204"/>
  <sheetViews>
    <sheetView topLeftCell="G1" workbookViewId="0">
      <selection activeCell="L13" sqref="L13:L204"/>
    </sheetView>
  </sheetViews>
  <sheetFormatPr defaultRowHeight="15" x14ac:dyDescent="0.25"/>
  <cols>
    <col min="1" max="1" width="0.85546875" customWidth="1"/>
    <col min="2" max="2" width="10.140625" bestFit="1" customWidth="1"/>
    <col min="3" max="3" width="14.85546875" bestFit="1" customWidth="1"/>
    <col min="4" max="4" width="10.7109375" bestFit="1" customWidth="1"/>
    <col min="5" max="5" width="20.140625" bestFit="1" customWidth="1"/>
    <col min="7" max="7" width="19.5703125" bestFit="1" customWidth="1"/>
    <col min="8" max="8" width="20.140625" bestFit="1" customWidth="1"/>
    <col min="9" max="9" width="19.5703125" bestFit="1" customWidth="1"/>
    <col min="11" max="11" width="37.42578125" bestFit="1" customWidth="1"/>
    <col min="12" max="12" width="5.7109375" customWidth="1"/>
  </cols>
  <sheetData>
    <row r="1" spans="2:14" ht="5.0999999999999996" customHeight="1" x14ac:dyDescent="0.25"/>
    <row r="2" spans="2:14" x14ac:dyDescent="0.25">
      <c r="B2" t="s">
        <v>17</v>
      </c>
      <c r="C2" t="s">
        <v>838</v>
      </c>
      <c r="D2" t="s">
        <v>33</v>
      </c>
      <c r="E2" t="s">
        <v>9</v>
      </c>
      <c r="F2" t="s">
        <v>826</v>
      </c>
      <c r="G2" t="s">
        <v>836</v>
      </c>
      <c r="H2" t="s">
        <v>837</v>
      </c>
    </row>
    <row r="3" spans="2:14" hidden="1" x14ac:dyDescent="0.25">
      <c r="B3">
        <v>1</v>
      </c>
      <c r="C3" s="32">
        <v>43416.333333333336</v>
      </c>
      <c r="D3">
        <v>1</v>
      </c>
      <c r="E3">
        <v>1</v>
      </c>
      <c r="F3">
        <v>3</v>
      </c>
      <c r="G3">
        <v>3</v>
      </c>
      <c r="H3">
        <v>2</v>
      </c>
      <c r="J3" t="str">
        <f>"(NULL,"&amp;K3&amp;")"&amp;IF(J4&lt;&gt;"",",",";")</f>
        <v>(NULL,"2018-11-12","1","1","3","3","2"),</v>
      </c>
      <c r="K3" t="str">
        <f>TextJoin(tblEnrolledStuds[[#This Row],[DateEnrolled]:[ScholasticStatusID]],"Value")</f>
        <v>"2018-11-12","1","1","3","3","2"</v>
      </c>
      <c r="M3" t="str">
        <f>LOOKUP(LOOKUP(tblEnrolledStuds[[#This Row],[StudID]],tblStudents[StudID],tblStudents[PersonID]),tblPersons[PersonID],tblPersons[LastName])</f>
        <v>Abejo</v>
      </c>
      <c r="N3" t="str">
        <f>LOOKUP(LOOKUP(tblEnrolledStuds[[#This Row],[StudID]],tblStudents[StudID],tblStudents[PersonID]),tblPersons[PersonID],tblPersons[FirstName])</f>
        <v>Jay-R</v>
      </c>
    </row>
    <row r="4" spans="2:14" hidden="1" x14ac:dyDescent="0.25">
      <c r="B4">
        <v>2</v>
      </c>
      <c r="C4" s="32">
        <v>43416.333333333336</v>
      </c>
      <c r="D4">
        <v>1</v>
      </c>
      <c r="E4">
        <v>2</v>
      </c>
      <c r="F4">
        <v>1</v>
      </c>
      <c r="G4">
        <v>3</v>
      </c>
      <c r="H4">
        <v>1</v>
      </c>
      <c r="J4" t="str">
        <f t="shared" ref="J4:J67" si="0">"(NULL,"&amp;K4&amp;")"&amp;IF(J5&lt;&gt;"",",",";")</f>
        <v>(NULL,"2018-11-12","1","2","1","3","1"),</v>
      </c>
      <c r="K4" t="str">
        <f>TextJoin(tblEnrolledStuds[[#This Row],[DateEnrolled]:[ScholasticStatusID]],"Value")</f>
        <v>"2018-11-12","1","2","1","3","1"</v>
      </c>
      <c r="M4" t="str">
        <f>LOOKUP(LOOKUP(tblEnrolledStuds[[#This Row],[StudID]],tblStudents[StudID],tblStudents[PersonID]),tblPersons[PersonID],tblPersons[LastName])</f>
        <v>Advincula</v>
      </c>
      <c r="N4" t="str">
        <f>LOOKUP(LOOKUP(tblEnrolledStuds[[#This Row],[StudID]],tblStudents[StudID],tblStudents[PersonID]),tblPersons[PersonID],tblPersons[FirstName])</f>
        <v>Alice Jean Rin</v>
      </c>
    </row>
    <row r="5" spans="2:14" hidden="1" x14ac:dyDescent="0.25">
      <c r="B5">
        <v>3</v>
      </c>
      <c r="C5" s="32">
        <v>43416.333333333336</v>
      </c>
      <c r="D5">
        <v>1</v>
      </c>
      <c r="E5">
        <v>3</v>
      </c>
      <c r="F5">
        <v>3</v>
      </c>
      <c r="G5">
        <v>3</v>
      </c>
      <c r="H5">
        <v>1</v>
      </c>
      <c r="J5" t="str">
        <f t="shared" si="0"/>
        <v>(NULL,"2018-11-12","1","3","3","3","1"),</v>
      </c>
      <c r="K5" t="str">
        <f>TextJoin(tblEnrolledStuds[[#This Row],[DateEnrolled]:[ScholasticStatusID]],"Value")</f>
        <v>"2018-11-12","1","3","3","3","1"</v>
      </c>
      <c r="M5" t="str">
        <f>LOOKUP(LOOKUP(tblEnrolledStuds[[#This Row],[StudID]],tblStudents[StudID],tblStudents[PersonID]),tblPersons[PersonID],tblPersons[LastName])</f>
        <v>Aguilo</v>
      </c>
      <c r="N5" t="str">
        <f>LOOKUP(LOOKUP(tblEnrolledStuds[[#This Row],[StudID]],tblStudents[StudID],tblStudents[PersonID]),tblPersons[PersonID],tblPersons[FirstName])</f>
        <v>Christian Joy</v>
      </c>
    </row>
    <row r="6" spans="2:14" hidden="1" x14ac:dyDescent="0.25">
      <c r="B6">
        <v>4</v>
      </c>
      <c r="C6" s="32">
        <v>43416.333333333336</v>
      </c>
      <c r="D6">
        <v>1</v>
      </c>
      <c r="E6">
        <v>4</v>
      </c>
      <c r="F6">
        <v>4</v>
      </c>
      <c r="G6">
        <v>3</v>
      </c>
      <c r="H6">
        <v>1</v>
      </c>
      <c r="J6" t="str">
        <f t="shared" si="0"/>
        <v>(NULL,"2018-11-12","1","4","4","3","1"),</v>
      </c>
      <c r="K6" t="str">
        <f>TextJoin(tblEnrolledStuds[[#This Row],[DateEnrolled]:[ScholasticStatusID]],"Value")</f>
        <v>"2018-11-12","1","4","4","3","1"</v>
      </c>
      <c r="M6" t="str">
        <f>LOOKUP(LOOKUP(tblEnrolledStuds[[#This Row],[StudID]],tblStudents[StudID],tblStudents[PersonID]),tblPersons[PersonID],tblPersons[LastName])</f>
        <v>Aguilo</v>
      </c>
      <c r="N6" t="str">
        <f>LOOKUP(LOOKUP(tblEnrolledStuds[[#This Row],[StudID]],tblStudents[StudID],tblStudents[PersonID]),tblPersons[PersonID],tblPersons[FirstName])</f>
        <v>Maria Cloe Mojedo</v>
      </c>
    </row>
    <row r="7" spans="2:14" hidden="1" x14ac:dyDescent="0.25">
      <c r="B7">
        <v>5</v>
      </c>
      <c r="C7" s="32">
        <v>43416.333333333336</v>
      </c>
      <c r="D7">
        <v>1</v>
      </c>
      <c r="E7">
        <v>5</v>
      </c>
      <c r="F7">
        <v>4</v>
      </c>
      <c r="G7">
        <v>3</v>
      </c>
      <c r="H7">
        <v>2</v>
      </c>
      <c r="J7" t="str">
        <f t="shared" si="0"/>
        <v>(NULL,"2018-11-12","1","5","4","3","2"),</v>
      </c>
      <c r="K7" t="str">
        <f>TextJoin(tblEnrolledStuds[[#This Row],[DateEnrolled]:[ScholasticStatusID]],"Value")</f>
        <v>"2018-11-12","1","5","4","3","2"</v>
      </c>
      <c r="M7" t="str">
        <f>LOOKUP(LOOKUP(tblEnrolledStuds[[#This Row],[StudID]],tblStudents[StudID],tblStudents[PersonID]),tblPersons[PersonID],tblPersons[LastName])</f>
        <v>Alfonso</v>
      </c>
      <c r="N7" t="str">
        <f>LOOKUP(LOOKUP(tblEnrolledStuds[[#This Row],[StudID]],tblStudents[StudID],tblStudents[PersonID]),tblPersons[PersonID],tblPersons[FirstName])</f>
        <v>Raida Dee</v>
      </c>
    </row>
    <row r="8" spans="2:14" hidden="1" x14ac:dyDescent="0.25">
      <c r="B8">
        <v>6</v>
      </c>
      <c r="C8" s="32">
        <v>43416.333333333336</v>
      </c>
      <c r="D8">
        <v>1</v>
      </c>
      <c r="E8">
        <v>6</v>
      </c>
      <c r="F8">
        <v>1</v>
      </c>
      <c r="G8">
        <v>3</v>
      </c>
      <c r="H8">
        <v>1</v>
      </c>
      <c r="J8" t="str">
        <f t="shared" si="0"/>
        <v>(NULL,"2018-11-12","1","6","1","3","1"),</v>
      </c>
      <c r="K8" t="str">
        <f>TextJoin(tblEnrolledStuds[[#This Row],[DateEnrolled]:[ScholasticStatusID]],"Value")</f>
        <v>"2018-11-12","1","6","1","3","1"</v>
      </c>
      <c r="M8" t="str">
        <f>LOOKUP(LOOKUP(tblEnrolledStuds[[#This Row],[StudID]],tblStudents[StudID],tblStudents[PersonID]),tblPersons[PersonID],tblPersons[LastName])</f>
        <v>Alonzo</v>
      </c>
      <c r="N8" t="str">
        <f>LOOKUP(LOOKUP(tblEnrolledStuds[[#This Row],[StudID]],tblStudents[StudID],tblStudents[PersonID]),tblPersons[PersonID],tblPersons[FirstName])</f>
        <v>Mark Vincent Nalitan</v>
      </c>
    </row>
    <row r="9" spans="2:14" hidden="1" x14ac:dyDescent="0.25">
      <c r="B9">
        <v>7</v>
      </c>
      <c r="C9" s="32">
        <v>43416.333333333336</v>
      </c>
      <c r="D9">
        <v>1</v>
      </c>
      <c r="E9">
        <v>7</v>
      </c>
      <c r="F9">
        <v>3</v>
      </c>
      <c r="G9">
        <v>3</v>
      </c>
      <c r="H9">
        <v>1</v>
      </c>
      <c r="J9" t="str">
        <f t="shared" si="0"/>
        <v>(NULL,"2018-11-12","1","7","3","3","1"),</v>
      </c>
      <c r="K9" t="str">
        <f>TextJoin(tblEnrolledStuds[[#This Row],[DateEnrolled]:[ScholasticStatusID]],"Value")</f>
        <v>"2018-11-12","1","7","3","3","1"</v>
      </c>
      <c r="M9" t="str">
        <f>LOOKUP(LOOKUP(tblEnrolledStuds[[#This Row],[StudID]],tblStudents[StudID],tblStudents[PersonID]),tblPersons[PersonID],tblPersons[LastName])</f>
        <v>Apanay</v>
      </c>
      <c r="N9" t="str">
        <f>LOOKUP(LOOKUP(tblEnrolledStuds[[#This Row],[StudID]],tblStudents[StudID],tblStudents[PersonID]),tblPersons[PersonID],tblPersons[FirstName])</f>
        <v>Abraham</v>
      </c>
    </row>
    <row r="10" spans="2:14" hidden="1" x14ac:dyDescent="0.25">
      <c r="B10">
        <v>8</v>
      </c>
      <c r="C10" s="32">
        <v>43416.333333333336</v>
      </c>
      <c r="D10">
        <v>1</v>
      </c>
      <c r="E10">
        <v>8</v>
      </c>
      <c r="F10">
        <v>1</v>
      </c>
      <c r="G10">
        <v>3</v>
      </c>
      <c r="H10">
        <v>1</v>
      </c>
      <c r="J10" t="str">
        <f t="shared" si="0"/>
        <v>(NULL,"2018-11-12","1","8","1","3","1"),</v>
      </c>
      <c r="K10" t="str">
        <f>TextJoin(tblEnrolledStuds[[#This Row],[DateEnrolled]:[ScholasticStatusID]],"Value")</f>
        <v>"2018-11-12","1","8","1","3","1"</v>
      </c>
      <c r="M10" t="str">
        <f>LOOKUP(LOOKUP(tblEnrolledStuds[[#This Row],[StudID]],tblStudents[StudID],tblStudents[PersonID]),tblPersons[PersonID],tblPersons[LastName])</f>
        <v>Avecilla</v>
      </c>
      <c r="N10" t="str">
        <f>LOOKUP(LOOKUP(tblEnrolledStuds[[#This Row],[StudID]],tblStudents[StudID],tblStudents[PersonID]),tblPersons[PersonID],tblPersons[FirstName])</f>
        <v>Rannie Bergado</v>
      </c>
    </row>
    <row r="11" spans="2:14" hidden="1" x14ac:dyDescent="0.25">
      <c r="B11">
        <v>9</v>
      </c>
      <c r="C11" s="32">
        <v>43416.333333333336</v>
      </c>
      <c r="D11">
        <v>1</v>
      </c>
      <c r="E11">
        <v>9</v>
      </c>
      <c r="F11">
        <v>1</v>
      </c>
      <c r="G11">
        <v>3</v>
      </c>
      <c r="H11">
        <v>1</v>
      </c>
      <c r="J11" t="str">
        <f t="shared" si="0"/>
        <v>(NULL,"2018-11-12","1","9","1","3","1"),</v>
      </c>
      <c r="K11" t="str">
        <f>TextJoin(tblEnrolledStuds[[#This Row],[DateEnrolled]:[ScholasticStatusID]],"Value")</f>
        <v>"2018-11-12","1","9","1","3","1"</v>
      </c>
      <c r="M11" t="str">
        <f>LOOKUP(LOOKUP(tblEnrolledStuds[[#This Row],[StudID]],tblStudents[StudID],tblStudents[PersonID]),tblPersons[PersonID],tblPersons[LastName])</f>
        <v>Ayuban</v>
      </c>
      <c r="N11" t="str">
        <f>LOOKUP(LOOKUP(tblEnrolledStuds[[#This Row],[StudID]],tblStudents[StudID],tblStudents[PersonID]),tblPersons[PersonID],tblPersons[FirstName])</f>
        <v>John Britz</v>
      </c>
    </row>
    <row r="12" spans="2:14" hidden="1" x14ac:dyDescent="0.25">
      <c r="B12">
        <v>10</v>
      </c>
      <c r="C12" s="32">
        <v>43416.333333333336</v>
      </c>
      <c r="D12">
        <v>1</v>
      </c>
      <c r="E12">
        <v>10</v>
      </c>
      <c r="F12">
        <v>4</v>
      </c>
      <c r="G12">
        <v>3</v>
      </c>
      <c r="H12">
        <v>2</v>
      </c>
      <c r="J12" t="str">
        <f t="shared" si="0"/>
        <v>(NULL,"2018-11-12","1","10","4","3","2"),</v>
      </c>
      <c r="K12" t="str">
        <f>TextJoin(tblEnrolledStuds[[#This Row],[DateEnrolled]:[ScholasticStatusID]],"Value")</f>
        <v>"2018-11-12","1","10","4","3","2"</v>
      </c>
      <c r="M12" t="str">
        <f>LOOKUP(LOOKUP(tblEnrolledStuds[[#This Row],[StudID]],tblStudents[StudID],tblStudents[PersonID]),tblPersons[PersonID],tblPersons[LastName])</f>
        <v>Bandola</v>
      </c>
      <c r="N12" t="str">
        <f>LOOKUP(LOOKUP(tblEnrolledStuds[[#This Row],[StudID]],tblStudents[StudID],tblStudents[PersonID]),tblPersons[PersonID],tblPersons[FirstName])</f>
        <v>Merry Jane Abelinde</v>
      </c>
    </row>
    <row r="13" spans="2:14" x14ac:dyDescent="0.25">
      <c r="B13">
        <v>11</v>
      </c>
      <c r="C13" s="32">
        <v>43416.333333333336</v>
      </c>
      <c r="D13">
        <v>1</v>
      </c>
      <c r="E13">
        <v>11</v>
      </c>
      <c r="F13">
        <v>5</v>
      </c>
      <c r="G13">
        <v>3</v>
      </c>
      <c r="H13">
        <v>2</v>
      </c>
      <c r="J13" t="str">
        <f t="shared" si="0"/>
        <v>(NULL,"2018-11-12","1","11","5","3","2"),</v>
      </c>
      <c r="K13" t="str">
        <f>TextJoin(tblEnrolledStuds[[#This Row],[DateEnrolled]:[ScholasticStatusID]],"Value")</f>
        <v>"2018-11-12","1","11","5","3","2"</v>
      </c>
      <c r="L13">
        <f>LOOKUP(tblEnrolledStuds[[#This Row],[StudID]],tblStudents[StudID],tblStudents[PersonID])</f>
        <v>11</v>
      </c>
      <c r="M13" t="str">
        <f>LOOKUP(LOOKUP(tblEnrolledStuds[[#This Row],[StudID]],tblStudents[StudID],tblStudents[PersonID]),tblPersons[PersonID],tblPersons[LastName])</f>
        <v>Bantiles</v>
      </c>
      <c r="N13" t="str">
        <f>LOOKUP(LOOKUP(tblEnrolledStuds[[#This Row],[StudID]],tblStudents[StudID],tblStudents[PersonID]),tblPersons[PersonID],tblPersons[FirstName])</f>
        <v>Mark Panelo</v>
      </c>
    </row>
    <row r="14" spans="2:14" x14ac:dyDescent="0.25">
      <c r="B14">
        <v>12</v>
      </c>
      <c r="C14" s="32">
        <v>43416.333333333336</v>
      </c>
      <c r="D14">
        <v>1</v>
      </c>
      <c r="E14">
        <v>12</v>
      </c>
      <c r="F14">
        <v>5</v>
      </c>
      <c r="G14">
        <v>3</v>
      </c>
      <c r="H14">
        <v>2</v>
      </c>
      <c r="J14" t="str">
        <f t="shared" si="0"/>
        <v>(NULL,"2018-11-12","1","12","5","3","2"),</v>
      </c>
      <c r="K14" t="str">
        <f>TextJoin(tblEnrolledStuds[[#This Row],[DateEnrolled]:[ScholasticStatusID]],"Value")</f>
        <v>"2018-11-12","1","12","5","3","2"</v>
      </c>
      <c r="L14">
        <f>LOOKUP(tblEnrolledStuds[[#This Row],[StudID]],tblStudents[StudID],tblStudents[PersonID])</f>
        <v>12</v>
      </c>
      <c r="M14" t="str">
        <f>LOOKUP(LOOKUP(tblEnrolledStuds[[#This Row],[StudID]],tblStudents[StudID],tblStudents[PersonID]),tblPersons[PersonID],tblPersons[LastName])</f>
        <v>Bonto</v>
      </c>
      <c r="N14" t="str">
        <f>LOOKUP(LOOKUP(tblEnrolledStuds[[#This Row],[StudID]],tblStudents[StudID],tblStudents[PersonID]),tblPersons[PersonID],tblPersons[FirstName])</f>
        <v>Marc Anthony</v>
      </c>
    </row>
    <row r="15" spans="2:14" hidden="1" x14ac:dyDescent="0.25">
      <c r="B15">
        <v>13</v>
      </c>
      <c r="C15" s="32">
        <v>43416.333333333336</v>
      </c>
      <c r="D15">
        <v>1</v>
      </c>
      <c r="E15">
        <v>13</v>
      </c>
      <c r="F15">
        <v>1</v>
      </c>
      <c r="G15">
        <v>3</v>
      </c>
      <c r="H15">
        <v>1</v>
      </c>
      <c r="J15" t="str">
        <f t="shared" si="0"/>
        <v>(NULL,"2018-11-12","1","13","1","3","1"),</v>
      </c>
      <c r="K15" t="str">
        <f>TextJoin(tblEnrolledStuds[[#This Row],[DateEnrolled]:[ScholasticStatusID]],"Value")</f>
        <v>"2018-11-12","1","13","1","3","1"</v>
      </c>
      <c r="L15">
        <f>LOOKUP(tblEnrolledStuds[[#This Row],[StudID]],tblStudents[StudID],tblStudents[PersonID])</f>
        <v>13</v>
      </c>
      <c r="M15" t="str">
        <f>LOOKUP(LOOKUP(tblEnrolledStuds[[#This Row],[StudID]],tblStudents[StudID],tblStudents[PersonID]),tblPersons[PersonID],tblPersons[LastName])</f>
        <v>Bonus</v>
      </c>
      <c r="N15" t="str">
        <f>LOOKUP(LOOKUP(tblEnrolledStuds[[#This Row],[StudID]],tblStudents[StudID],tblStudents[PersonID]),tblPersons[PersonID],tblPersons[FirstName])</f>
        <v>John Kristoffer</v>
      </c>
    </row>
    <row r="16" spans="2:14" hidden="1" x14ac:dyDescent="0.25">
      <c r="B16">
        <v>14</v>
      </c>
      <c r="C16" s="32">
        <v>43416.333333333336</v>
      </c>
      <c r="D16">
        <v>1</v>
      </c>
      <c r="E16">
        <v>14</v>
      </c>
      <c r="F16">
        <v>1</v>
      </c>
      <c r="G16">
        <v>3</v>
      </c>
      <c r="H16">
        <v>1</v>
      </c>
      <c r="J16" t="str">
        <f t="shared" si="0"/>
        <v>(NULL,"2018-11-12","1","14","1","3","1"),</v>
      </c>
      <c r="K16" t="str">
        <f>TextJoin(tblEnrolledStuds[[#This Row],[DateEnrolled]:[ScholasticStatusID]],"Value")</f>
        <v>"2018-11-12","1","14","1","3","1"</v>
      </c>
      <c r="L16">
        <f>LOOKUP(tblEnrolledStuds[[#This Row],[StudID]],tblStudents[StudID],tblStudents[PersonID])</f>
        <v>14</v>
      </c>
      <c r="M16" t="str">
        <f>LOOKUP(LOOKUP(tblEnrolledStuds[[#This Row],[StudID]],tblStudents[StudID],tblStudents[PersonID]),tblPersons[PersonID],tblPersons[LastName])</f>
        <v>Buenviaje</v>
      </c>
      <c r="N16" t="str">
        <f>LOOKUP(LOOKUP(tblEnrolledStuds[[#This Row],[StudID]],tblStudents[StudID],tblStudents[PersonID]),tblPersons[PersonID],tblPersons[FirstName])</f>
        <v>Meghan</v>
      </c>
    </row>
    <row r="17" spans="2:14" hidden="1" x14ac:dyDescent="0.25">
      <c r="B17">
        <v>15</v>
      </c>
      <c r="C17" s="32">
        <v>43416.333333333336</v>
      </c>
      <c r="D17">
        <v>1</v>
      </c>
      <c r="E17">
        <v>15</v>
      </c>
      <c r="F17">
        <v>1</v>
      </c>
      <c r="G17">
        <v>3</v>
      </c>
      <c r="H17">
        <v>1</v>
      </c>
      <c r="J17" t="str">
        <f t="shared" si="0"/>
        <v>(NULL,"2018-11-12","1","15","1","3","1"),</v>
      </c>
      <c r="K17" t="str">
        <f>TextJoin(tblEnrolledStuds[[#This Row],[DateEnrolled]:[ScholasticStatusID]],"Value")</f>
        <v>"2018-11-12","1","15","1","3","1"</v>
      </c>
      <c r="L17">
        <f>LOOKUP(tblEnrolledStuds[[#This Row],[StudID]],tblStudents[StudID],tblStudents[PersonID])</f>
        <v>15</v>
      </c>
      <c r="M17" t="str">
        <f>LOOKUP(LOOKUP(tblEnrolledStuds[[#This Row],[StudID]],tblStudents[StudID],tblStudents[PersonID]),tblPersons[PersonID],tblPersons[LastName])</f>
        <v>Bustamante</v>
      </c>
      <c r="N17" t="str">
        <f>LOOKUP(LOOKUP(tblEnrolledStuds[[#This Row],[StudID]],tblStudents[StudID],tblStudents[PersonID]),tblPersons[PersonID],tblPersons[FirstName])</f>
        <v>Jetro</v>
      </c>
    </row>
    <row r="18" spans="2:14" hidden="1" x14ac:dyDescent="0.25">
      <c r="B18">
        <v>16</v>
      </c>
      <c r="C18" s="32">
        <v>43416.333333333336</v>
      </c>
      <c r="D18">
        <v>1</v>
      </c>
      <c r="E18">
        <v>16</v>
      </c>
      <c r="F18">
        <v>3</v>
      </c>
      <c r="G18">
        <v>3</v>
      </c>
      <c r="H18">
        <v>2</v>
      </c>
      <c r="J18" t="str">
        <f t="shared" si="0"/>
        <v>(NULL,"2018-11-12","1","16","3","3","2"),</v>
      </c>
      <c r="K18" t="str">
        <f>TextJoin(tblEnrolledStuds[[#This Row],[DateEnrolled]:[ScholasticStatusID]],"Value")</f>
        <v>"2018-11-12","1","16","3","3","2"</v>
      </c>
      <c r="L18">
        <f>LOOKUP(tblEnrolledStuds[[#This Row],[StudID]],tblStudents[StudID],tblStudents[PersonID])</f>
        <v>16</v>
      </c>
      <c r="M18" t="str">
        <f>LOOKUP(LOOKUP(tblEnrolledStuds[[#This Row],[StudID]],tblStudents[StudID],tblStudents[PersonID]),tblPersons[PersonID],tblPersons[LastName])</f>
        <v>Calsado</v>
      </c>
      <c r="N18" t="str">
        <f>LOOKUP(LOOKUP(tblEnrolledStuds[[#This Row],[StudID]],tblStudents[StudID],tblStudents[PersonID]),tblPersons[PersonID],tblPersons[FirstName])</f>
        <v>Kem Diobeth</v>
      </c>
    </row>
    <row r="19" spans="2:14" hidden="1" x14ac:dyDescent="0.25">
      <c r="B19">
        <v>17</v>
      </c>
      <c r="C19" s="32">
        <v>43416.333333333336</v>
      </c>
      <c r="D19">
        <v>1</v>
      </c>
      <c r="E19">
        <v>17</v>
      </c>
      <c r="F19">
        <v>1</v>
      </c>
      <c r="G19">
        <v>3</v>
      </c>
      <c r="H19">
        <v>1</v>
      </c>
      <c r="J19" t="str">
        <f t="shared" si="0"/>
        <v>(NULL,"2018-11-12","1","17","1","3","1"),</v>
      </c>
      <c r="K19" t="str">
        <f>TextJoin(tblEnrolledStuds[[#This Row],[DateEnrolled]:[ScholasticStatusID]],"Value")</f>
        <v>"2018-11-12","1","17","1","3","1"</v>
      </c>
      <c r="L19">
        <f>LOOKUP(tblEnrolledStuds[[#This Row],[StudID]],tblStudents[StudID],tblStudents[PersonID])</f>
        <v>17</v>
      </c>
      <c r="M19" t="str">
        <f>LOOKUP(LOOKUP(tblEnrolledStuds[[#This Row],[StudID]],tblStudents[StudID],tblStudents[PersonID]),tblPersons[PersonID],tblPersons[LastName])</f>
        <v>Cantores</v>
      </c>
      <c r="N19" t="str">
        <f>LOOKUP(LOOKUP(tblEnrolledStuds[[#This Row],[StudID]],tblStudents[StudID],tblStudents[PersonID]),tblPersons[PersonID],tblPersons[FirstName])</f>
        <v>Maria Jenica</v>
      </c>
    </row>
    <row r="20" spans="2:14" hidden="1" x14ac:dyDescent="0.25">
      <c r="B20">
        <v>18</v>
      </c>
      <c r="C20" s="32">
        <v>43416.333333333336</v>
      </c>
      <c r="D20">
        <v>1</v>
      </c>
      <c r="E20">
        <v>18</v>
      </c>
      <c r="F20">
        <v>4</v>
      </c>
      <c r="G20">
        <v>3</v>
      </c>
      <c r="H20">
        <v>2</v>
      </c>
      <c r="J20" t="str">
        <f t="shared" si="0"/>
        <v>(NULL,"2018-11-12","1","18","4","3","2"),</v>
      </c>
      <c r="K20" t="str">
        <f>TextJoin(tblEnrolledStuds[[#This Row],[DateEnrolled]:[ScholasticStatusID]],"Value")</f>
        <v>"2018-11-12","1","18","4","3","2"</v>
      </c>
      <c r="L20">
        <f>LOOKUP(tblEnrolledStuds[[#This Row],[StudID]],tblStudents[StudID],tblStudents[PersonID])</f>
        <v>18</v>
      </c>
      <c r="M20" t="str">
        <f>LOOKUP(LOOKUP(tblEnrolledStuds[[#This Row],[StudID]],tblStudents[StudID],tblStudents[PersonID]),tblPersons[PersonID],tblPersons[LastName])</f>
        <v>Catalan</v>
      </c>
      <c r="N20" t="str">
        <f>LOOKUP(LOOKUP(tblEnrolledStuds[[#This Row],[StudID]],tblStudents[StudID],tblStudents[PersonID]),tblPersons[PersonID],tblPersons[FirstName])</f>
        <v>Ronan</v>
      </c>
    </row>
    <row r="21" spans="2:14" hidden="1" x14ac:dyDescent="0.25">
      <c r="B21">
        <v>19</v>
      </c>
      <c r="C21" s="32">
        <v>43416.333333333336</v>
      </c>
      <c r="D21">
        <v>1</v>
      </c>
      <c r="E21">
        <v>19</v>
      </c>
      <c r="F21">
        <v>3</v>
      </c>
      <c r="G21">
        <v>3</v>
      </c>
      <c r="H21">
        <v>1</v>
      </c>
      <c r="J21" t="str">
        <f t="shared" si="0"/>
        <v>(NULL,"2018-11-12","1","19","3","3","1"),</v>
      </c>
      <c r="K21" t="str">
        <f>TextJoin(tblEnrolledStuds[[#This Row],[DateEnrolled]:[ScholasticStatusID]],"Value")</f>
        <v>"2018-11-12","1","19","3","3","1"</v>
      </c>
      <c r="L21">
        <f>LOOKUP(tblEnrolledStuds[[#This Row],[StudID]],tblStudents[StudID],tblStudents[PersonID])</f>
        <v>19</v>
      </c>
      <c r="M21" t="str">
        <f>LOOKUP(LOOKUP(tblEnrolledStuds[[#This Row],[StudID]],tblStudents[StudID],tblStudents[PersonID]),tblPersons[PersonID],tblPersons[LastName])</f>
        <v>Chua</v>
      </c>
      <c r="N21" t="str">
        <f>LOOKUP(LOOKUP(tblEnrolledStuds[[#This Row],[StudID]],tblStudents[StudID],tblStudents[PersonID]),tblPersons[PersonID],tblPersons[FirstName])</f>
        <v>Alexander Jr.</v>
      </c>
    </row>
    <row r="22" spans="2:14" hidden="1" x14ac:dyDescent="0.25">
      <c r="B22">
        <v>20</v>
      </c>
      <c r="C22" s="32">
        <v>43416.333333333336</v>
      </c>
      <c r="D22">
        <v>1</v>
      </c>
      <c r="E22">
        <v>20</v>
      </c>
      <c r="F22">
        <v>4</v>
      </c>
      <c r="G22">
        <v>3</v>
      </c>
      <c r="H22">
        <v>2</v>
      </c>
      <c r="J22" t="str">
        <f t="shared" si="0"/>
        <v>(NULL,"2018-11-12","1","20","4","3","2"),</v>
      </c>
      <c r="K22" t="str">
        <f>TextJoin(tblEnrolledStuds[[#This Row],[DateEnrolled]:[ScholasticStatusID]],"Value")</f>
        <v>"2018-11-12","1","20","4","3","2"</v>
      </c>
      <c r="L22">
        <f>LOOKUP(tblEnrolledStuds[[#This Row],[StudID]],tblStudents[StudID],tblStudents[PersonID])</f>
        <v>20</v>
      </c>
      <c r="M22" t="str">
        <f>LOOKUP(LOOKUP(tblEnrolledStuds[[#This Row],[StudID]],tblStudents[StudID],tblStudents[PersonID]),tblPersons[PersonID],tblPersons[LastName])</f>
        <v>Coloma</v>
      </c>
      <c r="N22" t="str">
        <f>LOOKUP(LOOKUP(tblEnrolledStuds[[#This Row],[StudID]],tblStudents[StudID],tblStudents[PersonID]),tblPersons[PersonID],tblPersons[FirstName])</f>
        <v>Angelica</v>
      </c>
    </row>
    <row r="23" spans="2:14" hidden="1" x14ac:dyDescent="0.25">
      <c r="B23">
        <v>21</v>
      </c>
      <c r="C23" s="32">
        <v>43416.333333333336</v>
      </c>
      <c r="D23">
        <v>1</v>
      </c>
      <c r="E23">
        <v>21</v>
      </c>
      <c r="F23">
        <v>1</v>
      </c>
      <c r="G23">
        <v>3</v>
      </c>
      <c r="H23">
        <v>1</v>
      </c>
      <c r="J23" t="str">
        <f t="shared" si="0"/>
        <v>(NULL,"2018-11-12","1","21","1","3","1"),</v>
      </c>
      <c r="K23" t="str">
        <f>TextJoin(tblEnrolledStuds[[#This Row],[DateEnrolled]:[ScholasticStatusID]],"Value")</f>
        <v>"2018-11-12","1","21","1","3","1"</v>
      </c>
      <c r="L23">
        <f>LOOKUP(tblEnrolledStuds[[#This Row],[StudID]],tblStudents[StudID],tblStudents[PersonID])</f>
        <v>21</v>
      </c>
      <c r="M23" t="str">
        <f>LOOKUP(LOOKUP(tblEnrolledStuds[[#This Row],[StudID]],tblStudents[StudID],tblStudents[PersonID]),tblPersons[PersonID],tblPersons[LastName])</f>
        <v>Combes</v>
      </c>
      <c r="N23" t="str">
        <f>LOOKUP(LOOKUP(tblEnrolledStuds[[#This Row],[StudID]],tblStudents[StudID],tblStudents[PersonID]),tblPersons[PersonID],tblPersons[FirstName])</f>
        <v>Roxanne</v>
      </c>
    </row>
    <row r="24" spans="2:14" hidden="1" x14ac:dyDescent="0.25">
      <c r="B24">
        <v>22</v>
      </c>
      <c r="C24" s="32">
        <v>43416.333333333336</v>
      </c>
      <c r="D24">
        <v>1</v>
      </c>
      <c r="E24">
        <v>22</v>
      </c>
      <c r="F24">
        <v>4</v>
      </c>
      <c r="G24">
        <v>3</v>
      </c>
      <c r="H24">
        <v>2</v>
      </c>
      <c r="J24" t="str">
        <f t="shared" si="0"/>
        <v>(NULL,"2018-11-12","1","22","4","3","2"),</v>
      </c>
      <c r="K24" t="str">
        <f>TextJoin(tblEnrolledStuds[[#This Row],[DateEnrolled]:[ScholasticStatusID]],"Value")</f>
        <v>"2018-11-12","1","22","4","3","2"</v>
      </c>
      <c r="L24">
        <f>LOOKUP(tblEnrolledStuds[[#This Row],[StudID]],tblStudents[StudID],tblStudents[PersonID])</f>
        <v>22</v>
      </c>
      <c r="M24" t="str">
        <f>LOOKUP(LOOKUP(tblEnrolledStuds[[#This Row],[StudID]],tblStudents[StudID],tblStudents[PersonID]),tblPersons[PersonID],tblPersons[LastName])</f>
        <v>Culla</v>
      </c>
      <c r="N24" t="str">
        <f>LOOKUP(LOOKUP(tblEnrolledStuds[[#This Row],[StudID]],tblStudents[StudID],tblStudents[PersonID]),tblPersons[PersonID],tblPersons[FirstName])</f>
        <v>Archie</v>
      </c>
    </row>
    <row r="25" spans="2:14" hidden="1" x14ac:dyDescent="0.25">
      <c r="B25">
        <v>23</v>
      </c>
      <c r="C25" s="32">
        <v>43416.333333333336</v>
      </c>
      <c r="D25">
        <v>1</v>
      </c>
      <c r="E25">
        <v>23</v>
      </c>
      <c r="F25">
        <v>4</v>
      </c>
      <c r="G25">
        <v>3</v>
      </c>
      <c r="H25">
        <v>1</v>
      </c>
      <c r="J25" t="str">
        <f t="shared" si="0"/>
        <v>(NULL,"2018-11-12","1","23","4","3","1"),</v>
      </c>
      <c r="K25" t="str">
        <f>TextJoin(tblEnrolledStuds[[#This Row],[DateEnrolled]:[ScholasticStatusID]],"Value")</f>
        <v>"2018-11-12","1","23","4","3","1"</v>
      </c>
      <c r="L25">
        <f>LOOKUP(tblEnrolledStuds[[#This Row],[StudID]],tblStudents[StudID],tblStudents[PersonID])</f>
        <v>23</v>
      </c>
      <c r="M25" t="str">
        <f>LOOKUP(LOOKUP(tblEnrolledStuds[[#This Row],[StudID]],tblStudents[StudID],tblStudents[PersonID]),tblPersons[PersonID],tblPersons[LastName])</f>
        <v>De Lumin</v>
      </c>
      <c r="N25" t="str">
        <f>LOOKUP(LOOKUP(tblEnrolledStuds[[#This Row],[StudID]],tblStudents[StudID],tblStudents[PersonID]),tblPersons[PersonID],tblPersons[FirstName])</f>
        <v>Al Christian Ross</v>
      </c>
    </row>
    <row r="26" spans="2:14" hidden="1" x14ac:dyDescent="0.25">
      <c r="B26">
        <v>24</v>
      </c>
      <c r="C26" s="32">
        <v>43416.333333333336</v>
      </c>
      <c r="D26">
        <v>1</v>
      </c>
      <c r="E26">
        <v>24</v>
      </c>
      <c r="F26">
        <v>1</v>
      </c>
      <c r="G26">
        <v>3</v>
      </c>
      <c r="H26">
        <v>1</v>
      </c>
      <c r="J26" t="str">
        <f t="shared" si="0"/>
        <v>(NULL,"2018-11-12","1","24","1","3","1"),</v>
      </c>
      <c r="K26" t="str">
        <f>TextJoin(tblEnrolledStuds[[#This Row],[DateEnrolled]:[ScholasticStatusID]],"Value")</f>
        <v>"2018-11-12","1","24","1","3","1"</v>
      </c>
      <c r="L26">
        <f>LOOKUP(tblEnrolledStuds[[#This Row],[StudID]],tblStudents[StudID],tblStudents[PersonID])</f>
        <v>24</v>
      </c>
      <c r="M26" t="str">
        <f>LOOKUP(LOOKUP(tblEnrolledStuds[[#This Row],[StudID]],tblStudents[StudID],tblStudents[PersonID]),tblPersons[PersonID],tblPersons[LastName])</f>
        <v>Dela Paz</v>
      </c>
      <c r="N26" t="str">
        <f>LOOKUP(LOOKUP(tblEnrolledStuds[[#This Row],[StudID]],tblStudents[StudID],tblStudents[PersonID]),tblPersons[PersonID],tblPersons[FirstName])</f>
        <v>Billy Joe</v>
      </c>
    </row>
    <row r="27" spans="2:14" hidden="1" x14ac:dyDescent="0.25">
      <c r="B27">
        <v>25</v>
      </c>
      <c r="C27" s="32">
        <v>43416.333333333336</v>
      </c>
      <c r="D27">
        <v>1</v>
      </c>
      <c r="E27">
        <v>25</v>
      </c>
      <c r="F27">
        <v>4</v>
      </c>
      <c r="G27">
        <v>3</v>
      </c>
      <c r="H27">
        <v>1</v>
      </c>
      <c r="J27" t="str">
        <f t="shared" si="0"/>
        <v>(NULL,"2018-11-12","1","25","4","3","1"),</v>
      </c>
      <c r="K27" t="str">
        <f>TextJoin(tblEnrolledStuds[[#This Row],[DateEnrolled]:[ScholasticStatusID]],"Value")</f>
        <v>"2018-11-12","1","25","4","3","1"</v>
      </c>
      <c r="L27">
        <f>LOOKUP(tblEnrolledStuds[[#This Row],[StudID]],tblStudents[StudID],tblStudents[PersonID])</f>
        <v>25</v>
      </c>
      <c r="M27" t="str">
        <f>LOOKUP(LOOKUP(tblEnrolledStuds[[#This Row],[StudID]],tblStudents[StudID],tblStudents[PersonID]),tblPersons[PersonID],tblPersons[LastName])</f>
        <v>Dimamay</v>
      </c>
      <c r="N27" t="str">
        <f>LOOKUP(LOOKUP(tblEnrolledStuds[[#This Row],[StudID]],tblStudents[StudID],tblStudents[PersonID]),tblPersons[PersonID],tblPersons[FirstName])</f>
        <v>Mayabelle</v>
      </c>
    </row>
    <row r="28" spans="2:14" hidden="1" x14ac:dyDescent="0.25">
      <c r="B28">
        <v>26</v>
      </c>
      <c r="C28" s="32">
        <v>43416.333333333336</v>
      </c>
      <c r="D28">
        <v>1</v>
      </c>
      <c r="E28">
        <v>26</v>
      </c>
      <c r="F28">
        <v>4</v>
      </c>
      <c r="G28">
        <v>3</v>
      </c>
      <c r="H28">
        <v>1</v>
      </c>
      <c r="J28" t="str">
        <f t="shared" si="0"/>
        <v>(NULL,"2018-11-12","1","26","4","3","1"),</v>
      </c>
      <c r="K28" t="str">
        <f>TextJoin(tblEnrolledStuds[[#This Row],[DateEnrolled]:[ScholasticStatusID]],"Value")</f>
        <v>"2018-11-12","1","26","4","3","1"</v>
      </c>
      <c r="L28">
        <f>LOOKUP(tblEnrolledStuds[[#This Row],[StudID]],tblStudents[StudID],tblStudents[PersonID])</f>
        <v>26</v>
      </c>
      <c r="M28" t="str">
        <f>LOOKUP(LOOKUP(tblEnrolledStuds[[#This Row],[StudID]],tblStudents[StudID],tblStudents[PersonID]),tblPersons[PersonID],tblPersons[LastName])</f>
        <v>Erese</v>
      </c>
      <c r="N28" t="str">
        <f>LOOKUP(LOOKUP(tblEnrolledStuds[[#This Row],[StudID]],tblStudents[StudID],tblStudents[PersonID]),tblPersons[PersonID],tblPersons[FirstName])</f>
        <v>Mary Joy Christelle</v>
      </c>
    </row>
    <row r="29" spans="2:14" hidden="1" x14ac:dyDescent="0.25">
      <c r="B29">
        <v>27</v>
      </c>
      <c r="C29" s="32">
        <v>43416.333333333336</v>
      </c>
      <c r="D29">
        <v>1</v>
      </c>
      <c r="E29">
        <v>27</v>
      </c>
      <c r="F29">
        <v>4</v>
      </c>
      <c r="G29">
        <v>3</v>
      </c>
      <c r="H29">
        <v>2</v>
      </c>
      <c r="J29" t="str">
        <f t="shared" si="0"/>
        <v>(NULL,"2018-11-12","1","27","4","3","2"),</v>
      </c>
      <c r="K29" t="str">
        <f>TextJoin(tblEnrolledStuds[[#This Row],[DateEnrolled]:[ScholasticStatusID]],"Value")</f>
        <v>"2018-11-12","1","27","4","3","2"</v>
      </c>
      <c r="L29">
        <f>LOOKUP(tblEnrolledStuds[[#This Row],[StudID]],tblStudents[StudID],tblStudents[PersonID])</f>
        <v>27</v>
      </c>
      <c r="M29" t="str">
        <f>LOOKUP(LOOKUP(tblEnrolledStuds[[#This Row],[StudID]],tblStudents[StudID],tblStudents[PersonID]),tblPersons[PersonID],tblPersons[LastName])</f>
        <v>Estacio</v>
      </c>
      <c r="N29" t="str">
        <f>LOOKUP(LOOKUP(tblEnrolledStuds[[#This Row],[StudID]],tblStudents[StudID],tblStudents[PersonID]),tblPersons[PersonID],tblPersons[FirstName])</f>
        <v>Mark Anthony</v>
      </c>
    </row>
    <row r="30" spans="2:14" hidden="1" x14ac:dyDescent="0.25">
      <c r="B30">
        <v>28</v>
      </c>
      <c r="C30" s="32">
        <v>43416.333333333336</v>
      </c>
      <c r="D30">
        <v>1</v>
      </c>
      <c r="E30">
        <v>28</v>
      </c>
      <c r="F30">
        <v>4</v>
      </c>
      <c r="G30">
        <v>3</v>
      </c>
      <c r="H30">
        <v>1</v>
      </c>
      <c r="J30" t="str">
        <f t="shared" si="0"/>
        <v>(NULL,"2018-11-12","1","28","4","3","1"),</v>
      </c>
      <c r="K30" t="str">
        <f>TextJoin(tblEnrolledStuds[[#This Row],[DateEnrolled]:[ScholasticStatusID]],"Value")</f>
        <v>"2018-11-12","1","28","4","3","1"</v>
      </c>
      <c r="L30">
        <f>LOOKUP(tblEnrolledStuds[[#This Row],[StudID]],tblStudents[StudID],tblStudents[PersonID])</f>
        <v>28</v>
      </c>
      <c r="M30" t="str">
        <f>LOOKUP(LOOKUP(tblEnrolledStuds[[#This Row],[StudID]],tblStudents[StudID],tblStudents[PersonID]),tblPersons[PersonID],tblPersons[LastName])</f>
        <v>Fernandez</v>
      </c>
      <c r="N30" t="str">
        <f>LOOKUP(LOOKUP(tblEnrolledStuds[[#This Row],[StudID]],tblStudents[StudID],tblStudents[PersonID]),tblPersons[PersonID],tblPersons[FirstName])</f>
        <v>Johnna</v>
      </c>
    </row>
    <row r="31" spans="2:14" hidden="1" x14ac:dyDescent="0.25">
      <c r="B31">
        <v>29</v>
      </c>
      <c r="C31" s="32">
        <v>43416.333333333336</v>
      </c>
      <c r="D31">
        <v>1</v>
      </c>
      <c r="E31">
        <v>29</v>
      </c>
      <c r="F31">
        <v>3</v>
      </c>
      <c r="G31">
        <v>3</v>
      </c>
      <c r="H31">
        <v>2</v>
      </c>
      <c r="J31" t="str">
        <f t="shared" si="0"/>
        <v>(NULL,"2018-11-12","1","29","3","3","2"),</v>
      </c>
      <c r="K31" t="str">
        <f>TextJoin(tblEnrolledStuds[[#This Row],[DateEnrolled]:[ScholasticStatusID]],"Value")</f>
        <v>"2018-11-12","1","29","3","3","2"</v>
      </c>
      <c r="L31">
        <f>LOOKUP(tblEnrolledStuds[[#This Row],[StudID]],tblStudents[StudID],tblStudents[PersonID])</f>
        <v>29</v>
      </c>
      <c r="M31" t="str">
        <f>LOOKUP(LOOKUP(tblEnrolledStuds[[#This Row],[StudID]],tblStudents[StudID],tblStudents[PersonID]),tblPersons[PersonID],tblPersons[LastName])</f>
        <v>Funtila</v>
      </c>
      <c r="N31" t="str">
        <f>LOOKUP(LOOKUP(tblEnrolledStuds[[#This Row],[StudID]],tblStudents[StudID],tblStudents[PersonID]),tblPersons[PersonID],tblPersons[FirstName])</f>
        <v>Jeremiah Ester</v>
      </c>
    </row>
    <row r="32" spans="2:14" hidden="1" x14ac:dyDescent="0.25">
      <c r="B32">
        <v>30</v>
      </c>
      <c r="C32" s="32">
        <v>43416.333333333336</v>
      </c>
      <c r="D32">
        <v>1</v>
      </c>
      <c r="E32">
        <v>30</v>
      </c>
      <c r="F32">
        <v>4</v>
      </c>
      <c r="G32">
        <v>3</v>
      </c>
      <c r="H32">
        <v>1</v>
      </c>
      <c r="J32" t="str">
        <f t="shared" si="0"/>
        <v>(NULL,"2018-11-12","1","30","4","3","1"),</v>
      </c>
      <c r="K32" t="str">
        <f>TextJoin(tblEnrolledStuds[[#This Row],[DateEnrolled]:[ScholasticStatusID]],"Value")</f>
        <v>"2018-11-12","1","30","4","3","1"</v>
      </c>
      <c r="L32">
        <f>LOOKUP(tblEnrolledStuds[[#This Row],[StudID]],tblStudents[StudID],tblStudents[PersonID])</f>
        <v>30</v>
      </c>
      <c r="M32" t="str">
        <f>LOOKUP(LOOKUP(tblEnrolledStuds[[#This Row],[StudID]],tblStudents[StudID],tblStudents[PersonID]),tblPersons[PersonID],tblPersons[LastName])</f>
        <v>Genelza</v>
      </c>
      <c r="N32" t="str">
        <f>LOOKUP(LOOKUP(tblEnrolledStuds[[#This Row],[StudID]],tblStudents[StudID],tblStudents[PersonID]),tblPersons[PersonID],tblPersons[FirstName])</f>
        <v>Mark Joshua</v>
      </c>
    </row>
    <row r="33" spans="2:14" hidden="1" x14ac:dyDescent="0.25">
      <c r="B33">
        <v>31</v>
      </c>
      <c r="C33" s="32">
        <v>43416.333333333336</v>
      </c>
      <c r="D33">
        <v>1</v>
      </c>
      <c r="E33">
        <v>31</v>
      </c>
      <c r="F33">
        <v>2</v>
      </c>
      <c r="G33">
        <v>3</v>
      </c>
      <c r="H33">
        <v>2</v>
      </c>
      <c r="J33" t="str">
        <f t="shared" si="0"/>
        <v>(NULL,"2018-11-12","1","31","2","3","2"),</v>
      </c>
      <c r="K33" t="str">
        <f>TextJoin(tblEnrolledStuds[[#This Row],[DateEnrolled]:[ScholasticStatusID]],"Value")</f>
        <v>"2018-11-12","1","31","2","3","2"</v>
      </c>
      <c r="L33">
        <f>LOOKUP(tblEnrolledStuds[[#This Row],[StudID]],tblStudents[StudID],tblStudents[PersonID])</f>
        <v>31</v>
      </c>
      <c r="M33" t="str">
        <f>LOOKUP(LOOKUP(tblEnrolledStuds[[#This Row],[StudID]],tblStudents[StudID],tblStudents[PersonID]),tblPersons[PersonID],tblPersons[LastName])</f>
        <v>Haucian</v>
      </c>
      <c r="N33" t="str">
        <f>LOOKUP(LOOKUP(tblEnrolledStuds[[#This Row],[StudID]],tblStudents[StudID],tblStudents[PersonID]),tblPersons[PersonID],tblPersons[FirstName])</f>
        <v>John Paul</v>
      </c>
    </row>
    <row r="34" spans="2:14" hidden="1" x14ac:dyDescent="0.25">
      <c r="B34">
        <v>32</v>
      </c>
      <c r="C34" s="32">
        <v>43416.333333333336</v>
      </c>
      <c r="D34">
        <v>1</v>
      </c>
      <c r="E34">
        <v>32</v>
      </c>
      <c r="F34">
        <v>3</v>
      </c>
      <c r="G34">
        <v>3</v>
      </c>
      <c r="H34">
        <v>1</v>
      </c>
      <c r="J34" t="str">
        <f t="shared" si="0"/>
        <v>(NULL,"2018-11-12","1","32","3","3","1"),</v>
      </c>
      <c r="K34" t="str">
        <f>TextJoin(tblEnrolledStuds[[#This Row],[DateEnrolled]:[ScholasticStatusID]],"Value")</f>
        <v>"2018-11-12","1","32","3","3","1"</v>
      </c>
      <c r="L34">
        <f>LOOKUP(tblEnrolledStuds[[#This Row],[StudID]],tblStudents[StudID],tblStudents[PersonID])</f>
        <v>32</v>
      </c>
      <c r="M34" t="str">
        <f>LOOKUP(LOOKUP(tblEnrolledStuds[[#This Row],[StudID]],tblStudents[StudID],tblStudents[PersonID]),tblPersons[PersonID],tblPersons[LastName])</f>
        <v>Hibi</v>
      </c>
      <c r="N34" t="str">
        <f>LOOKUP(LOOKUP(tblEnrolledStuds[[#This Row],[StudID]],tblStudents[StudID],tblStudents[PersonID]),tblPersons[PersonID],tblPersons[FirstName])</f>
        <v>Keisom</v>
      </c>
    </row>
    <row r="35" spans="2:14" hidden="1" x14ac:dyDescent="0.25">
      <c r="B35">
        <v>33</v>
      </c>
      <c r="C35" s="32">
        <v>43416.333333333336</v>
      </c>
      <c r="D35">
        <v>1</v>
      </c>
      <c r="E35">
        <v>33</v>
      </c>
      <c r="F35">
        <v>4</v>
      </c>
      <c r="G35">
        <v>3</v>
      </c>
      <c r="H35">
        <v>1</v>
      </c>
      <c r="J35" t="str">
        <f t="shared" si="0"/>
        <v>(NULL,"2018-11-12","1","33","4","3","1"),</v>
      </c>
      <c r="K35" t="str">
        <f>TextJoin(tblEnrolledStuds[[#This Row],[DateEnrolled]:[ScholasticStatusID]],"Value")</f>
        <v>"2018-11-12","1","33","4","3","1"</v>
      </c>
      <c r="L35">
        <f>LOOKUP(tblEnrolledStuds[[#This Row],[StudID]],tblStudents[StudID],tblStudents[PersonID])</f>
        <v>33</v>
      </c>
      <c r="M35" t="str">
        <f>LOOKUP(LOOKUP(tblEnrolledStuds[[#This Row],[StudID]],tblStudents[StudID],tblStudents[PersonID]),tblPersons[PersonID],tblPersons[LastName])</f>
        <v>Isidoro</v>
      </c>
      <c r="N35" t="str">
        <f>LOOKUP(LOOKUP(tblEnrolledStuds[[#This Row],[StudID]],tblStudents[StudID],tblStudents[PersonID]),tblPersons[PersonID],tblPersons[FirstName])</f>
        <v>Christine Mae</v>
      </c>
    </row>
    <row r="36" spans="2:14" hidden="1" x14ac:dyDescent="0.25">
      <c r="B36">
        <v>34</v>
      </c>
      <c r="C36" s="32">
        <v>43416.333333333336</v>
      </c>
      <c r="D36">
        <v>1</v>
      </c>
      <c r="E36">
        <v>34</v>
      </c>
      <c r="F36">
        <v>3</v>
      </c>
      <c r="G36">
        <v>3</v>
      </c>
      <c r="H36">
        <v>2</v>
      </c>
      <c r="J36" t="str">
        <f t="shared" si="0"/>
        <v>(NULL,"2018-11-12","1","34","3","3","2"),</v>
      </c>
      <c r="K36" t="str">
        <f>TextJoin(tblEnrolledStuds[[#This Row],[DateEnrolled]:[ScholasticStatusID]],"Value")</f>
        <v>"2018-11-12","1","34","3","3","2"</v>
      </c>
      <c r="L36">
        <f>LOOKUP(tblEnrolledStuds[[#This Row],[StudID]],tblStudents[StudID],tblStudents[PersonID])</f>
        <v>34</v>
      </c>
      <c r="M36" t="str">
        <f>LOOKUP(LOOKUP(tblEnrolledStuds[[#This Row],[StudID]],tblStudents[StudID],tblStudents[PersonID]),tblPersons[PersonID],tblPersons[LastName])</f>
        <v>Lagdaan</v>
      </c>
      <c r="N36" t="str">
        <f>LOOKUP(LOOKUP(tblEnrolledStuds[[#This Row],[StudID]],tblStudents[StudID],tblStudents[PersonID]),tblPersons[PersonID],tblPersons[FirstName])</f>
        <v>John Ardy</v>
      </c>
    </row>
    <row r="37" spans="2:14" hidden="1" x14ac:dyDescent="0.25">
      <c r="B37">
        <v>35</v>
      </c>
      <c r="C37" s="32">
        <v>43416.333333333336</v>
      </c>
      <c r="D37">
        <v>1</v>
      </c>
      <c r="E37">
        <v>35</v>
      </c>
      <c r="F37">
        <v>3</v>
      </c>
      <c r="G37">
        <v>3</v>
      </c>
      <c r="H37">
        <v>2</v>
      </c>
      <c r="J37" t="str">
        <f t="shared" si="0"/>
        <v>(NULL,"2018-11-12","1","35","3","3","2"),</v>
      </c>
      <c r="K37" t="str">
        <f>TextJoin(tblEnrolledStuds[[#This Row],[DateEnrolled]:[ScholasticStatusID]],"Value")</f>
        <v>"2018-11-12","1","35","3","3","2"</v>
      </c>
      <c r="L37">
        <f>LOOKUP(tblEnrolledStuds[[#This Row],[StudID]],tblStudents[StudID],tblStudents[PersonID])</f>
        <v>35</v>
      </c>
      <c r="M37" t="str">
        <f>LOOKUP(LOOKUP(tblEnrolledStuds[[#This Row],[StudID]],tblStudents[StudID],tblStudents[PersonID]),tblPersons[PersonID],tblPersons[LastName])</f>
        <v>Latayan</v>
      </c>
      <c r="N37" t="str">
        <f>LOOKUP(LOOKUP(tblEnrolledStuds[[#This Row],[StudID]],tblStudents[StudID],tblStudents[PersonID]),tblPersons[PersonID],tblPersons[FirstName])</f>
        <v>Regina Shane</v>
      </c>
    </row>
    <row r="38" spans="2:14" hidden="1" x14ac:dyDescent="0.25">
      <c r="B38">
        <v>36</v>
      </c>
      <c r="C38" s="32">
        <v>43416.333333333336</v>
      </c>
      <c r="D38">
        <v>1</v>
      </c>
      <c r="E38">
        <v>36</v>
      </c>
      <c r="F38">
        <v>1</v>
      </c>
      <c r="G38">
        <v>3</v>
      </c>
      <c r="H38">
        <v>1</v>
      </c>
      <c r="J38" t="str">
        <f t="shared" si="0"/>
        <v>(NULL,"2018-11-12","1","36","1","3","1"),</v>
      </c>
      <c r="K38" t="str">
        <f>TextJoin(tblEnrolledStuds[[#This Row],[DateEnrolled]:[ScholasticStatusID]],"Value")</f>
        <v>"2018-11-12","1","36","1","3","1"</v>
      </c>
      <c r="L38">
        <f>LOOKUP(tblEnrolledStuds[[#This Row],[StudID]],tblStudents[StudID],tblStudents[PersonID])</f>
        <v>36</v>
      </c>
      <c r="M38" t="str">
        <f>LOOKUP(LOOKUP(tblEnrolledStuds[[#This Row],[StudID]],tblStudents[StudID],tblStudents[PersonID]),tblPersons[PersonID],tblPersons[LastName])</f>
        <v>Libutan</v>
      </c>
      <c r="N38" t="str">
        <f>LOOKUP(LOOKUP(tblEnrolledStuds[[#This Row],[StudID]],tblStudents[StudID],tblStudents[PersonID]),tblPersons[PersonID],tblPersons[FirstName])</f>
        <v>Johnvert</v>
      </c>
    </row>
    <row r="39" spans="2:14" x14ac:dyDescent="0.25">
      <c r="B39">
        <v>37</v>
      </c>
      <c r="C39" s="32">
        <v>43416.333333333336</v>
      </c>
      <c r="D39">
        <v>1</v>
      </c>
      <c r="E39">
        <v>37</v>
      </c>
      <c r="F39">
        <v>5</v>
      </c>
      <c r="G39">
        <v>3</v>
      </c>
      <c r="H39">
        <v>2</v>
      </c>
      <c r="J39" t="str">
        <f t="shared" si="0"/>
        <v>(NULL,"2018-11-12","1","37","5","3","2"),</v>
      </c>
      <c r="K39" t="str">
        <f>TextJoin(tblEnrolledStuds[[#This Row],[DateEnrolled]:[ScholasticStatusID]],"Value")</f>
        <v>"2018-11-12","1","37","5","3","2"</v>
      </c>
      <c r="L39">
        <f>LOOKUP(tblEnrolledStuds[[#This Row],[StudID]],tblStudents[StudID],tblStudents[PersonID])</f>
        <v>37</v>
      </c>
      <c r="M39" t="str">
        <f>LOOKUP(LOOKUP(tblEnrolledStuds[[#This Row],[StudID]],tblStudents[StudID],tblStudents[PersonID]),tblPersons[PersonID],tblPersons[LastName])</f>
        <v>Manalili</v>
      </c>
      <c r="N39" t="str">
        <f>LOOKUP(LOOKUP(tblEnrolledStuds[[#This Row],[StudID]],tblStudents[StudID],tblStudents[PersonID]),tblPersons[PersonID],tblPersons[FirstName])</f>
        <v>AJ</v>
      </c>
    </row>
    <row r="40" spans="2:14" hidden="1" x14ac:dyDescent="0.25">
      <c r="B40">
        <v>38</v>
      </c>
      <c r="C40" s="32">
        <v>43416.333333333336</v>
      </c>
      <c r="D40">
        <v>1</v>
      </c>
      <c r="E40">
        <v>38</v>
      </c>
      <c r="F40">
        <v>4</v>
      </c>
      <c r="G40">
        <v>3</v>
      </c>
      <c r="H40">
        <v>1</v>
      </c>
      <c r="J40" t="str">
        <f t="shared" si="0"/>
        <v>(NULL,"2018-11-12","1","38","4","3","1"),</v>
      </c>
      <c r="K40" t="str">
        <f>TextJoin(tblEnrolledStuds[[#This Row],[DateEnrolled]:[ScholasticStatusID]],"Value")</f>
        <v>"2018-11-12","1","38","4","3","1"</v>
      </c>
      <c r="L40">
        <f>LOOKUP(tblEnrolledStuds[[#This Row],[StudID]],tblStudents[StudID],tblStudents[PersonID])</f>
        <v>38</v>
      </c>
      <c r="M40" t="str">
        <f>LOOKUP(LOOKUP(tblEnrolledStuds[[#This Row],[StudID]],tblStudents[StudID],tblStudents[PersonID]),tblPersons[PersonID],tblPersons[LastName])</f>
        <v>Mancia</v>
      </c>
      <c r="N40" t="str">
        <f>LOOKUP(LOOKUP(tblEnrolledStuds[[#This Row],[StudID]],tblStudents[StudID],tblStudents[PersonID]),tblPersons[PersonID],tblPersons[FirstName])</f>
        <v>Edmar</v>
      </c>
    </row>
    <row r="41" spans="2:14" hidden="1" x14ac:dyDescent="0.25">
      <c r="B41">
        <v>39</v>
      </c>
      <c r="C41" s="32">
        <v>43416.333333333336</v>
      </c>
      <c r="D41">
        <v>1</v>
      </c>
      <c r="E41">
        <v>39</v>
      </c>
      <c r="F41">
        <v>2</v>
      </c>
      <c r="G41">
        <v>3</v>
      </c>
      <c r="H41">
        <v>1</v>
      </c>
      <c r="J41" t="str">
        <f t="shared" si="0"/>
        <v>(NULL,"2018-11-12","1","39","2","3","1"),</v>
      </c>
      <c r="K41" t="str">
        <f>TextJoin(tblEnrolledStuds[[#This Row],[DateEnrolled]:[ScholasticStatusID]],"Value")</f>
        <v>"2018-11-12","1","39","2","3","1"</v>
      </c>
      <c r="L41">
        <f>LOOKUP(tblEnrolledStuds[[#This Row],[StudID]],tblStudents[StudID],tblStudents[PersonID])</f>
        <v>39</v>
      </c>
      <c r="M41" t="str">
        <f>LOOKUP(LOOKUP(tblEnrolledStuds[[#This Row],[StudID]],tblStudents[StudID],tblStudents[PersonID]),tblPersons[PersonID],tblPersons[LastName])</f>
        <v>Medalla</v>
      </c>
      <c r="N41" t="str">
        <f>LOOKUP(LOOKUP(tblEnrolledStuds[[#This Row],[StudID]],tblStudents[StudID],tblStudents[PersonID]),tblPersons[PersonID],tblPersons[FirstName])</f>
        <v>Patrick Paul</v>
      </c>
    </row>
    <row r="42" spans="2:14" hidden="1" x14ac:dyDescent="0.25">
      <c r="B42">
        <v>40</v>
      </c>
      <c r="C42" s="32">
        <v>43416.333333333336</v>
      </c>
      <c r="D42">
        <v>1</v>
      </c>
      <c r="E42">
        <v>40</v>
      </c>
      <c r="F42">
        <v>3</v>
      </c>
      <c r="G42">
        <v>3</v>
      </c>
      <c r="H42">
        <v>1</v>
      </c>
      <c r="J42" t="str">
        <f t="shared" si="0"/>
        <v>(NULL,"2018-11-12","1","40","3","3","1"),</v>
      </c>
      <c r="K42" t="str">
        <f>TextJoin(tblEnrolledStuds[[#This Row],[DateEnrolled]:[ScholasticStatusID]],"Value")</f>
        <v>"2018-11-12","1","40","3","3","1"</v>
      </c>
      <c r="L42">
        <f>LOOKUP(tblEnrolledStuds[[#This Row],[StudID]],tblStudents[StudID],tblStudents[PersonID])</f>
        <v>40</v>
      </c>
      <c r="M42" t="str">
        <f>LOOKUP(LOOKUP(tblEnrolledStuds[[#This Row],[StudID]],tblStudents[StudID],tblStudents[PersonID]),tblPersons[PersonID],tblPersons[LastName])</f>
        <v>Mendoza</v>
      </c>
      <c r="N42" t="str">
        <f>LOOKUP(LOOKUP(tblEnrolledStuds[[#This Row],[StudID]],tblStudents[StudID],tblStudents[PersonID]),tblPersons[PersonID],tblPersons[FirstName])</f>
        <v>Kyla Louisse</v>
      </c>
    </row>
    <row r="43" spans="2:14" hidden="1" x14ac:dyDescent="0.25">
      <c r="B43">
        <v>41</v>
      </c>
      <c r="C43" s="32">
        <v>43416.333333333336</v>
      </c>
      <c r="D43">
        <v>1</v>
      </c>
      <c r="E43">
        <v>41</v>
      </c>
      <c r="F43">
        <v>2</v>
      </c>
      <c r="G43">
        <v>3</v>
      </c>
      <c r="H43">
        <v>1</v>
      </c>
      <c r="J43" t="str">
        <f t="shared" si="0"/>
        <v>(NULL,"2018-11-12","1","41","2","3","1"),</v>
      </c>
      <c r="K43" t="str">
        <f>TextJoin(tblEnrolledStuds[[#This Row],[DateEnrolled]:[ScholasticStatusID]],"Value")</f>
        <v>"2018-11-12","1","41","2","3","1"</v>
      </c>
      <c r="L43">
        <f>LOOKUP(tblEnrolledStuds[[#This Row],[StudID]],tblStudents[StudID],tblStudents[PersonID])</f>
        <v>41</v>
      </c>
      <c r="M43" t="str">
        <f>LOOKUP(LOOKUP(tblEnrolledStuds[[#This Row],[StudID]],tblStudents[StudID],tblStudents[PersonID]),tblPersons[PersonID],tblPersons[LastName])</f>
        <v>Mendoza</v>
      </c>
      <c r="N43" t="str">
        <f>LOOKUP(LOOKUP(tblEnrolledStuds[[#This Row],[StudID]],tblStudents[StudID],tblStudents[PersonID]),tblPersons[PersonID],tblPersons[FirstName])</f>
        <v>Nikko</v>
      </c>
    </row>
    <row r="44" spans="2:14" hidden="1" x14ac:dyDescent="0.25">
      <c r="B44">
        <v>42</v>
      </c>
      <c r="C44" s="32">
        <v>43416.333333333336</v>
      </c>
      <c r="D44">
        <v>1</v>
      </c>
      <c r="E44">
        <v>42</v>
      </c>
      <c r="F44">
        <v>4</v>
      </c>
      <c r="G44">
        <v>3</v>
      </c>
      <c r="H44">
        <v>1</v>
      </c>
      <c r="J44" t="str">
        <f t="shared" si="0"/>
        <v>(NULL,"2018-11-12","1","42","4","3","1"),</v>
      </c>
      <c r="K44" t="str">
        <f>TextJoin(tblEnrolledStuds[[#This Row],[DateEnrolled]:[ScholasticStatusID]],"Value")</f>
        <v>"2018-11-12","1","42","4","3","1"</v>
      </c>
      <c r="L44">
        <f>LOOKUP(tblEnrolledStuds[[#This Row],[StudID]],tblStudents[StudID],tblStudents[PersonID])</f>
        <v>42</v>
      </c>
      <c r="M44" t="str">
        <f>LOOKUP(LOOKUP(tblEnrolledStuds[[#This Row],[StudID]],tblStudents[StudID],tblStudents[PersonID]),tblPersons[PersonID],tblPersons[LastName])</f>
        <v>Montaño Jr.</v>
      </c>
      <c r="N44" t="str">
        <f>LOOKUP(LOOKUP(tblEnrolledStuds[[#This Row],[StudID]],tblStudents[StudID],tblStudents[PersonID]),tblPersons[PersonID],tblPersons[FirstName])</f>
        <v>Oscar</v>
      </c>
    </row>
    <row r="45" spans="2:14" hidden="1" x14ac:dyDescent="0.25">
      <c r="B45">
        <v>43</v>
      </c>
      <c r="C45" s="32">
        <v>43416.333333333336</v>
      </c>
      <c r="D45">
        <v>1</v>
      </c>
      <c r="E45">
        <v>43</v>
      </c>
      <c r="F45">
        <v>4</v>
      </c>
      <c r="G45">
        <v>3</v>
      </c>
      <c r="H45">
        <v>2</v>
      </c>
      <c r="J45" t="str">
        <f t="shared" si="0"/>
        <v>(NULL,"2018-11-12","1","43","4","3","2"),</v>
      </c>
      <c r="K45" t="str">
        <f>TextJoin(tblEnrolledStuds[[#This Row],[DateEnrolled]:[ScholasticStatusID]],"Value")</f>
        <v>"2018-11-12","1","43","4","3","2"</v>
      </c>
      <c r="L45">
        <f>LOOKUP(tblEnrolledStuds[[#This Row],[StudID]],tblStudents[StudID],tblStudents[PersonID])</f>
        <v>43</v>
      </c>
      <c r="M45" t="str">
        <f>LOOKUP(LOOKUP(tblEnrolledStuds[[#This Row],[StudID]],tblStudents[StudID],tblStudents[PersonID]),tblPersons[PersonID],tblPersons[LastName])</f>
        <v>Nadong</v>
      </c>
      <c r="N45" t="str">
        <f>LOOKUP(LOOKUP(tblEnrolledStuds[[#This Row],[StudID]],tblStudents[StudID],tblStudents[PersonID]),tblPersons[PersonID],tblPersons[FirstName])</f>
        <v>April Ann</v>
      </c>
    </row>
    <row r="46" spans="2:14" hidden="1" x14ac:dyDescent="0.25">
      <c r="B46">
        <v>44</v>
      </c>
      <c r="C46" s="32">
        <v>43416.333333333336</v>
      </c>
      <c r="D46">
        <v>1</v>
      </c>
      <c r="E46">
        <v>44</v>
      </c>
      <c r="F46">
        <v>1</v>
      </c>
      <c r="G46">
        <v>3</v>
      </c>
      <c r="H46">
        <v>1</v>
      </c>
      <c r="J46" t="str">
        <f t="shared" si="0"/>
        <v>(NULL,"2018-11-12","1","44","1","3","1"),</v>
      </c>
      <c r="K46" t="str">
        <f>TextJoin(tblEnrolledStuds[[#This Row],[DateEnrolled]:[ScholasticStatusID]],"Value")</f>
        <v>"2018-11-12","1","44","1","3","1"</v>
      </c>
      <c r="L46">
        <f>LOOKUP(tblEnrolledStuds[[#This Row],[StudID]],tblStudents[StudID],tblStudents[PersonID])</f>
        <v>44</v>
      </c>
      <c r="M46" t="str">
        <f>LOOKUP(LOOKUP(tblEnrolledStuds[[#This Row],[StudID]],tblStudents[StudID],tblStudents[PersonID]),tblPersons[PersonID],tblPersons[LastName])</f>
        <v>Odicta</v>
      </c>
      <c r="N46" t="str">
        <f>LOOKUP(LOOKUP(tblEnrolledStuds[[#This Row],[StudID]],tblStudents[StudID],tblStudents[PersonID]),tblPersons[PersonID],tblPersons[FirstName])</f>
        <v>John Lester</v>
      </c>
    </row>
    <row r="47" spans="2:14" hidden="1" x14ac:dyDescent="0.25">
      <c r="B47">
        <v>45</v>
      </c>
      <c r="C47" s="32">
        <v>43416.333333333336</v>
      </c>
      <c r="D47">
        <v>1</v>
      </c>
      <c r="E47">
        <v>45</v>
      </c>
      <c r="F47">
        <v>1</v>
      </c>
      <c r="G47">
        <v>3</v>
      </c>
      <c r="H47">
        <v>1</v>
      </c>
      <c r="J47" t="str">
        <f t="shared" si="0"/>
        <v>(NULL,"2018-11-12","1","45","1","3","1"),</v>
      </c>
      <c r="K47" t="str">
        <f>TextJoin(tblEnrolledStuds[[#This Row],[DateEnrolled]:[ScholasticStatusID]],"Value")</f>
        <v>"2018-11-12","1","45","1","3","1"</v>
      </c>
      <c r="L47">
        <f>LOOKUP(tblEnrolledStuds[[#This Row],[StudID]],tblStudents[StudID],tblStudents[PersonID])</f>
        <v>45</v>
      </c>
      <c r="M47" t="str">
        <f>LOOKUP(LOOKUP(tblEnrolledStuds[[#This Row],[StudID]],tblStudents[StudID],tblStudents[PersonID]),tblPersons[PersonID],tblPersons[LastName])</f>
        <v>Olores</v>
      </c>
      <c r="N47" t="str">
        <f>LOOKUP(LOOKUP(tblEnrolledStuds[[#This Row],[StudID]],tblStudents[StudID],tblStudents[PersonID]),tblPersons[PersonID],tblPersons[FirstName])</f>
        <v>Jessa</v>
      </c>
    </row>
    <row r="48" spans="2:14" hidden="1" x14ac:dyDescent="0.25">
      <c r="B48">
        <v>46</v>
      </c>
      <c r="C48" s="32">
        <v>43416.333333333336</v>
      </c>
      <c r="D48">
        <v>1</v>
      </c>
      <c r="E48">
        <v>46</v>
      </c>
      <c r="F48">
        <v>4</v>
      </c>
      <c r="G48">
        <v>3</v>
      </c>
      <c r="H48">
        <v>2</v>
      </c>
      <c r="J48" t="str">
        <f t="shared" si="0"/>
        <v>(NULL,"2018-11-12","1","46","4","3","2"),</v>
      </c>
      <c r="K48" t="str">
        <f>TextJoin(tblEnrolledStuds[[#This Row],[DateEnrolled]:[ScholasticStatusID]],"Value")</f>
        <v>"2018-11-12","1","46","4","3","2"</v>
      </c>
      <c r="L48">
        <f>LOOKUP(tblEnrolledStuds[[#This Row],[StudID]],tblStudents[StudID],tblStudents[PersonID])</f>
        <v>46</v>
      </c>
      <c r="M48" t="str">
        <f>LOOKUP(LOOKUP(tblEnrolledStuds[[#This Row],[StudID]],tblStudents[StudID],tblStudents[PersonID]),tblPersons[PersonID],tblPersons[LastName])</f>
        <v>Ones</v>
      </c>
      <c r="N48" t="str">
        <f>LOOKUP(LOOKUP(tblEnrolledStuds[[#This Row],[StudID]],tblStudents[StudID],tblStudents[PersonID]),tblPersons[PersonID],tblPersons[FirstName])</f>
        <v>Jonmarck</v>
      </c>
    </row>
    <row r="49" spans="2:14" x14ac:dyDescent="0.25">
      <c r="B49">
        <v>47</v>
      </c>
      <c r="C49" s="32">
        <v>43416.333333333336</v>
      </c>
      <c r="D49">
        <v>1</v>
      </c>
      <c r="E49">
        <v>47</v>
      </c>
      <c r="F49">
        <v>5</v>
      </c>
      <c r="G49">
        <v>3</v>
      </c>
      <c r="H49">
        <v>2</v>
      </c>
      <c r="J49" t="str">
        <f t="shared" si="0"/>
        <v>(NULL,"2018-11-12","1","47","5","3","2"),</v>
      </c>
      <c r="K49" t="str">
        <f>TextJoin(tblEnrolledStuds[[#This Row],[DateEnrolled]:[ScholasticStatusID]],"Value")</f>
        <v>"2018-11-12","1","47","5","3","2"</v>
      </c>
      <c r="L49">
        <f>LOOKUP(tblEnrolledStuds[[#This Row],[StudID]],tblStudents[StudID],tblStudents[PersonID])</f>
        <v>47</v>
      </c>
      <c r="M49" t="str">
        <f>LOOKUP(LOOKUP(tblEnrolledStuds[[#This Row],[StudID]],tblStudents[StudID],tblStudents[PersonID]),tblPersons[PersonID],tblPersons[LastName])</f>
        <v>Ornos</v>
      </c>
      <c r="N49" t="str">
        <f>LOOKUP(LOOKUP(tblEnrolledStuds[[#This Row],[StudID]],tblStudents[StudID],tblStudents[PersonID]),tblPersons[PersonID],tblPersons[FirstName])</f>
        <v>Dondon</v>
      </c>
    </row>
    <row r="50" spans="2:14" hidden="1" x14ac:dyDescent="0.25">
      <c r="B50">
        <v>48</v>
      </c>
      <c r="C50" s="32">
        <v>43416.333333333336</v>
      </c>
      <c r="D50">
        <v>1</v>
      </c>
      <c r="E50">
        <v>48</v>
      </c>
      <c r="F50">
        <v>2</v>
      </c>
      <c r="G50">
        <v>3</v>
      </c>
      <c r="H50">
        <v>2</v>
      </c>
      <c r="J50" t="str">
        <f t="shared" si="0"/>
        <v>(NULL,"2018-11-12","1","48","2","3","2"),</v>
      </c>
      <c r="K50" t="str">
        <f>TextJoin(tblEnrolledStuds[[#This Row],[DateEnrolled]:[ScholasticStatusID]],"Value")</f>
        <v>"2018-11-12","1","48","2","3","2"</v>
      </c>
      <c r="L50">
        <f>LOOKUP(tblEnrolledStuds[[#This Row],[StudID]],tblStudents[StudID],tblStudents[PersonID])</f>
        <v>48</v>
      </c>
      <c r="M50" t="str">
        <f>LOOKUP(LOOKUP(tblEnrolledStuds[[#This Row],[StudID]],tblStudents[StudID],tblStudents[PersonID]),tblPersons[PersonID],tblPersons[LastName])</f>
        <v>Pante</v>
      </c>
      <c r="N50" t="str">
        <f>LOOKUP(LOOKUP(tblEnrolledStuds[[#This Row],[StudID]],tblStudents[StudID],tblStudents[PersonID]),tblPersons[PersonID],tblPersons[FirstName])</f>
        <v>Ezekiel</v>
      </c>
    </row>
    <row r="51" spans="2:14" hidden="1" x14ac:dyDescent="0.25">
      <c r="B51">
        <v>49</v>
      </c>
      <c r="C51" s="32">
        <v>43416.333333333336</v>
      </c>
      <c r="D51">
        <v>1</v>
      </c>
      <c r="E51">
        <v>49</v>
      </c>
      <c r="F51">
        <v>1</v>
      </c>
      <c r="G51">
        <v>3</v>
      </c>
      <c r="H51">
        <v>1</v>
      </c>
      <c r="J51" t="str">
        <f t="shared" si="0"/>
        <v>(NULL,"2018-11-12","1","49","1","3","1"),</v>
      </c>
      <c r="K51" t="str">
        <f>TextJoin(tblEnrolledStuds[[#This Row],[DateEnrolled]:[ScholasticStatusID]],"Value")</f>
        <v>"2018-11-12","1","49","1","3","1"</v>
      </c>
      <c r="L51">
        <f>LOOKUP(tblEnrolledStuds[[#This Row],[StudID]],tblStudents[StudID],tblStudents[PersonID])</f>
        <v>49</v>
      </c>
      <c r="M51" t="str">
        <f>LOOKUP(LOOKUP(tblEnrolledStuds[[#This Row],[StudID]],tblStudents[StudID],tblStudents[PersonID]),tblPersons[PersonID],tblPersons[LastName])</f>
        <v>Parcon</v>
      </c>
      <c r="N51" t="str">
        <f>LOOKUP(LOOKUP(tblEnrolledStuds[[#This Row],[StudID]],tblStudents[StudID],tblStudents[PersonID]),tblPersons[PersonID],tblPersons[FirstName])</f>
        <v>Jayson</v>
      </c>
    </row>
    <row r="52" spans="2:14" hidden="1" x14ac:dyDescent="0.25">
      <c r="B52">
        <v>50</v>
      </c>
      <c r="C52" s="32">
        <v>43416.333333333336</v>
      </c>
      <c r="D52">
        <v>1</v>
      </c>
      <c r="E52">
        <v>50</v>
      </c>
      <c r="F52">
        <v>2</v>
      </c>
      <c r="G52">
        <v>3</v>
      </c>
      <c r="H52">
        <v>1</v>
      </c>
      <c r="J52" t="str">
        <f t="shared" si="0"/>
        <v>(NULL,"2018-11-12","1","50","2","3","1"),</v>
      </c>
      <c r="K52" t="str">
        <f>TextJoin(tblEnrolledStuds[[#This Row],[DateEnrolled]:[ScholasticStatusID]],"Value")</f>
        <v>"2018-11-12","1","50","2","3","1"</v>
      </c>
      <c r="L52">
        <f>LOOKUP(tblEnrolledStuds[[#This Row],[StudID]],tblStudents[StudID],tblStudents[PersonID])</f>
        <v>50</v>
      </c>
      <c r="M52" t="str">
        <f>LOOKUP(LOOKUP(tblEnrolledStuds[[#This Row],[StudID]],tblStudents[StudID],tblStudents[PersonID]),tblPersons[PersonID],tblPersons[LastName])</f>
        <v>Pastoral</v>
      </c>
      <c r="N52" t="str">
        <f>LOOKUP(LOOKUP(tblEnrolledStuds[[#This Row],[StudID]],tblStudents[StudID],tblStudents[PersonID]),tblPersons[PersonID],tblPersons[FirstName])</f>
        <v>Angelica</v>
      </c>
    </row>
    <row r="53" spans="2:14" hidden="1" x14ac:dyDescent="0.25">
      <c r="B53">
        <v>51</v>
      </c>
      <c r="C53" s="32">
        <v>43416.333333333336</v>
      </c>
      <c r="D53">
        <v>1</v>
      </c>
      <c r="E53">
        <v>51</v>
      </c>
      <c r="F53">
        <v>3</v>
      </c>
      <c r="G53">
        <v>3</v>
      </c>
      <c r="H53">
        <v>1</v>
      </c>
      <c r="J53" t="str">
        <f t="shared" si="0"/>
        <v>(NULL,"2018-11-12","1","51","3","3","1"),</v>
      </c>
      <c r="K53" t="str">
        <f>TextJoin(tblEnrolledStuds[[#This Row],[DateEnrolled]:[ScholasticStatusID]],"Value")</f>
        <v>"2018-11-12","1","51","3","3","1"</v>
      </c>
      <c r="L53">
        <f>LOOKUP(tblEnrolledStuds[[#This Row],[StudID]],tblStudents[StudID],tblStudents[PersonID])</f>
        <v>51</v>
      </c>
      <c r="M53" t="str">
        <f>LOOKUP(LOOKUP(tblEnrolledStuds[[#This Row],[StudID]],tblStudents[StudID],tblStudents[PersonID]),tblPersons[PersonID],tblPersons[LastName])</f>
        <v>Peña</v>
      </c>
      <c r="N53" t="str">
        <f>LOOKUP(LOOKUP(tblEnrolledStuds[[#This Row],[StudID]],tblStudents[StudID],tblStudents[PersonID]),tblPersons[PersonID],tblPersons[FirstName])</f>
        <v>Nathaniel</v>
      </c>
    </row>
    <row r="54" spans="2:14" hidden="1" x14ac:dyDescent="0.25">
      <c r="B54">
        <v>52</v>
      </c>
      <c r="C54" s="32">
        <v>43416.333333333336</v>
      </c>
      <c r="D54">
        <v>1</v>
      </c>
      <c r="E54">
        <v>52</v>
      </c>
      <c r="F54">
        <v>1</v>
      </c>
      <c r="G54">
        <v>3</v>
      </c>
      <c r="H54">
        <v>1</v>
      </c>
      <c r="J54" t="str">
        <f t="shared" si="0"/>
        <v>(NULL,"2018-11-12","1","52","1","3","1"),</v>
      </c>
      <c r="K54" t="str">
        <f>TextJoin(tblEnrolledStuds[[#This Row],[DateEnrolled]:[ScholasticStatusID]],"Value")</f>
        <v>"2018-11-12","1","52","1","3","1"</v>
      </c>
      <c r="L54">
        <f>LOOKUP(tblEnrolledStuds[[#This Row],[StudID]],tblStudents[StudID],tblStudents[PersonID])</f>
        <v>52</v>
      </c>
      <c r="M54" t="str">
        <f>LOOKUP(LOOKUP(tblEnrolledStuds[[#This Row],[StudID]],tblStudents[StudID],tblStudents[PersonID]),tblPersons[PersonID],tblPersons[LastName])</f>
        <v>Pimentel</v>
      </c>
      <c r="N54" t="str">
        <f>LOOKUP(LOOKUP(tblEnrolledStuds[[#This Row],[StudID]],tblStudents[StudID],tblStudents[PersonID]),tblPersons[PersonID],tblPersons[FirstName])</f>
        <v>Vincent</v>
      </c>
    </row>
    <row r="55" spans="2:14" hidden="1" x14ac:dyDescent="0.25">
      <c r="B55">
        <v>53</v>
      </c>
      <c r="C55" s="32">
        <v>43416.333333333336</v>
      </c>
      <c r="D55">
        <v>1</v>
      </c>
      <c r="E55">
        <v>53</v>
      </c>
      <c r="F55">
        <v>1</v>
      </c>
      <c r="G55">
        <v>3</v>
      </c>
      <c r="H55">
        <v>1</v>
      </c>
      <c r="J55" t="str">
        <f t="shared" si="0"/>
        <v>(NULL,"2018-11-12","1","53","1","3","1"),</v>
      </c>
      <c r="K55" t="str">
        <f>TextJoin(tblEnrolledStuds[[#This Row],[DateEnrolled]:[ScholasticStatusID]],"Value")</f>
        <v>"2018-11-12","1","53","1","3","1"</v>
      </c>
      <c r="L55">
        <f>LOOKUP(tblEnrolledStuds[[#This Row],[StudID]],tblStudents[StudID],tblStudents[PersonID])</f>
        <v>53</v>
      </c>
      <c r="M55" t="str">
        <f>LOOKUP(LOOKUP(tblEnrolledStuds[[#This Row],[StudID]],tblStudents[StudID],tblStudents[PersonID]),tblPersons[PersonID],tblPersons[LastName])</f>
        <v>Posada</v>
      </c>
      <c r="N55" t="str">
        <f>LOOKUP(LOOKUP(tblEnrolledStuds[[#This Row],[StudID]],tblStudents[StudID],tblStudents[PersonID]),tblPersons[PersonID],tblPersons[FirstName])</f>
        <v>Jasmin</v>
      </c>
    </row>
    <row r="56" spans="2:14" hidden="1" x14ac:dyDescent="0.25">
      <c r="B56">
        <v>54</v>
      </c>
      <c r="C56" s="32">
        <v>43416.333333333336</v>
      </c>
      <c r="D56">
        <v>1</v>
      </c>
      <c r="E56">
        <v>54</v>
      </c>
      <c r="F56">
        <v>3</v>
      </c>
      <c r="G56">
        <v>3</v>
      </c>
      <c r="H56">
        <v>1</v>
      </c>
      <c r="J56" t="str">
        <f t="shared" si="0"/>
        <v>(NULL,"2018-11-12","1","54","3","3","1"),</v>
      </c>
      <c r="K56" t="str">
        <f>TextJoin(tblEnrolledStuds[[#This Row],[DateEnrolled]:[ScholasticStatusID]],"Value")</f>
        <v>"2018-11-12","1","54","3","3","1"</v>
      </c>
      <c r="L56">
        <f>LOOKUP(tblEnrolledStuds[[#This Row],[StudID]],tblStudents[StudID],tblStudents[PersonID])</f>
        <v>54</v>
      </c>
      <c r="M56" t="str">
        <f>LOOKUP(LOOKUP(tblEnrolledStuds[[#This Row],[StudID]],tblStudents[StudID],tblStudents[PersonID]),tblPersons[PersonID],tblPersons[LastName])</f>
        <v>Quiachon</v>
      </c>
      <c r="N56" t="str">
        <f>LOOKUP(LOOKUP(tblEnrolledStuds[[#This Row],[StudID]],tblStudents[StudID],tblStudents[PersonID]),tblPersons[PersonID],tblPersons[FirstName])</f>
        <v>Willard</v>
      </c>
    </row>
    <row r="57" spans="2:14" hidden="1" x14ac:dyDescent="0.25">
      <c r="B57">
        <v>55</v>
      </c>
      <c r="C57" s="32">
        <v>43416.333333333336</v>
      </c>
      <c r="D57">
        <v>1</v>
      </c>
      <c r="E57">
        <v>55</v>
      </c>
      <c r="F57">
        <v>1</v>
      </c>
      <c r="G57">
        <v>3</v>
      </c>
      <c r="H57">
        <v>1</v>
      </c>
      <c r="J57" t="str">
        <f t="shared" si="0"/>
        <v>(NULL,"2018-11-12","1","55","1","3","1"),</v>
      </c>
      <c r="K57" t="str">
        <f>TextJoin(tblEnrolledStuds[[#This Row],[DateEnrolled]:[ScholasticStatusID]],"Value")</f>
        <v>"2018-11-12","1","55","1","3","1"</v>
      </c>
      <c r="L57">
        <f>LOOKUP(tblEnrolledStuds[[#This Row],[StudID]],tblStudents[StudID],tblStudents[PersonID])</f>
        <v>55</v>
      </c>
      <c r="M57" t="str">
        <f>LOOKUP(LOOKUP(tblEnrolledStuds[[#This Row],[StudID]],tblStudents[StudID],tblStudents[PersonID]),tblPersons[PersonID],tblPersons[LastName])</f>
        <v>Quimpo</v>
      </c>
      <c r="N57" t="str">
        <f>LOOKUP(LOOKUP(tblEnrolledStuds[[#This Row],[StudID]],tblStudents[StudID],tblStudents[PersonID]),tblPersons[PersonID],tblPersons[FirstName])</f>
        <v>Dexer</v>
      </c>
    </row>
    <row r="58" spans="2:14" hidden="1" x14ac:dyDescent="0.25">
      <c r="B58">
        <v>56</v>
      </c>
      <c r="C58" s="32">
        <v>43416.333333333336</v>
      </c>
      <c r="D58">
        <v>1</v>
      </c>
      <c r="E58">
        <v>56</v>
      </c>
      <c r="F58">
        <v>4</v>
      </c>
      <c r="G58">
        <v>3</v>
      </c>
      <c r="H58">
        <v>1</v>
      </c>
      <c r="J58" t="str">
        <f t="shared" si="0"/>
        <v>(NULL,"2018-11-12","1","56","4","3","1"),</v>
      </c>
      <c r="K58" t="str">
        <f>TextJoin(tblEnrolledStuds[[#This Row],[DateEnrolled]:[ScholasticStatusID]],"Value")</f>
        <v>"2018-11-12","1","56","4","3","1"</v>
      </c>
      <c r="L58">
        <f>LOOKUP(tblEnrolledStuds[[#This Row],[StudID]],tblStudents[StudID],tblStudents[PersonID])</f>
        <v>56</v>
      </c>
      <c r="M58" t="str">
        <f>LOOKUP(LOOKUP(tblEnrolledStuds[[#This Row],[StudID]],tblStudents[StudID],tblStudents[PersonID]),tblPersons[PersonID],tblPersons[LastName])</f>
        <v>Ragasa</v>
      </c>
      <c r="N58" t="str">
        <f>LOOKUP(LOOKUP(tblEnrolledStuds[[#This Row],[StudID]],tblStudents[StudID],tblStudents[PersonID]),tblPersons[PersonID],tblPersons[FirstName])</f>
        <v>Rodolfo Jr.</v>
      </c>
    </row>
    <row r="59" spans="2:14" hidden="1" x14ac:dyDescent="0.25">
      <c r="B59">
        <v>57</v>
      </c>
      <c r="C59" s="32">
        <v>43416.333333333336</v>
      </c>
      <c r="D59">
        <v>1</v>
      </c>
      <c r="E59">
        <v>57</v>
      </c>
      <c r="F59">
        <v>2</v>
      </c>
      <c r="G59">
        <v>3</v>
      </c>
      <c r="H59">
        <v>1</v>
      </c>
      <c r="J59" t="str">
        <f t="shared" si="0"/>
        <v>(NULL,"2018-11-12","1","57","2","3","1"),</v>
      </c>
      <c r="K59" t="str">
        <f>TextJoin(tblEnrolledStuds[[#This Row],[DateEnrolled]:[ScholasticStatusID]],"Value")</f>
        <v>"2018-11-12","1","57","2","3","1"</v>
      </c>
      <c r="L59">
        <f>LOOKUP(tblEnrolledStuds[[#This Row],[StudID]],tblStudents[StudID],tblStudents[PersonID])</f>
        <v>57</v>
      </c>
      <c r="M59" t="str">
        <f>LOOKUP(LOOKUP(tblEnrolledStuds[[#This Row],[StudID]],tblStudents[StudID],tblStudents[PersonID]),tblPersons[PersonID],tblPersons[LastName])</f>
        <v>Rapay</v>
      </c>
      <c r="N59" t="str">
        <f>LOOKUP(LOOKUP(tblEnrolledStuds[[#This Row],[StudID]],tblStudents[StudID],tblStudents[PersonID]),tblPersons[PersonID],tblPersons[FirstName])</f>
        <v>John Paul</v>
      </c>
    </row>
    <row r="60" spans="2:14" hidden="1" x14ac:dyDescent="0.25">
      <c r="B60">
        <v>58</v>
      </c>
      <c r="C60" s="32">
        <v>43416.333333333336</v>
      </c>
      <c r="D60">
        <v>1</v>
      </c>
      <c r="E60">
        <v>58</v>
      </c>
      <c r="F60">
        <v>1</v>
      </c>
      <c r="G60">
        <v>3</v>
      </c>
      <c r="H60">
        <v>1</v>
      </c>
      <c r="J60" t="str">
        <f t="shared" si="0"/>
        <v>(NULL,"2018-11-12","1","58","1","3","1"),</v>
      </c>
      <c r="K60" t="str">
        <f>TextJoin(tblEnrolledStuds[[#This Row],[DateEnrolled]:[ScholasticStatusID]],"Value")</f>
        <v>"2018-11-12","1","58","1","3","1"</v>
      </c>
      <c r="L60">
        <f>LOOKUP(tblEnrolledStuds[[#This Row],[StudID]],tblStudents[StudID],tblStudents[PersonID])</f>
        <v>58</v>
      </c>
      <c r="M60" t="str">
        <f>LOOKUP(LOOKUP(tblEnrolledStuds[[#This Row],[StudID]],tblStudents[StudID],tblStudents[PersonID]),tblPersons[PersonID],tblPersons[LastName])</f>
        <v>Ruaya</v>
      </c>
      <c r="N60" t="str">
        <f>LOOKUP(LOOKUP(tblEnrolledStuds[[#This Row],[StudID]],tblStudents[StudID],tblStudents[PersonID]),tblPersons[PersonID],tblPersons[FirstName])</f>
        <v>Fitz Jerald</v>
      </c>
    </row>
    <row r="61" spans="2:14" hidden="1" x14ac:dyDescent="0.25">
      <c r="B61">
        <v>59</v>
      </c>
      <c r="C61" s="32">
        <v>43416.333333333336</v>
      </c>
      <c r="D61">
        <v>1</v>
      </c>
      <c r="E61">
        <v>59</v>
      </c>
      <c r="F61">
        <v>2</v>
      </c>
      <c r="G61">
        <v>3</v>
      </c>
      <c r="H61">
        <v>2</v>
      </c>
      <c r="J61" t="str">
        <f t="shared" si="0"/>
        <v>(NULL,"2018-11-12","1","59","2","3","2"),</v>
      </c>
      <c r="K61" t="str">
        <f>TextJoin(tblEnrolledStuds[[#This Row],[DateEnrolled]:[ScholasticStatusID]],"Value")</f>
        <v>"2018-11-12","1","59","2","3","2"</v>
      </c>
      <c r="L61">
        <f>LOOKUP(tblEnrolledStuds[[#This Row],[StudID]],tblStudents[StudID],tblStudents[PersonID])</f>
        <v>59</v>
      </c>
      <c r="M61" t="str">
        <f>LOOKUP(LOOKUP(tblEnrolledStuds[[#This Row],[StudID]],tblStudents[StudID],tblStudents[PersonID]),tblPersons[PersonID],tblPersons[LastName])</f>
        <v>Sanchez</v>
      </c>
      <c r="N61" t="str">
        <f>LOOKUP(LOOKUP(tblEnrolledStuds[[#This Row],[StudID]],tblStudents[StudID],tblStudents[PersonID]),tblPersons[PersonID],tblPersons[FirstName])</f>
        <v>Rocel</v>
      </c>
    </row>
    <row r="62" spans="2:14" hidden="1" x14ac:dyDescent="0.25">
      <c r="B62">
        <v>60</v>
      </c>
      <c r="C62" s="32">
        <v>43416.333333333336</v>
      </c>
      <c r="D62">
        <v>1</v>
      </c>
      <c r="E62">
        <v>60</v>
      </c>
      <c r="F62">
        <v>1</v>
      </c>
      <c r="G62">
        <v>3</v>
      </c>
      <c r="H62">
        <v>1</v>
      </c>
      <c r="J62" t="str">
        <f t="shared" si="0"/>
        <v>(NULL,"2018-11-12","1","60","1","3","1"),</v>
      </c>
      <c r="K62" t="str">
        <f>TextJoin(tblEnrolledStuds[[#This Row],[DateEnrolled]:[ScholasticStatusID]],"Value")</f>
        <v>"2018-11-12","1","60","1","3","1"</v>
      </c>
      <c r="L62">
        <f>LOOKUP(tblEnrolledStuds[[#This Row],[StudID]],tblStudents[StudID],tblStudents[PersonID])</f>
        <v>60</v>
      </c>
      <c r="M62" t="str">
        <f>LOOKUP(LOOKUP(tblEnrolledStuds[[#This Row],[StudID]],tblStudents[StudID],tblStudents[PersonID]),tblPersons[PersonID],tblPersons[LastName])</f>
        <v>Sano</v>
      </c>
      <c r="N62" t="str">
        <f>LOOKUP(LOOKUP(tblEnrolledStuds[[#This Row],[StudID]],tblStudents[StudID],tblStudents[PersonID]),tblPersons[PersonID],tblPersons[FirstName])</f>
        <v>Kurt Adrianne</v>
      </c>
    </row>
    <row r="63" spans="2:14" hidden="1" x14ac:dyDescent="0.25">
      <c r="B63">
        <v>61</v>
      </c>
      <c r="C63" s="32">
        <v>43416.333333333336</v>
      </c>
      <c r="D63">
        <v>1</v>
      </c>
      <c r="E63">
        <v>61</v>
      </c>
      <c r="F63">
        <v>1</v>
      </c>
      <c r="G63">
        <v>3</v>
      </c>
      <c r="H63">
        <v>1</v>
      </c>
      <c r="J63" t="str">
        <f t="shared" si="0"/>
        <v>(NULL,"2018-11-12","1","61","1","3","1"),</v>
      </c>
      <c r="K63" t="str">
        <f>TextJoin(tblEnrolledStuds[[#This Row],[DateEnrolled]:[ScholasticStatusID]],"Value")</f>
        <v>"2018-11-12","1","61","1","3","1"</v>
      </c>
      <c r="L63">
        <f>LOOKUP(tblEnrolledStuds[[#This Row],[StudID]],tblStudents[StudID],tblStudents[PersonID])</f>
        <v>61</v>
      </c>
      <c r="M63" t="str">
        <f>LOOKUP(LOOKUP(tblEnrolledStuds[[#This Row],[StudID]],tblStudents[StudID],tblStudents[PersonID]),tblPersons[PersonID],tblPersons[LastName])</f>
        <v>Sayson Jr.</v>
      </c>
      <c r="N63" t="str">
        <f>LOOKUP(LOOKUP(tblEnrolledStuds[[#This Row],[StudID]],tblStudents[StudID],tblStudents[PersonID]),tblPersons[PersonID],tblPersons[FirstName])</f>
        <v>Rolando</v>
      </c>
    </row>
    <row r="64" spans="2:14" hidden="1" x14ac:dyDescent="0.25">
      <c r="B64">
        <v>62</v>
      </c>
      <c r="C64" s="32">
        <v>43416.333333333336</v>
      </c>
      <c r="D64">
        <v>1</v>
      </c>
      <c r="E64">
        <v>62</v>
      </c>
      <c r="F64">
        <v>1</v>
      </c>
      <c r="G64">
        <v>3</v>
      </c>
      <c r="H64">
        <v>1</v>
      </c>
      <c r="J64" t="str">
        <f t="shared" si="0"/>
        <v>(NULL,"2018-11-12","1","62","1","3","1"),</v>
      </c>
      <c r="K64" t="str">
        <f>TextJoin(tblEnrolledStuds[[#This Row],[DateEnrolled]:[ScholasticStatusID]],"Value")</f>
        <v>"2018-11-12","1","62","1","3","1"</v>
      </c>
      <c r="L64">
        <f>LOOKUP(tblEnrolledStuds[[#This Row],[StudID]],tblStudents[StudID],tblStudents[PersonID])</f>
        <v>62</v>
      </c>
      <c r="M64" t="str">
        <f>LOOKUP(LOOKUP(tblEnrolledStuds[[#This Row],[StudID]],tblStudents[StudID],tblStudents[PersonID]),tblPersons[PersonID],tblPersons[LastName])</f>
        <v>Siaron</v>
      </c>
      <c r="N64" t="str">
        <f>LOOKUP(LOOKUP(tblEnrolledStuds[[#This Row],[StudID]],tblStudents[StudID],tblStudents[PersonID]),tblPersons[PersonID],tblPersons[FirstName])</f>
        <v>Jeffrey</v>
      </c>
    </row>
    <row r="65" spans="2:14" hidden="1" x14ac:dyDescent="0.25">
      <c r="B65">
        <v>63</v>
      </c>
      <c r="C65" s="32">
        <v>43416.333333333336</v>
      </c>
      <c r="D65">
        <v>1</v>
      </c>
      <c r="E65">
        <v>63</v>
      </c>
      <c r="F65">
        <v>4</v>
      </c>
      <c r="G65">
        <v>3</v>
      </c>
      <c r="H65">
        <v>2</v>
      </c>
      <c r="J65" t="str">
        <f t="shared" si="0"/>
        <v>(NULL,"2018-11-12","1","63","4","3","2"),</v>
      </c>
      <c r="K65" t="str">
        <f>TextJoin(tblEnrolledStuds[[#This Row],[DateEnrolled]:[ScholasticStatusID]],"Value")</f>
        <v>"2018-11-12","1","63","4","3","2"</v>
      </c>
      <c r="L65">
        <f>LOOKUP(tblEnrolledStuds[[#This Row],[StudID]],tblStudents[StudID],tblStudents[PersonID])</f>
        <v>63</v>
      </c>
      <c r="M65" t="str">
        <f>LOOKUP(LOOKUP(tblEnrolledStuds[[#This Row],[StudID]],tblStudents[StudID],tblStudents[PersonID]),tblPersons[PersonID],tblPersons[LastName])</f>
        <v>Sison</v>
      </c>
      <c r="N65" t="str">
        <f>LOOKUP(LOOKUP(tblEnrolledStuds[[#This Row],[StudID]],tblStudents[StudID],tblStudents[PersonID]),tblPersons[PersonID],tblPersons[FirstName])</f>
        <v>Ailyn</v>
      </c>
    </row>
    <row r="66" spans="2:14" hidden="1" x14ac:dyDescent="0.25">
      <c r="B66">
        <v>64</v>
      </c>
      <c r="C66" s="32">
        <v>43416.333333333336</v>
      </c>
      <c r="D66">
        <v>1</v>
      </c>
      <c r="E66">
        <v>64</v>
      </c>
      <c r="F66">
        <v>1</v>
      </c>
      <c r="G66">
        <v>3</v>
      </c>
      <c r="H66">
        <v>1</v>
      </c>
      <c r="J66" t="str">
        <f t="shared" si="0"/>
        <v>(NULL,"2018-11-12","1","64","1","3","1"),</v>
      </c>
      <c r="K66" t="str">
        <f>TextJoin(tblEnrolledStuds[[#This Row],[DateEnrolled]:[ScholasticStatusID]],"Value")</f>
        <v>"2018-11-12","1","64","1","3","1"</v>
      </c>
      <c r="L66">
        <f>LOOKUP(tblEnrolledStuds[[#This Row],[StudID]],tblStudents[StudID],tblStudents[PersonID])</f>
        <v>64</v>
      </c>
      <c r="M66" t="str">
        <f>LOOKUP(LOOKUP(tblEnrolledStuds[[#This Row],[StudID]],tblStudents[StudID],tblStudents[PersonID]),tblPersons[PersonID],tblPersons[LastName])</f>
        <v>Surtida</v>
      </c>
      <c r="N66" t="str">
        <f>LOOKUP(LOOKUP(tblEnrolledStuds[[#This Row],[StudID]],tblStudents[StudID],tblStudents[PersonID]),tblPersons[PersonID],tblPersons[FirstName])</f>
        <v>Shawn Kairi</v>
      </c>
    </row>
    <row r="67" spans="2:14" hidden="1" x14ac:dyDescent="0.25">
      <c r="B67">
        <v>65</v>
      </c>
      <c r="C67" s="32">
        <v>43416.333333333336</v>
      </c>
      <c r="D67">
        <v>1</v>
      </c>
      <c r="E67">
        <v>65</v>
      </c>
      <c r="F67">
        <v>2</v>
      </c>
      <c r="G67">
        <v>3</v>
      </c>
      <c r="H67">
        <v>1</v>
      </c>
      <c r="J67" t="str">
        <f t="shared" si="0"/>
        <v>(NULL,"2018-11-12","1","65","2","3","1"),</v>
      </c>
      <c r="K67" t="str">
        <f>TextJoin(tblEnrolledStuds[[#This Row],[DateEnrolled]:[ScholasticStatusID]],"Value")</f>
        <v>"2018-11-12","1","65","2","3","1"</v>
      </c>
      <c r="L67">
        <f>LOOKUP(tblEnrolledStuds[[#This Row],[StudID]],tblStudents[StudID],tblStudents[PersonID])</f>
        <v>65</v>
      </c>
      <c r="M67" t="str">
        <f>LOOKUP(LOOKUP(tblEnrolledStuds[[#This Row],[StudID]],tblStudents[StudID],tblStudents[PersonID]),tblPersons[PersonID],tblPersons[LastName])</f>
        <v>Tabuzo</v>
      </c>
      <c r="N67" t="str">
        <f>LOOKUP(LOOKUP(tblEnrolledStuds[[#This Row],[StudID]],tblStudents[StudID],tblStudents[PersonID]),tblPersons[PersonID],tblPersons[FirstName])</f>
        <v>David</v>
      </c>
    </row>
    <row r="68" spans="2:14" hidden="1" x14ac:dyDescent="0.25">
      <c r="B68">
        <v>66</v>
      </c>
      <c r="C68" s="32">
        <v>43416.333333333336</v>
      </c>
      <c r="D68">
        <v>1</v>
      </c>
      <c r="E68">
        <v>66</v>
      </c>
      <c r="F68">
        <v>1</v>
      </c>
      <c r="G68">
        <v>3</v>
      </c>
      <c r="H68">
        <v>1</v>
      </c>
      <c r="J68" t="str">
        <f t="shared" ref="J68:J131" si="1">"(NULL,"&amp;K68&amp;")"&amp;IF(J69&lt;&gt;"",",",";")</f>
        <v>(NULL,"2018-11-12","1","66","1","3","1"),</v>
      </c>
      <c r="K68" t="str">
        <f>TextJoin(tblEnrolledStuds[[#This Row],[DateEnrolled]:[ScholasticStatusID]],"Value")</f>
        <v>"2018-11-12","1","66","1","3","1"</v>
      </c>
      <c r="L68">
        <f>LOOKUP(tblEnrolledStuds[[#This Row],[StudID]],tblStudents[StudID],tblStudents[PersonID])</f>
        <v>66</v>
      </c>
      <c r="M68" t="str">
        <f>LOOKUP(LOOKUP(tblEnrolledStuds[[#This Row],[StudID]],tblStudents[StudID],tblStudents[PersonID]),tblPersons[PersonID],tblPersons[LastName])</f>
        <v>Tamo</v>
      </c>
      <c r="N68" t="str">
        <f>LOOKUP(LOOKUP(tblEnrolledStuds[[#This Row],[StudID]],tblStudents[StudID],tblStudents[PersonID]),tblPersons[PersonID],tblPersons[FirstName])</f>
        <v>John Cyrus</v>
      </c>
    </row>
    <row r="69" spans="2:14" x14ac:dyDescent="0.25">
      <c r="B69">
        <v>67</v>
      </c>
      <c r="C69" s="32">
        <v>43416.333333333336</v>
      </c>
      <c r="D69">
        <v>1</v>
      </c>
      <c r="E69">
        <v>67</v>
      </c>
      <c r="F69">
        <v>5</v>
      </c>
      <c r="G69">
        <v>3</v>
      </c>
      <c r="H69">
        <v>2</v>
      </c>
      <c r="J69" t="str">
        <f t="shared" si="1"/>
        <v>(NULL,"2018-11-12","1","67","5","3","2"),</v>
      </c>
      <c r="K69" t="str">
        <f>TextJoin(tblEnrolledStuds[[#This Row],[DateEnrolled]:[ScholasticStatusID]],"Value")</f>
        <v>"2018-11-12","1","67","5","3","2"</v>
      </c>
      <c r="L69">
        <f>LOOKUP(tblEnrolledStuds[[#This Row],[StudID]],tblStudents[StudID],tblStudents[PersonID])</f>
        <v>67</v>
      </c>
      <c r="M69" t="str">
        <f>LOOKUP(LOOKUP(tblEnrolledStuds[[#This Row],[StudID]],tblStudents[StudID],tblStudents[PersonID]),tblPersons[PersonID],tblPersons[LastName])</f>
        <v>Tigno</v>
      </c>
      <c r="N69" t="str">
        <f>LOOKUP(LOOKUP(tblEnrolledStuds[[#This Row],[StudID]],tblStudents[StudID],tblStudents[PersonID]),tblPersons[PersonID],tblPersons[FirstName])</f>
        <v>Joshua</v>
      </c>
    </row>
    <row r="70" spans="2:14" hidden="1" x14ac:dyDescent="0.25">
      <c r="B70">
        <v>68</v>
      </c>
      <c r="C70" s="32">
        <v>43416.333333333336</v>
      </c>
      <c r="D70">
        <v>1</v>
      </c>
      <c r="E70">
        <v>68</v>
      </c>
      <c r="F70">
        <v>4</v>
      </c>
      <c r="G70">
        <v>3</v>
      </c>
      <c r="H70">
        <v>2</v>
      </c>
      <c r="J70" t="str">
        <f t="shared" si="1"/>
        <v>(NULL,"2018-11-12","1","68","4","3","2"),</v>
      </c>
      <c r="K70" t="str">
        <f>TextJoin(tblEnrolledStuds[[#This Row],[DateEnrolled]:[ScholasticStatusID]],"Value")</f>
        <v>"2018-11-12","1","68","4","3","2"</v>
      </c>
      <c r="L70">
        <f>LOOKUP(tblEnrolledStuds[[#This Row],[StudID]],tblStudents[StudID],tblStudents[PersonID])</f>
        <v>68</v>
      </c>
      <c r="M70" t="str">
        <f>LOOKUP(LOOKUP(tblEnrolledStuds[[#This Row],[StudID]],tblStudents[StudID],tblStudents[PersonID]),tblPersons[PersonID],tblPersons[LastName])</f>
        <v>Valdez</v>
      </c>
      <c r="N70" t="str">
        <f>LOOKUP(LOOKUP(tblEnrolledStuds[[#This Row],[StudID]],tblStudents[StudID],tblStudents[PersonID]),tblPersons[PersonID],tblPersons[FirstName])</f>
        <v>Carl John</v>
      </c>
    </row>
    <row r="71" spans="2:14" hidden="1" x14ac:dyDescent="0.25">
      <c r="B71">
        <v>69</v>
      </c>
      <c r="C71" s="32">
        <v>43416.333333333336</v>
      </c>
      <c r="D71">
        <v>1</v>
      </c>
      <c r="E71">
        <v>69</v>
      </c>
      <c r="F71">
        <v>4</v>
      </c>
      <c r="G71">
        <v>3</v>
      </c>
      <c r="H71">
        <v>1</v>
      </c>
      <c r="J71" t="str">
        <f t="shared" si="1"/>
        <v>(NULL,"2018-11-12","1","69","4","3","1"),</v>
      </c>
      <c r="K71" t="str">
        <f>TextJoin(tblEnrolledStuds[[#This Row],[DateEnrolled]:[ScholasticStatusID]],"Value")</f>
        <v>"2018-11-12","1","69","4","3","1"</v>
      </c>
      <c r="L71">
        <f>LOOKUP(tblEnrolledStuds[[#This Row],[StudID]],tblStudents[StudID],tblStudents[PersonID])</f>
        <v>69</v>
      </c>
      <c r="M71" t="str">
        <f>LOOKUP(LOOKUP(tblEnrolledStuds[[#This Row],[StudID]],tblStudents[StudID],tblStudents[PersonID]),tblPersons[PersonID],tblPersons[LastName])</f>
        <v>Vayakaril</v>
      </c>
      <c r="N71" t="str">
        <f>LOOKUP(LOOKUP(tblEnrolledStuds[[#This Row],[StudID]],tblStudents[StudID],tblStudents[PersonID]),tblPersons[PersonID],tblPersons[FirstName])</f>
        <v>Kevin</v>
      </c>
    </row>
    <row r="72" spans="2:14" x14ac:dyDescent="0.25">
      <c r="B72">
        <v>70</v>
      </c>
      <c r="C72" s="32">
        <v>43416.333333333336</v>
      </c>
      <c r="D72">
        <v>1</v>
      </c>
      <c r="E72">
        <v>70</v>
      </c>
      <c r="F72">
        <v>5</v>
      </c>
      <c r="G72">
        <v>3</v>
      </c>
      <c r="H72">
        <v>1</v>
      </c>
      <c r="J72" t="str">
        <f t="shared" si="1"/>
        <v>(NULL,"2018-11-12","1","70","5","3","1"),</v>
      </c>
      <c r="K72" t="str">
        <f>TextJoin(tblEnrolledStuds[[#This Row],[DateEnrolled]:[ScholasticStatusID]],"Value")</f>
        <v>"2018-11-12","1","70","5","3","1"</v>
      </c>
      <c r="L72">
        <f>LOOKUP(tblEnrolledStuds[[#This Row],[StudID]],tblStudents[StudID],tblStudents[PersonID])</f>
        <v>70</v>
      </c>
      <c r="M72" t="str">
        <f>LOOKUP(LOOKUP(tblEnrolledStuds[[#This Row],[StudID]],tblStudents[StudID],tblStudents[PersonID]),tblPersons[PersonID],tblPersons[LastName])</f>
        <v>Yolola</v>
      </c>
      <c r="N72" t="str">
        <f>LOOKUP(LOOKUP(tblEnrolledStuds[[#This Row],[StudID]],tblStudents[StudID],tblStudents[PersonID]),tblPersons[PersonID],tblPersons[FirstName])</f>
        <v>Kenneth Arvin</v>
      </c>
    </row>
    <row r="73" spans="2:14" x14ac:dyDescent="0.25">
      <c r="B73">
        <v>71</v>
      </c>
      <c r="C73" s="32">
        <v>43262.333333333336</v>
      </c>
      <c r="D73">
        <v>1</v>
      </c>
      <c r="E73">
        <v>71</v>
      </c>
      <c r="F73">
        <v>5</v>
      </c>
      <c r="G73">
        <v>3</v>
      </c>
      <c r="H73">
        <v>1</v>
      </c>
      <c r="I73" s="28"/>
      <c r="J73" t="str">
        <f t="shared" si="1"/>
        <v>(NULL,"2018-06-11","1","71","5","3","1"),</v>
      </c>
      <c r="K73" t="str">
        <f>TextJoin(tblEnrolledStuds[[#This Row],[DateEnrolled]:[ScholasticStatusID]],"Value")</f>
        <v>"2018-06-11","1","71","5","3","1"</v>
      </c>
      <c r="L73">
        <f>LOOKUP(tblEnrolledStuds[[#This Row],[StudID]],tblStudents[StudID],tblStudents[PersonID])</f>
        <v>71</v>
      </c>
      <c r="M73" t="str">
        <f>LOOKUP(LOOKUP(tblEnrolledStuds[[#This Row],[StudID]],tblStudents[StudID],tblStudents[PersonID]),tblPersons[PersonID],tblPersons[LastName])</f>
        <v>Zapata</v>
      </c>
      <c r="N73" t="str">
        <f>LOOKUP(LOOKUP(tblEnrolledStuds[[#This Row],[StudID]],tblStudents[StudID],tblStudents[PersonID]),tblPersons[PersonID],tblPersons[FirstName])</f>
        <v>Jerom</v>
      </c>
    </row>
    <row r="74" spans="2:14" hidden="1" x14ac:dyDescent="0.25">
      <c r="B74">
        <v>72</v>
      </c>
      <c r="C74" s="32">
        <v>43262.333333333336</v>
      </c>
      <c r="D74">
        <v>2</v>
      </c>
      <c r="E74">
        <v>1</v>
      </c>
      <c r="F74">
        <v>3</v>
      </c>
      <c r="G74">
        <v>3</v>
      </c>
      <c r="H74">
        <v>2</v>
      </c>
      <c r="J74" t="str">
        <f t="shared" si="1"/>
        <v>(NULL,"2018-06-11","2","1","3","3","2"),</v>
      </c>
      <c r="K74" t="str">
        <f>TextJoin(tblEnrolledStuds[[#This Row],[DateEnrolled]:[ScholasticStatusID]],"Value")</f>
        <v>"2018-06-11","2","1","3","3","2"</v>
      </c>
      <c r="L74">
        <f>LOOKUP(tblEnrolledStuds[[#This Row],[StudID]],tblStudents[StudID],tblStudents[PersonID])</f>
        <v>1</v>
      </c>
      <c r="M74" t="str">
        <f>LOOKUP(LOOKUP(tblEnrolledStuds[[#This Row],[StudID]],tblStudents[StudID],tblStudents[PersonID]),tblPersons[PersonID],tblPersons[LastName])</f>
        <v>Abejo</v>
      </c>
      <c r="N74" t="str">
        <f>LOOKUP(LOOKUP(tblEnrolledStuds[[#This Row],[StudID]],tblStudents[StudID],tblStudents[PersonID]),tblPersons[PersonID],tblPersons[FirstName])</f>
        <v>Jay-R</v>
      </c>
    </row>
    <row r="75" spans="2:14" hidden="1" x14ac:dyDescent="0.25">
      <c r="B75">
        <v>73</v>
      </c>
      <c r="C75" s="32">
        <v>43262.333333333336</v>
      </c>
      <c r="D75">
        <v>2</v>
      </c>
      <c r="E75">
        <v>3</v>
      </c>
      <c r="F75">
        <v>3</v>
      </c>
      <c r="G75">
        <v>3</v>
      </c>
      <c r="H75">
        <v>2</v>
      </c>
      <c r="J75" t="str">
        <f t="shared" si="1"/>
        <v>(NULL,"2018-06-11","2","3","3","3","2"),</v>
      </c>
      <c r="K75" t="str">
        <f>TextJoin(tblEnrolledStuds[[#This Row],[DateEnrolled]:[ScholasticStatusID]],"Value")</f>
        <v>"2018-06-11","2","3","3","3","2"</v>
      </c>
      <c r="L75">
        <f>LOOKUP(tblEnrolledStuds[[#This Row],[StudID]],tblStudents[StudID],tblStudents[PersonID])</f>
        <v>3</v>
      </c>
      <c r="M75" t="str">
        <f>LOOKUP(LOOKUP(tblEnrolledStuds[[#This Row],[StudID]],tblStudents[StudID],tblStudents[PersonID]),tblPersons[PersonID],tblPersons[LastName])</f>
        <v>Aguilo</v>
      </c>
      <c r="N75" t="str">
        <f>LOOKUP(LOOKUP(tblEnrolledStuds[[#This Row],[StudID]],tblStudents[StudID],tblStudents[PersonID]),tblPersons[PersonID],tblPersons[FirstName])</f>
        <v>Christian Joy</v>
      </c>
    </row>
    <row r="76" spans="2:14" hidden="1" x14ac:dyDescent="0.25">
      <c r="B76">
        <v>74</v>
      </c>
      <c r="C76" s="32">
        <v>43262.333333333336</v>
      </c>
      <c r="D76">
        <v>2</v>
      </c>
      <c r="E76">
        <v>7</v>
      </c>
      <c r="F76">
        <v>3</v>
      </c>
      <c r="G76">
        <v>3</v>
      </c>
      <c r="H76">
        <v>1</v>
      </c>
      <c r="J76" t="str">
        <f t="shared" si="1"/>
        <v>(NULL,"2018-06-11","2","7","3","3","1"),</v>
      </c>
      <c r="K76" t="str">
        <f>TextJoin(tblEnrolledStuds[[#This Row],[DateEnrolled]:[ScholasticStatusID]],"Value")</f>
        <v>"2018-06-11","2","7","3","3","1"</v>
      </c>
      <c r="L76">
        <f>LOOKUP(tblEnrolledStuds[[#This Row],[StudID]],tblStudents[StudID],tblStudents[PersonID])</f>
        <v>7</v>
      </c>
      <c r="M76" t="str">
        <f>LOOKUP(LOOKUP(tblEnrolledStuds[[#This Row],[StudID]],tblStudents[StudID],tblStudents[PersonID]),tblPersons[PersonID],tblPersons[LastName])</f>
        <v>Apanay</v>
      </c>
      <c r="N76" t="str">
        <f>LOOKUP(LOOKUP(tblEnrolledStuds[[#This Row],[StudID]],tblStudents[StudID],tblStudents[PersonID]),tblPersons[PersonID],tblPersons[FirstName])</f>
        <v>Abraham</v>
      </c>
    </row>
    <row r="77" spans="2:14" hidden="1" x14ac:dyDescent="0.25">
      <c r="B77">
        <v>75</v>
      </c>
      <c r="C77" s="32">
        <v>43262.333333333336</v>
      </c>
      <c r="D77">
        <v>2</v>
      </c>
      <c r="E77">
        <v>12</v>
      </c>
      <c r="F77">
        <v>5</v>
      </c>
      <c r="G77">
        <v>3</v>
      </c>
      <c r="H77">
        <v>2</v>
      </c>
      <c r="J77" t="str">
        <f t="shared" si="1"/>
        <v>(NULL,"2018-06-11","2","12","5","3","2"),</v>
      </c>
      <c r="K77" t="str">
        <f>TextJoin(tblEnrolledStuds[[#This Row],[DateEnrolled]:[ScholasticStatusID]],"Value")</f>
        <v>"2018-06-11","2","12","5","3","2"</v>
      </c>
      <c r="L77">
        <f>LOOKUP(tblEnrolledStuds[[#This Row],[StudID]],tblStudents[StudID],tblStudents[PersonID])</f>
        <v>12</v>
      </c>
      <c r="M77" t="str">
        <f>LOOKUP(LOOKUP(tblEnrolledStuds[[#This Row],[StudID]],tblStudents[StudID],tblStudents[PersonID]),tblPersons[PersonID],tblPersons[LastName])</f>
        <v>Bonto</v>
      </c>
      <c r="N77" t="str">
        <f>LOOKUP(LOOKUP(tblEnrolledStuds[[#This Row],[StudID]],tblStudents[StudID],tblStudents[PersonID]),tblPersons[PersonID],tblPersons[FirstName])</f>
        <v>Marc Anthony</v>
      </c>
    </row>
    <row r="78" spans="2:14" hidden="1" x14ac:dyDescent="0.25">
      <c r="B78">
        <v>76</v>
      </c>
      <c r="C78" s="32">
        <v>43262.333333333336</v>
      </c>
      <c r="D78">
        <v>2</v>
      </c>
      <c r="E78">
        <v>16</v>
      </c>
      <c r="F78">
        <v>3</v>
      </c>
      <c r="G78">
        <v>3</v>
      </c>
      <c r="H78">
        <v>2</v>
      </c>
      <c r="J78" t="str">
        <f t="shared" si="1"/>
        <v>(NULL,"2018-06-11","2","16","3","3","2"),</v>
      </c>
      <c r="K78" t="str">
        <f>TextJoin(tblEnrolledStuds[[#This Row],[DateEnrolled]:[ScholasticStatusID]],"Value")</f>
        <v>"2018-06-11","2","16","3","3","2"</v>
      </c>
      <c r="L78">
        <f>LOOKUP(tblEnrolledStuds[[#This Row],[StudID]],tblStudents[StudID],tblStudents[PersonID])</f>
        <v>16</v>
      </c>
      <c r="M78" t="str">
        <f>LOOKUP(LOOKUP(tblEnrolledStuds[[#This Row],[StudID]],tblStudents[StudID],tblStudents[PersonID]),tblPersons[PersonID],tblPersons[LastName])</f>
        <v>Calsado</v>
      </c>
      <c r="N78" t="str">
        <f>LOOKUP(LOOKUP(tblEnrolledStuds[[#This Row],[StudID]],tblStudents[StudID],tblStudents[PersonID]),tblPersons[PersonID],tblPersons[FirstName])</f>
        <v>Kem Diobeth</v>
      </c>
    </row>
    <row r="79" spans="2:14" hidden="1" x14ac:dyDescent="0.25">
      <c r="B79">
        <v>77</v>
      </c>
      <c r="C79" s="32">
        <v>43262.333333333336</v>
      </c>
      <c r="D79">
        <v>2</v>
      </c>
      <c r="E79">
        <v>19</v>
      </c>
      <c r="F79">
        <v>3</v>
      </c>
      <c r="G79">
        <v>3</v>
      </c>
      <c r="H79">
        <v>1</v>
      </c>
      <c r="J79" t="str">
        <f t="shared" si="1"/>
        <v>(NULL,"2018-06-11","2","19","3","3","1"),</v>
      </c>
      <c r="K79" t="str">
        <f>TextJoin(tblEnrolledStuds[[#This Row],[DateEnrolled]:[ScholasticStatusID]],"Value")</f>
        <v>"2018-06-11","2","19","3","3","1"</v>
      </c>
      <c r="L79">
        <f>LOOKUP(tblEnrolledStuds[[#This Row],[StudID]],tblStudents[StudID],tblStudents[PersonID])</f>
        <v>19</v>
      </c>
      <c r="M79" t="str">
        <f>LOOKUP(LOOKUP(tblEnrolledStuds[[#This Row],[StudID]],tblStudents[StudID],tblStudents[PersonID]),tblPersons[PersonID],tblPersons[LastName])</f>
        <v>Chua</v>
      </c>
      <c r="N79" t="str">
        <f>LOOKUP(LOOKUP(tblEnrolledStuds[[#This Row],[StudID]],tblStudents[StudID],tblStudents[PersonID]),tblPersons[PersonID],tblPersons[FirstName])</f>
        <v>Alexander Jr.</v>
      </c>
    </row>
    <row r="80" spans="2:14" hidden="1" x14ac:dyDescent="0.25">
      <c r="B80">
        <v>78</v>
      </c>
      <c r="C80" s="32">
        <v>43262.333333333336</v>
      </c>
      <c r="D80">
        <v>2</v>
      </c>
      <c r="E80">
        <v>20</v>
      </c>
      <c r="F80">
        <v>3</v>
      </c>
      <c r="G80">
        <v>3</v>
      </c>
      <c r="H80">
        <v>2</v>
      </c>
      <c r="J80" t="str">
        <f t="shared" si="1"/>
        <v>(NULL,"2018-06-11","2","20","3","3","2"),</v>
      </c>
      <c r="K80" t="str">
        <f>TextJoin(tblEnrolledStuds[[#This Row],[DateEnrolled]:[ScholasticStatusID]],"Value")</f>
        <v>"2018-06-11","2","20","3","3","2"</v>
      </c>
      <c r="L80">
        <f>LOOKUP(tblEnrolledStuds[[#This Row],[StudID]],tblStudents[StudID],tblStudents[PersonID])</f>
        <v>20</v>
      </c>
      <c r="M80" t="str">
        <f>LOOKUP(LOOKUP(tblEnrolledStuds[[#This Row],[StudID]],tblStudents[StudID],tblStudents[PersonID]),tblPersons[PersonID],tblPersons[LastName])</f>
        <v>Coloma</v>
      </c>
      <c r="N80" t="str">
        <f>LOOKUP(LOOKUP(tblEnrolledStuds[[#This Row],[StudID]],tblStudents[StudID],tblStudents[PersonID]),tblPersons[PersonID],tblPersons[FirstName])</f>
        <v>Angelica</v>
      </c>
    </row>
    <row r="81" spans="2:14" hidden="1" x14ac:dyDescent="0.25">
      <c r="B81">
        <v>79</v>
      </c>
      <c r="C81" s="32">
        <v>43262.333333333336</v>
      </c>
      <c r="D81">
        <v>2</v>
      </c>
      <c r="E81">
        <v>32</v>
      </c>
      <c r="F81">
        <v>3</v>
      </c>
      <c r="G81">
        <v>3</v>
      </c>
      <c r="H81">
        <v>2</v>
      </c>
      <c r="J81" t="str">
        <f t="shared" si="1"/>
        <v>(NULL,"2018-06-11","2","32","3","3","2"),</v>
      </c>
      <c r="K81" t="str">
        <f>TextJoin(tblEnrolledStuds[[#This Row],[DateEnrolled]:[ScholasticStatusID]],"Value")</f>
        <v>"2018-06-11","2","32","3","3","2"</v>
      </c>
      <c r="L81">
        <f>LOOKUP(tblEnrolledStuds[[#This Row],[StudID]],tblStudents[StudID],tblStudents[PersonID])</f>
        <v>32</v>
      </c>
      <c r="M81" t="str">
        <f>LOOKUP(LOOKUP(tblEnrolledStuds[[#This Row],[StudID]],tblStudents[StudID],tblStudents[PersonID]),tblPersons[PersonID],tblPersons[LastName])</f>
        <v>Hibi</v>
      </c>
      <c r="N81" t="str">
        <f>LOOKUP(LOOKUP(tblEnrolledStuds[[#This Row],[StudID]],tblStudents[StudID],tblStudents[PersonID]),tblPersons[PersonID],tblPersons[FirstName])</f>
        <v>Keisom</v>
      </c>
    </row>
    <row r="82" spans="2:14" hidden="1" x14ac:dyDescent="0.25">
      <c r="B82">
        <v>80</v>
      </c>
      <c r="C82" s="32">
        <v>43262.333333333336</v>
      </c>
      <c r="D82">
        <v>2</v>
      </c>
      <c r="E82">
        <v>35</v>
      </c>
      <c r="F82">
        <v>3</v>
      </c>
      <c r="G82">
        <v>3</v>
      </c>
      <c r="H82">
        <v>2</v>
      </c>
      <c r="J82" t="str">
        <f t="shared" si="1"/>
        <v>(NULL,"2018-06-11","2","35","3","3","2"),</v>
      </c>
      <c r="K82" t="str">
        <f>TextJoin(tblEnrolledStuds[[#This Row],[DateEnrolled]:[ScholasticStatusID]],"Value")</f>
        <v>"2018-06-11","2","35","3","3","2"</v>
      </c>
      <c r="L82">
        <f>LOOKUP(tblEnrolledStuds[[#This Row],[StudID]],tblStudents[StudID],tblStudents[PersonID])</f>
        <v>35</v>
      </c>
      <c r="M82" t="str">
        <f>LOOKUP(LOOKUP(tblEnrolledStuds[[#This Row],[StudID]],tblStudents[StudID],tblStudents[PersonID]),tblPersons[PersonID],tblPersons[LastName])</f>
        <v>Latayan</v>
      </c>
      <c r="N82" t="str">
        <f>LOOKUP(LOOKUP(tblEnrolledStuds[[#This Row],[StudID]],tblStudents[StudID],tblStudents[PersonID]),tblPersons[PersonID],tblPersons[FirstName])</f>
        <v>Regina Shane</v>
      </c>
    </row>
    <row r="83" spans="2:14" hidden="1" x14ac:dyDescent="0.25">
      <c r="B83">
        <v>81</v>
      </c>
      <c r="C83" s="32">
        <v>43262.333333333336</v>
      </c>
      <c r="D83">
        <v>2</v>
      </c>
      <c r="E83">
        <v>37</v>
      </c>
      <c r="F83">
        <v>5</v>
      </c>
      <c r="G83">
        <v>3</v>
      </c>
      <c r="H83">
        <v>2</v>
      </c>
      <c r="J83" t="str">
        <f t="shared" si="1"/>
        <v>(NULL,"2018-06-11","2","37","5","3","2"),</v>
      </c>
      <c r="K83" t="str">
        <f>TextJoin(tblEnrolledStuds[[#This Row],[DateEnrolled]:[ScholasticStatusID]],"Value")</f>
        <v>"2018-06-11","2","37","5","3","2"</v>
      </c>
      <c r="L83">
        <f>LOOKUP(tblEnrolledStuds[[#This Row],[StudID]],tblStudents[StudID],tblStudents[PersonID])</f>
        <v>37</v>
      </c>
      <c r="M83" t="str">
        <f>LOOKUP(LOOKUP(tblEnrolledStuds[[#This Row],[StudID]],tblStudents[StudID],tblStudents[PersonID]),tblPersons[PersonID],tblPersons[LastName])</f>
        <v>Manalili</v>
      </c>
      <c r="N83" t="str">
        <f>LOOKUP(LOOKUP(tblEnrolledStuds[[#This Row],[StudID]],tblStudents[StudID],tblStudents[PersonID]),tblPersons[PersonID],tblPersons[FirstName])</f>
        <v>AJ</v>
      </c>
    </row>
    <row r="84" spans="2:14" hidden="1" x14ac:dyDescent="0.25">
      <c r="B84">
        <v>82</v>
      </c>
      <c r="C84" s="32">
        <v>43262.333333333336</v>
      </c>
      <c r="D84">
        <v>2</v>
      </c>
      <c r="E84">
        <v>40</v>
      </c>
      <c r="F84">
        <v>3</v>
      </c>
      <c r="G84">
        <v>3</v>
      </c>
      <c r="H84">
        <v>1</v>
      </c>
      <c r="J84" t="str">
        <f t="shared" si="1"/>
        <v>(NULL,"2018-06-11","2","40","3","3","1"),</v>
      </c>
      <c r="K84" t="str">
        <f>TextJoin(tblEnrolledStuds[[#This Row],[DateEnrolled]:[ScholasticStatusID]],"Value")</f>
        <v>"2018-06-11","2","40","3","3","1"</v>
      </c>
      <c r="L84">
        <f>LOOKUP(tblEnrolledStuds[[#This Row],[StudID]],tblStudents[StudID],tblStudents[PersonID])</f>
        <v>40</v>
      </c>
      <c r="M84" t="str">
        <f>LOOKUP(LOOKUP(tblEnrolledStuds[[#This Row],[StudID]],tblStudents[StudID],tblStudents[PersonID]),tblPersons[PersonID],tblPersons[LastName])</f>
        <v>Mendoza</v>
      </c>
      <c r="N84" t="str">
        <f>LOOKUP(LOOKUP(tblEnrolledStuds[[#This Row],[StudID]],tblStudents[StudID],tblStudents[PersonID]),tblPersons[PersonID],tblPersons[FirstName])</f>
        <v>Kyla Louisse</v>
      </c>
    </row>
    <row r="85" spans="2:14" hidden="1" x14ac:dyDescent="0.25">
      <c r="B85">
        <v>83</v>
      </c>
      <c r="C85" s="32">
        <v>43262.333333333336</v>
      </c>
      <c r="D85">
        <v>2</v>
      </c>
      <c r="E85">
        <v>47</v>
      </c>
      <c r="F85">
        <v>5</v>
      </c>
      <c r="G85">
        <v>3</v>
      </c>
      <c r="H85">
        <v>2</v>
      </c>
      <c r="J85" t="str">
        <f t="shared" si="1"/>
        <v>(NULL,"2018-06-11","2","47","5","3","2"),</v>
      </c>
      <c r="K85" t="str">
        <f>TextJoin(tblEnrolledStuds[[#This Row],[DateEnrolled]:[ScholasticStatusID]],"Value")</f>
        <v>"2018-06-11","2","47","5","3","2"</v>
      </c>
      <c r="L85">
        <f>LOOKUP(tblEnrolledStuds[[#This Row],[StudID]],tblStudents[StudID],tblStudents[PersonID])</f>
        <v>47</v>
      </c>
      <c r="M85" t="str">
        <f>LOOKUP(LOOKUP(tblEnrolledStuds[[#This Row],[StudID]],tblStudents[StudID],tblStudents[PersonID]),tblPersons[PersonID],tblPersons[LastName])</f>
        <v>Ornos</v>
      </c>
      <c r="N85" t="str">
        <f>LOOKUP(LOOKUP(tblEnrolledStuds[[#This Row],[StudID]],tblStudents[StudID],tblStudents[PersonID]),tblPersons[PersonID],tblPersons[FirstName])</f>
        <v>Dondon</v>
      </c>
    </row>
    <row r="86" spans="2:14" hidden="1" x14ac:dyDescent="0.25">
      <c r="B86">
        <v>84</v>
      </c>
      <c r="C86" s="32">
        <v>43262.333333333336</v>
      </c>
      <c r="D86">
        <v>2</v>
      </c>
      <c r="E86">
        <v>51</v>
      </c>
      <c r="F86">
        <v>3</v>
      </c>
      <c r="G86">
        <v>3</v>
      </c>
      <c r="H86">
        <v>1</v>
      </c>
      <c r="J86" t="str">
        <f t="shared" si="1"/>
        <v>(NULL,"2018-06-11","2","51","3","3","1"),</v>
      </c>
      <c r="K86" t="str">
        <f>TextJoin(tblEnrolledStuds[[#This Row],[DateEnrolled]:[ScholasticStatusID]],"Value")</f>
        <v>"2018-06-11","2","51","3","3","1"</v>
      </c>
      <c r="L86">
        <f>LOOKUP(tblEnrolledStuds[[#This Row],[StudID]],tblStudents[StudID],tblStudents[PersonID])</f>
        <v>51</v>
      </c>
      <c r="M86" t="str">
        <f>LOOKUP(LOOKUP(tblEnrolledStuds[[#This Row],[StudID]],tblStudents[StudID],tblStudents[PersonID]),tblPersons[PersonID],tblPersons[LastName])</f>
        <v>Peña</v>
      </c>
      <c r="N86" t="str">
        <f>LOOKUP(LOOKUP(tblEnrolledStuds[[#This Row],[StudID]],tblStudents[StudID],tblStudents[PersonID]),tblPersons[PersonID],tblPersons[FirstName])</f>
        <v>Nathaniel</v>
      </c>
    </row>
    <row r="87" spans="2:14" hidden="1" x14ac:dyDescent="0.25">
      <c r="B87">
        <v>85</v>
      </c>
      <c r="C87" s="32">
        <v>43262.333333333336</v>
      </c>
      <c r="D87">
        <v>2</v>
      </c>
      <c r="E87">
        <v>54</v>
      </c>
      <c r="F87">
        <v>3</v>
      </c>
      <c r="G87">
        <v>3</v>
      </c>
      <c r="H87">
        <v>1</v>
      </c>
      <c r="J87" t="str">
        <f t="shared" si="1"/>
        <v>(NULL,"2018-06-11","2","54","3","3","1"),</v>
      </c>
      <c r="K87" t="str">
        <f>TextJoin(tblEnrolledStuds[[#This Row],[DateEnrolled]:[ScholasticStatusID]],"Value")</f>
        <v>"2018-06-11","2","54","3","3","1"</v>
      </c>
      <c r="L87">
        <f>LOOKUP(tblEnrolledStuds[[#This Row],[StudID]],tblStudents[StudID],tblStudents[PersonID])</f>
        <v>54</v>
      </c>
      <c r="M87" t="str">
        <f>LOOKUP(LOOKUP(tblEnrolledStuds[[#This Row],[StudID]],tblStudents[StudID],tblStudents[PersonID]),tblPersons[PersonID],tblPersons[LastName])</f>
        <v>Quiachon</v>
      </c>
      <c r="N87" t="str">
        <f>LOOKUP(LOOKUP(tblEnrolledStuds[[#This Row],[StudID]],tblStudents[StudID],tblStudents[PersonID]),tblPersons[PersonID],tblPersons[FirstName])</f>
        <v>Willard</v>
      </c>
    </row>
    <row r="88" spans="2:14" hidden="1" x14ac:dyDescent="0.25">
      <c r="B88">
        <v>86</v>
      </c>
      <c r="C88" s="32">
        <v>43262.333333333336</v>
      </c>
      <c r="D88">
        <v>2</v>
      </c>
      <c r="E88">
        <v>67</v>
      </c>
      <c r="F88">
        <v>5</v>
      </c>
      <c r="G88">
        <v>2</v>
      </c>
      <c r="H88">
        <v>2</v>
      </c>
      <c r="J88" t="str">
        <f t="shared" si="1"/>
        <v>(NULL,"2018-06-11","2","67","5","2","2"),</v>
      </c>
      <c r="K88" t="str">
        <f>TextJoin(tblEnrolledStuds[[#This Row],[DateEnrolled]:[ScholasticStatusID]],"Value")</f>
        <v>"2018-06-11","2","67","5","2","2"</v>
      </c>
      <c r="L88">
        <f>LOOKUP(tblEnrolledStuds[[#This Row],[StudID]],tblStudents[StudID],tblStudents[PersonID])</f>
        <v>67</v>
      </c>
      <c r="M88" t="str">
        <f>LOOKUP(LOOKUP(tblEnrolledStuds[[#This Row],[StudID]],tblStudents[StudID],tblStudents[PersonID]),tblPersons[PersonID],tblPersons[LastName])</f>
        <v>Tigno</v>
      </c>
      <c r="N88" t="str">
        <f>LOOKUP(LOOKUP(tblEnrolledStuds[[#This Row],[StudID]],tblStudents[StudID],tblStudents[PersonID]),tblPersons[PersonID],tblPersons[FirstName])</f>
        <v>Joshua</v>
      </c>
    </row>
    <row r="89" spans="2:14" hidden="1" x14ac:dyDescent="0.25">
      <c r="B89">
        <v>87</v>
      </c>
      <c r="C89" s="32">
        <v>43262.333333333336</v>
      </c>
      <c r="D89">
        <v>2</v>
      </c>
      <c r="E89">
        <v>70</v>
      </c>
      <c r="F89">
        <v>5</v>
      </c>
      <c r="G89">
        <v>3</v>
      </c>
      <c r="H89">
        <v>1</v>
      </c>
      <c r="J89" t="str">
        <f t="shared" si="1"/>
        <v>(NULL,"2018-06-11","2","70","5","3","1"),</v>
      </c>
      <c r="K89" t="str">
        <f>TextJoin(tblEnrolledStuds[[#This Row],[DateEnrolled]:[ScholasticStatusID]],"Value")</f>
        <v>"2018-06-11","2","70","5","3","1"</v>
      </c>
      <c r="L89">
        <f>LOOKUP(tblEnrolledStuds[[#This Row],[StudID]],tblStudents[StudID],tblStudents[PersonID])</f>
        <v>70</v>
      </c>
      <c r="M89" t="str">
        <f>LOOKUP(LOOKUP(tblEnrolledStuds[[#This Row],[StudID]],tblStudents[StudID],tblStudents[PersonID]),tblPersons[PersonID],tblPersons[LastName])</f>
        <v>Yolola</v>
      </c>
      <c r="N89" t="str">
        <f>LOOKUP(LOOKUP(tblEnrolledStuds[[#This Row],[StudID]],tblStudents[StudID],tblStudents[PersonID]),tblPersons[PersonID],tblPersons[FirstName])</f>
        <v>Kenneth Arvin</v>
      </c>
    </row>
    <row r="90" spans="2:14" hidden="1" x14ac:dyDescent="0.25">
      <c r="B90">
        <v>88</v>
      </c>
      <c r="C90" s="32">
        <v>43045.333333333336</v>
      </c>
      <c r="D90">
        <v>2</v>
      </c>
      <c r="E90">
        <v>71</v>
      </c>
      <c r="F90">
        <v>5</v>
      </c>
      <c r="G90">
        <v>3</v>
      </c>
      <c r="H90">
        <v>1</v>
      </c>
      <c r="J90" t="str">
        <f t="shared" si="1"/>
        <v>(NULL,"2017-11-06","2","71","5","3","1"),</v>
      </c>
      <c r="K90" t="str">
        <f>TextJoin(tblEnrolledStuds[[#This Row],[DateEnrolled]:[ScholasticStatusID]],"Value")</f>
        <v>"2017-11-06","2","71","5","3","1"</v>
      </c>
      <c r="L90">
        <f>LOOKUP(tblEnrolledStuds[[#This Row],[StudID]],tblStudents[StudID],tblStudents[PersonID])</f>
        <v>71</v>
      </c>
      <c r="M90" t="str">
        <f>LOOKUP(LOOKUP(tblEnrolledStuds[[#This Row],[StudID]],tblStudents[StudID],tblStudents[PersonID]),tblPersons[PersonID],tblPersons[LastName])</f>
        <v>Zapata</v>
      </c>
      <c r="N90" t="str">
        <f>LOOKUP(LOOKUP(tblEnrolledStuds[[#This Row],[StudID]],tblStudents[StudID],tblStudents[PersonID]),tblPersons[PersonID],tblPersons[FirstName])</f>
        <v>Jerom</v>
      </c>
    </row>
    <row r="91" spans="2:14" hidden="1" x14ac:dyDescent="0.25">
      <c r="B91">
        <v>89</v>
      </c>
      <c r="C91" s="32">
        <v>43045.333333333336</v>
      </c>
      <c r="D91">
        <v>3</v>
      </c>
      <c r="E91">
        <v>1</v>
      </c>
      <c r="F91">
        <v>3</v>
      </c>
      <c r="G91">
        <v>3</v>
      </c>
      <c r="H91">
        <v>1</v>
      </c>
      <c r="J91" t="str">
        <f t="shared" si="1"/>
        <v>(NULL,"2017-11-06","3","1","3","3","1"),</v>
      </c>
      <c r="K91" t="str">
        <f>TextJoin(tblEnrolledStuds[[#This Row],[DateEnrolled]:[ScholasticStatusID]],"Value")</f>
        <v>"2017-11-06","3","1","3","3","1"</v>
      </c>
      <c r="L91">
        <f>LOOKUP(tblEnrolledStuds[[#This Row],[StudID]],tblStudents[StudID],tblStudents[PersonID])</f>
        <v>1</v>
      </c>
      <c r="M91" t="str">
        <f>LOOKUP(LOOKUP(tblEnrolledStuds[[#This Row],[StudID]],tblStudents[StudID],tblStudents[PersonID]),tblPersons[PersonID],tblPersons[LastName])</f>
        <v>Abejo</v>
      </c>
      <c r="N91" t="str">
        <f>LOOKUP(LOOKUP(tblEnrolledStuds[[#This Row],[StudID]],tblStudents[StudID],tblStudents[PersonID]),tblPersons[PersonID],tblPersons[FirstName])</f>
        <v>Jay-R</v>
      </c>
    </row>
    <row r="92" spans="2:14" hidden="1" x14ac:dyDescent="0.25">
      <c r="B92">
        <v>90</v>
      </c>
      <c r="C92" s="32">
        <v>43045.333333333336</v>
      </c>
      <c r="D92">
        <v>3</v>
      </c>
      <c r="E92">
        <v>3</v>
      </c>
      <c r="F92">
        <v>3</v>
      </c>
      <c r="G92">
        <v>3</v>
      </c>
      <c r="H92">
        <v>1</v>
      </c>
      <c r="J92" t="str">
        <f t="shared" si="1"/>
        <v>(NULL,"2017-11-06","3","3","3","3","1"),</v>
      </c>
      <c r="K92" t="str">
        <f>TextJoin(tblEnrolledStuds[[#This Row],[DateEnrolled]:[ScholasticStatusID]],"Value")</f>
        <v>"2017-11-06","3","3","3","3","1"</v>
      </c>
      <c r="L92">
        <f>LOOKUP(tblEnrolledStuds[[#This Row],[StudID]],tblStudents[StudID],tblStudents[PersonID])</f>
        <v>3</v>
      </c>
      <c r="M92" t="str">
        <f>LOOKUP(LOOKUP(tblEnrolledStuds[[#This Row],[StudID]],tblStudents[StudID],tblStudents[PersonID]),tblPersons[PersonID],tblPersons[LastName])</f>
        <v>Aguilo</v>
      </c>
      <c r="N92" t="str">
        <f>LOOKUP(LOOKUP(tblEnrolledStuds[[#This Row],[StudID]],tblStudents[StudID],tblStudents[PersonID]),tblPersons[PersonID],tblPersons[FirstName])</f>
        <v>Christian Joy</v>
      </c>
    </row>
    <row r="93" spans="2:14" hidden="1" x14ac:dyDescent="0.25">
      <c r="B93">
        <v>91</v>
      </c>
      <c r="C93" s="32">
        <v>43045.333333333336</v>
      </c>
      <c r="D93">
        <v>3</v>
      </c>
      <c r="E93">
        <v>7</v>
      </c>
      <c r="F93">
        <v>3</v>
      </c>
      <c r="G93">
        <v>3</v>
      </c>
      <c r="H93">
        <v>1</v>
      </c>
      <c r="J93" t="str">
        <f t="shared" si="1"/>
        <v>(NULL,"2017-11-06","3","7","3","3","1"),</v>
      </c>
      <c r="K93" t="str">
        <f>TextJoin(tblEnrolledStuds[[#This Row],[DateEnrolled]:[ScholasticStatusID]],"Value")</f>
        <v>"2017-11-06","3","7","3","3","1"</v>
      </c>
      <c r="L93">
        <f>LOOKUP(tblEnrolledStuds[[#This Row],[StudID]],tblStudents[StudID],tblStudents[PersonID])</f>
        <v>7</v>
      </c>
      <c r="M93" t="str">
        <f>LOOKUP(LOOKUP(tblEnrolledStuds[[#This Row],[StudID]],tblStudents[StudID],tblStudents[PersonID]),tblPersons[PersonID],tblPersons[LastName])</f>
        <v>Apanay</v>
      </c>
      <c r="N93" t="str">
        <f>LOOKUP(LOOKUP(tblEnrolledStuds[[#This Row],[StudID]],tblStudents[StudID],tblStudents[PersonID]),tblPersons[PersonID],tblPersons[FirstName])</f>
        <v>Abraham</v>
      </c>
    </row>
    <row r="94" spans="2:14" hidden="1" x14ac:dyDescent="0.25">
      <c r="B94">
        <v>92</v>
      </c>
      <c r="C94" s="32">
        <v>43045.333333333336</v>
      </c>
      <c r="D94">
        <v>3</v>
      </c>
      <c r="E94">
        <v>12</v>
      </c>
      <c r="F94">
        <v>4</v>
      </c>
      <c r="G94">
        <v>3</v>
      </c>
      <c r="H94">
        <v>1</v>
      </c>
      <c r="J94" t="str">
        <f t="shared" si="1"/>
        <v>(NULL,"2017-11-06","3","12","4","3","1"),</v>
      </c>
      <c r="K94" t="str">
        <f>TextJoin(tblEnrolledStuds[[#This Row],[DateEnrolled]:[ScholasticStatusID]],"Value")</f>
        <v>"2017-11-06","3","12","4","3","1"</v>
      </c>
      <c r="L94">
        <f>LOOKUP(tblEnrolledStuds[[#This Row],[StudID]],tblStudents[StudID],tblStudents[PersonID])</f>
        <v>12</v>
      </c>
      <c r="M94" t="str">
        <f>LOOKUP(LOOKUP(tblEnrolledStuds[[#This Row],[StudID]],tblStudents[StudID],tblStudents[PersonID]),tblPersons[PersonID],tblPersons[LastName])</f>
        <v>Bonto</v>
      </c>
      <c r="N94" t="str">
        <f>LOOKUP(LOOKUP(tblEnrolledStuds[[#This Row],[StudID]],tblStudents[StudID],tblStudents[PersonID]),tblPersons[PersonID],tblPersons[FirstName])</f>
        <v>Marc Anthony</v>
      </c>
    </row>
    <row r="95" spans="2:14" hidden="1" x14ac:dyDescent="0.25">
      <c r="B95">
        <v>93</v>
      </c>
      <c r="C95" s="32">
        <v>43045.333333333336</v>
      </c>
      <c r="D95">
        <v>3</v>
      </c>
      <c r="E95">
        <v>16</v>
      </c>
      <c r="F95">
        <v>3</v>
      </c>
      <c r="G95">
        <v>3</v>
      </c>
      <c r="H95">
        <v>1</v>
      </c>
      <c r="J95" t="str">
        <f t="shared" si="1"/>
        <v>(NULL,"2017-11-06","3","16","3","3","1"),</v>
      </c>
      <c r="K95" t="str">
        <f>TextJoin(tblEnrolledStuds[[#This Row],[DateEnrolled]:[ScholasticStatusID]],"Value")</f>
        <v>"2017-11-06","3","16","3","3","1"</v>
      </c>
      <c r="L95">
        <f>LOOKUP(tblEnrolledStuds[[#This Row],[StudID]],tblStudents[StudID],tblStudents[PersonID])</f>
        <v>16</v>
      </c>
      <c r="M95" t="str">
        <f>LOOKUP(LOOKUP(tblEnrolledStuds[[#This Row],[StudID]],tblStudents[StudID],tblStudents[PersonID]),tblPersons[PersonID],tblPersons[LastName])</f>
        <v>Calsado</v>
      </c>
      <c r="N95" t="str">
        <f>LOOKUP(LOOKUP(tblEnrolledStuds[[#This Row],[StudID]],tblStudents[StudID],tblStudents[PersonID]),tblPersons[PersonID],tblPersons[FirstName])</f>
        <v>Kem Diobeth</v>
      </c>
    </row>
    <row r="96" spans="2:14" hidden="1" x14ac:dyDescent="0.25">
      <c r="B96">
        <v>94</v>
      </c>
      <c r="C96" s="32">
        <v>43045.333333333336</v>
      </c>
      <c r="D96">
        <v>3</v>
      </c>
      <c r="E96">
        <v>19</v>
      </c>
      <c r="F96">
        <v>3</v>
      </c>
      <c r="G96">
        <v>3</v>
      </c>
      <c r="H96">
        <v>1</v>
      </c>
      <c r="J96" t="str">
        <f t="shared" si="1"/>
        <v>(NULL,"2017-11-06","3","19","3","3","1"),</v>
      </c>
      <c r="K96" t="str">
        <f>TextJoin(tblEnrolledStuds[[#This Row],[DateEnrolled]:[ScholasticStatusID]],"Value")</f>
        <v>"2017-11-06","3","19","3","3","1"</v>
      </c>
      <c r="L96">
        <f>LOOKUP(tblEnrolledStuds[[#This Row],[StudID]],tblStudents[StudID],tblStudents[PersonID])</f>
        <v>19</v>
      </c>
      <c r="M96" t="str">
        <f>LOOKUP(LOOKUP(tblEnrolledStuds[[#This Row],[StudID]],tblStudents[StudID],tblStudents[PersonID]),tblPersons[PersonID],tblPersons[LastName])</f>
        <v>Chua</v>
      </c>
      <c r="N96" t="str">
        <f>LOOKUP(LOOKUP(tblEnrolledStuds[[#This Row],[StudID]],tblStudents[StudID],tblStudents[PersonID]),tblPersons[PersonID],tblPersons[FirstName])</f>
        <v>Alexander Jr.</v>
      </c>
    </row>
    <row r="97" spans="2:14" hidden="1" x14ac:dyDescent="0.25">
      <c r="B97">
        <v>95</v>
      </c>
      <c r="C97" s="32">
        <v>43045.333333333336</v>
      </c>
      <c r="D97">
        <v>3</v>
      </c>
      <c r="E97">
        <v>20</v>
      </c>
      <c r="F97">
        <v>4</v>
      </c>
      <c r="G97">
        <v>3</v>
      </c>
      <c r="H97">
        <v>1</v>
      </c>
      <c r="J97" t="str">
        <f t="shared" si="1"/>
        <v>(NULL,"2017-11-06","3","20","4","3","1"),</v>
      </c>
      <c r="K97" t="str">
        <f>TextJoin(tblEnrolledStuds[[#This Row],[DateEnrolled]:[ScholasticStatusID]],"Value")</f>
        <v>"2017-11-06","3","20","4","3","1"</v>
      </c>
      <c r="L97">
        <f>LOOKUP(tblEnrolledStuds[[#This Row],[StudID]],tblStudents[StudID],tblStudents[PersonID])</f>
        <v>20</v>
      </c>
      <c r="M97" t="str">
        <f>LOOKUP(LOOKUP(tblEnrolledStuds[[#This Row],[StudID]],tblStudents[StudID],tblStudents[PersonID]),tblPersons[PersonID],tblPersons[LastName])</f>
        <v>Coloma</v>
      </c>
      <c r="N97" t="str">
        <f>LOOKUP(LOOKUP(tblEnrolledStuds[[#This Row],[StudID]],tblStudents[StudID],tblStudents[PersonID]),tblPersons[PersonID],tblPersons[FirstName])</f>
        <v>Angelica</v>
      </c>
    </row>
    <row r="98" spans="2:14" hidden="1" x14ac:dyDescent="0.25">
      <c r="B98">
        <v>96</v>
      </c>
      <c r="C98" s="32">
        <v>43045.333333333336</v>
      </c>
      <c r="D98">
        <v>3</v>
      </c>
      <c r="E98">
        <v>32</v>
      </c>
      <c r="F98">
        <v>3</v>
      </c>
      <c r="G98">
        <v>3</v>
      </c>
      <c r="H98">
        <v>1</v>
      </c>
      <c r="J98" t="str">
        <f t="shared" si="1"/>
        <v>(NULL,"2017-11-06","3","32","3","3","1"),</v>
      </c>
      <c r="K98" t="str">
        <f>TextJoin(tblEnrolledStuds[[#This Row],[DateEnrolled]:[ScholasticStatusID]],"Value")</f>
        <v>"2017-11-06","3","32","3","3","1"</v>
      </c>
      <c r="L98">
        <f>LOOKUP(tblEnrolledStuds[[#This Row],[StudID]],tblStudents[StudID],tblStudents[PersonID])</f>
        <v>32</v>
      </c>
      <c r="M98" t="str">
        <f>LOOKUP(LOOKUP(tblEnrolledStuds[[#This Row],[StudID]],tblStudents[StudID],tblStudents[PersonID]),tblPersons[PersonID],tblPersons[LastName])</f>
        <v>Hibi</v>
      </c>
      <c r="N98" t="str">
        <f>LOOKUP(LOOKUP(tblEnrolledStuds[[#This Row],[StudID]],tblStudents[StudID],tblStudents[PersonID]),tblPersons[PersonID],tblPersons[FirstName])</f>
        <v>Keisom</v>
      </c>
    </row>
    <row r="99" spans="2:14" hidden="1" x14ac:dyDescent="0.25">
      <c r="B99">
        <v>97</v>
      </c>
      <c r="C99" s="32">
        <v>43045.333333333336</v>
      </c>
      <c r="D99">
        <v>3</v>
      </c>
      <c r="E99">
        <v>35</v>
      </c>
      <c r="F99">
        <v>3</v>
      </c>
      <c r="G99">
        <v>3</v>
      </c>
      <c r="H99">
        <v>1</v>
      </c>
      <c r="J99" t="str">
        <f t="shared" si="1"/>
        <v>(NULL,"2017-11-06","3","35","3","3","1"),</v>
      </c>
      <c r="K99" t="str">
        <f>TextJoin(tblEnrolledStuds[[#This Row],[DateEnrolled]:[ScholasticStatusID]],"Value")</f>
        <v>"2017-11-06","3","35","3","3","1"</v>
      </c>
      <c r="L99">
        <f>LOOKUP(tblEnrolledStuds[[#This Row],[StudID]],tblStudents[StudID],tblStudents[PersonID])</f>
        <v>35</v>
      </c>
      <c r="M99" t="str">
        <f>LOOKUP(LOOKUP(tblEnrolledStuds[[#This Row],[StudID]],tblStudents[StudID],tblStudents[PersonID]),tblPersons[PersonID],tblPersons[LastName])</f>
        <v>Latayan</v>
      </c>
      <c r="N99" t="str">
        <f>LOOKUP(LOOKUP(tblEnrolledStuds[[#This Row],[StudID]],tblStudents[StudID],tblStudents[PersonID]),tblPersons[PersonID],tblPersons[FirstName])</f>
        <v>Regina Shane</v>
      </c>
    </row>
    <row r="100" spans="2:14" hidden="1" x14ac:dyDescent="0.25">
      <c r="B100">
        <v>98</v>
      </c>
      <c r="C100" s="32">
        <v>43045.333333333336</v>
      </c>
      <c r="D100">
        <v>3</v>
      </c>
      <c r="E100">
        <v>37</v>
      </c>
      <c r="F100">
        <v>4</v>
      </c>
      <c r="G100">
        <v>3</v>
      </c>
      <c r="H100">
        <v>1</v>
      </c>
      <c r="J100" t="str">
        <f t="shared" si="1"/>
        <v>(NULL,"2017-11-06","3","37","4","3","1"),</v>
      </c>
      <c r="K100" t="str">
        <f>TextJoin(tblEnrolledStuds[[#This Row],[DateEnrolled]:[ScholasticStatusID]],"Value")</f>
        <v>"2017-11-06","3","37","4","3","1"</v>
      </c>
      <c r="L100">
        <f>LOOKUP(tblEnrolledStuds[[#This Row],[StudID]],tblStudents[StudID],tblStudents[PersonID])</f>
        <v>37</v>
      </c>
      <c r="M100" t="str">
        <f>LOOKUP(LOOKUP(tblEnrolledStuds[[#This Row],[StudID]],tblStudents[StudID],tblStudents[PersonID]),tblPersons[PersonID],tblPersons[LastName])</f>
        <v>Manalili</v>
      </c>
      <c r="N100" t="str">
        <f>LOOKUP(LOOKUP(tblEnrolledStuds[[#This Row],[StudID]],tblStudents[StudID],tblStudents[PersonID]),tblPersons[PersonID],tblPersons[FirstName])</f>
        <v>AJ</v>
      </c>
    </row>
    <row r="101" spans="2:14" hidden="1" x14ac:dyDescent="0.25">
      <c r="B101">
        <v>99</v>
      </c>
      <c r="C101" s="32">
        <v>43045.333333333336</v>
      </c>
      <c r="D101">
        <v>3</v>
      </c>
      <c r="E101">
        <v>40</v>
      </c>
      <c r="F101">
        <v>3</v>
      </c>
      <c r="G101">
        <v>3</v>
      </c>
      <c r="H101">
        <v>1</v>
      </c>
      <c r="J101" t="str">
        <f t="shared" si="1"/>
        <v>(NULL,"2017-11-06","3","40","3","3","1"),</v>
      </c>
      <c r="K101" t="str">
        <f>TextJoin(tblEnrolledStuds[[#This Row],[DateEnrolled]:[ScholasticStatusID]],"Value")</f>
        <v>"2017-11-06","3","40","3","3","1"</v>
      </c>
      <c r="L101">
        <f>LOOKUP(tblEnrolledStuds[[#This Row],[StudID]],tblStudents[StudID],tblStudents[PersonID])</f>
        <v>40</v>
      </c>
      <c r="M101" t="str">
        <f>LOOKUP(LOOKUP(tblEnrolledStuds[[#This Row],[StudID]],tblStudents[StudID],tblStudents[PersonID]),tblPersons[PersonID],tblPersons[LastName])</f>
        <v>Mendoza</v>
      </c>
      <c r="N101" t="str">
        <f>LOOKUP(LOOKUP(tblEnrolledStuds[[#This Row],[StudID]],tblStudents[StudID],tblStudents[PersonID]),tblPersons[PersonID],tblPersons[FirstName])</f>
        <v>Kyla Louisse</v>
      </c>
    </row>
    <row r="102" spans="2:14" hidden="1" x14ac:dyDescent="0.25">
      <c r="B102">
        <v>100</v>
      </c>
      <c r="C102" s="32">
        <v>43045.333333333336</v>
      </c>
      <c r="D102">
        <v>3</v>
      </c>
      <c r="E102">
        <v>47</v>
      </c>
      <c r="F102">
        <v>4</v>
      </c>
      <c r="G102">
        <v>3</v>
      </c>
      <c r="H102">
        <v>1</v>
      </c>
      <c r="J102" t="str">
        <f t="shared" si="1"/>
        <v>(NULL,"2017-11-06","3","47","4","3","1"),</v>
      </c>
      <c r="K102" t="str">
        <f>TextJoin(tblEnrolledStuds[[#This Row],[DateEnrolled]:[ScholasticStatusID]],"Value")</f>
        <v>"2017-11-06","3","47","4","3","1"</v>
      </c>
      <c r="L102">
        <f>LOOKUP(tblEnrolledStuds[[#This Row],[StudID]],tblStudents[StudID],tblStudents[PersonID])</f>
        <v>47</v>
      </c>
      <c r="M102" t="str">
        <f>LOOKUP(LOOKUP(tblEnrolledStuds[[#This Row],[StudID]],tblStudents[StudID],tblStudents[PersonID]),tblPersons[PersonID],tblPersons[LastName])</f>
        <v>Ornos</v>
      </c>
      <c r="N102" t="str">
        <f>LOOKUP(LOOKUP(tblEnrolledStuds[[#This Row],[StudID]],tblStudents[StudID],tblStudents[PersonID]),tblPersons[PersonID],tblPersons[FirstName])</f>
        <v>Dondon</v>
      </c>
    </row>
    <row r="103" spans="2:14" hidden="1" x14ac:dyDescent="0.25">
      <c r="B103">
        <v>101</v>
      </c>
      <c r="C103" s="32">
        <v>43045.333333333336</v>
      </c>
      <c r="D103">
        <v>3</v>
      </c>
      <c r="E103">
        <v>51</v>
      </c>
      <c r="F103">
        <v>3</v>
      </c>
      <c r="G103">
        <v>3</v>
      </c>
      <c r="H103">
        <v>1</v>
      </c>
      <c r="J103" t="str">
        <f t="shared" si="1"/>
        <v>(NULL,"2017-11-06","3","51","3","3","1"),</v>
      </c>
      <c r="K103" t="str">
        <f>TextJoin(tblEnrolledStuds[[#This Row],[DateEnrolled]:[ScholasticStatusID]],"Value")</f>
        <v>"2017-11-06","3","51","3","3","1"</v>
      </c>
      <c r="L103">
        <f>LOOKUP(tblEnrolledStuds[[#This Row],[StudID]],tblStudents[StudID],tblStudents[PersonID])</f>
        <v>51</v>
      </c>
      <c r="M103" t="str">
        <f>LOOKUP(LOOKUP(tblEnrolledStuds[[#This Row],[StudID]],tblStudents[StudID],tblStudents[PersonID]),tblPersons[PersonID],tblPersons[LastName])</f>
        <v>Peña</v>
      </c>
      <c r="N103" t="str">
        <f>LOOKUP(LOOKUP(tblEnrolledStuds[[#This Row],[StudID]],tblStudents[StudID],tblStudents[PersonID]),tblPersons[PersonID],tblPersons[FirstName])</f>
        <v>Nathaniel</v>
      </c>
    </row>
    <row r="104" spans="2:14" hidden="1" x14ac:dyDescent="0.25">
      <c r="B104">
        <v>102</v>
      </c>
      <c r="C104" s="32">
        <v>43045.333333333336</v>
      </c>
      <c r="D104">
        <v>3</v>
      </c>
      <c r="E104">
        <v>54</v>
      </c>
      <c r="F104">
        <v>3</v>
      </c>
      <c r="G104">
        <v>3</v>
      </c>
      <c r="H104">
        <v>1</v>
      </c>
      <c r="J104" t="str">
        <f t="shared" si="1"/>
        <v>(NULL,"2017-11-06","3","54","3","3","1"),</v>
      </c>
      <c r="K104" t="str">
        <f>TextJoin(tblEnrolledStuds[[#This Row],[DateEnrolled]:[ScholasticStatusID]],"Value")</f>
        <v>"2017-11-06","3","54","3","3","1"</v>
      </c>
      <c r="L104">
        <f>LOOKUP(tblEnrolledStuds[[#This Row],[StudID]],tblStudents[StudID],tblStudents[PersonID])</f>
        <v>54</v>
      </c>
      <c r="M104" t="str">
        <f>LOOKUP(LOOKUP(tblEnrolledStuds[[#This Row],[StudID]],tblStudents[StudID],tblStudents[PersonID]),tblPersons[PersonID],tblPersons[LastName])</f>
        <v>Quiachon</v>
      </c>
      <c r="N104" t="str">
        <f>LOOKUP(LOOKUP(tblEnrolledStuds[[#This Row],[StudID]],tblStudents[StudID],tblStudents[PersonID]),tblPersons[PersonID],tblPersons[FirstName])</f>
        <v>Willard</v>
      </c>
    </row>
    <row r="105" spans="2:14" hidden="1" x14ac:dyDescent="0.25">
      <c r="B105">
        <v>103</v>
      </c>
      <c r="C105" s="32">
        <v>43045.333333333336</v>
      </c>
      <c r="D105">
        <v>3</v>
      </c>
      <c r="E105">
        <v>67</v>
      </c>
      <c r="F105">
        <v>4</v>
      </c>
      <c r="G105">
        <v>2</v>
      </c>
      <c r="H105">
        <v>1</v>
      </c>
      <c r="J105" t="str">
        <f t="shared" si="1"/>
        <v>(NULL,"2017-11-06","3","67","4","2","1"),</v>
      </c>
      <c r="K105" t="str">
        <f>TextJoin(tblEnrolledStuds[[#This Row],[DateEnrolled]:[ScholasticStatusID]],"Value")</f>
        <v>"2017-11-06","3","67","4","2","1"</v>
      </c>
      <c r="L105">
        <f>LOOKUP(tblEnrolledStuds[[#This Row],[StudID]],tblStudents[StudID],tblStudents[PersonID])</f>
        <v>67</v>
      </c>
      <c r="M105" t="str">
        <f>LOOKUP(LOOKUP(tblEnrolledStuds[[#This Row],[StudID]],tblStudents[StudID],tblStudents[PersonID]),tblPersons[PersonID],tblPersons[LastName])</f>
        <v>Tigno</v>
      </c>
      <c r="N105" t="str">
        <f>LOOKUP(LOOKUP(tblEnrolledStuds[[#This Row],[StudID]],tblStudents[StudID],tblStudents[PersonID]),tblPersons[PersonID],tblPersons[FirstName])</f>
        <v>Joshua</v>
      </c>
    </row>
    <row r="106" spans="2:14" hidden="1" x14ac:dyDescent="0.25">
      <c r="B106">
        <v>104</v>
      </c>
      <c r="C106" s="32">
        <v>43045.333333333336</v>
      </c>
      <c r="D106">
        <v>3</v>
      </c>
      <c r="E106">
        <v>70</v>
      </c>
      <c r="F106">
        <v>4</v>
      </c>
      <c r="G106">
        <v>3</v>
      </c>
      <c r="H106">
        <v>1</v>
      </c>
      <c r="J106" t="str">
        <f t="shared" si="1"/>
        <v>(NULL,"2017-11-06","3","70","4","3","1"),</v>
      </c>
      <c r="K106" t="str">
        <f>TextJoin(tblEnrolledStuds[[#This Row],[DateEnrolled]:[ScholasticStatusID]],"Value")</f>
        <v>"2017-11-06","3","70","4","3","1"</v>
      </c>
      <c r="L106">
        <f>LOOKUP(tblEnrolledStuds[[#This Row],[StudID]],tblStudents[StudID],tblStudents[PersonID])</f>
        <v>70</v>
      </c>
      <c r="M106" t="str">
        <f>LOOKUP(LOOKUP(tblEnrolledStuds[[#This Row],[StudID]],tblStudents[StudID],tblStudents[PersonID]),tblPersons[PersonID],tblPersons[LastName])</f>
        <v>Yolola</v>
      </c>
      <c r="N106" t="str">
        <f>LOOKUP(LOOKUP(tblEnrolledStuds[[#This Row],[StudID]],tblStudents[StudID],tblStudents[PersonID]),tblPersons[PersonID],tblPersons[FirstName])</f>
        <v>Kenneth Arvin</v>
      </c>
    </row>
    <row r="107" spans="2:14" hidden="1" x14ac:dyDescent="0.25">
      <c r="B107">
        <v>105</v>
      </c>
      <c r="C107" s="32">
        <v>42899.333333333336</v>
      </c>
      <c r="D107">
        <v>3</v>
      </c>
      <c r="E107">
        <v>71</v>
      </c>
      <c r="F107">
        <v>4</v>
      </c>
      <c r="G107">
        <v>3</v>
      </c>
      <c r="H107">
        <v>1</v>
      </c>
      <c r="J107" t="str">
        <f t="shared" si="1"/>
        <v>(NULL,"2017-06-13","3","71","4","3","1"),</v>
      </c>
      <c r="K107" t="str">
        <f>TextJoin(tblEnrolledStuds[[#This Row],[DateEnrolled]:[ScholasticStatusID]],"Value")</f>
        <v>"2017-06-13","3","71","4","3","1"</v>
      </c>
      <c r="L107">
        <f>LOOKUP(tblEnrolledStuds[[#This Row],[StudID]],tblStudents[StudID],tblStudents[PersonID])</f>
        <v>71</v>
      </c>
      <c r="M107" t="str">
        <f>LOOKUP(LOOKUP(tblEnrolledStuds[[#This Row],[StudID]],tblStudents[StudID],tblStudents[PersonID]),tblPersons[PersonID],tblPersons[LastName])</f>
        <v>Zapata</v>
      </c>
      <c r="N107" t="str">
        <f>LOOKUP(LOOKUP(tblEnrolledStuds[[#This Row],[StudID]],tblStudents[StudID],tblStudents[PersonID]),tblPersons[PersonID],tblPersons[FirstName])</f>
        <v>Jerom</v>
      </c>
    </row>
    <row r="108" spans="2:14" hidden="1" x14ac:dyDescent="0.25">
      <c r="B108">
        <v>106</v>
      </c>
      <c r="C108" s="32">
        <v>42899.333333333336</v>
      </c>
      <c r="D108">
        <v>4</v>
      </c>
      <c r="E108">
        <v>1</v>
      </c>
      <c r="F108">
        <v>3</v>
      </c>
      <c r="G108">
        <v>3</v>
      </c>
      <c r="H108">
        <v>1</v>
      </c>
      <c r="J108" t="str">
        <f t="shared" si="1"/>
        <v>(NULL,"2017-06-13","4","1","3","3","1"),</v>
      </c>
      <c r="K108" t="str">
        <f>TextJoin(tblEnrolledStuds[[#This Row],[DateEnrolled]:[ScholasticStatusID]],"Value")</f>
        <v>"2017-06-13","4","1","3","3","1"</v>
      </c>
      <c r="L108">
        <f>LOOKUP(tblEnrolledStuds[[#This Row],[StudID]],tblStudents[StudID],tblStudents[PersonID])</f>
        <v>1</v>
      </c>
      <c r="M108" t="str">
        <f>LOOKUP(LOOKUP(tblEnrolledStuds[[#This Row],[StudID]],tblStudents[StudID],tblStudents[PersonID]),tblPersons[PersonID],tblPersons[LastName])</f>
        <v>Abejo</v>
      </c>
      <c r="N108" t="str">
        <f>LOOKUP(LOOKUP(tblEnrolledStuds[[#This Row],[StudID]],tblStudents[StudID],tblStudents[PersonID]),tblPersons[PersonID],tblPersons[FirstName])</f>
        <v>Jay-R</v>
      </c>
    </row>
    <row r="109" spans="2:14" hidden="1" x14ac:dyDescent="0.25">
      <c r="B109">
        <v>107</v>
      </c>
      <c r="C109" s="32">
        <v>42899.333333333336</v>
      </c>
      <c r="D109">
        <v>4</v>
      </c>
      <c r="E109">
        <v>3</v>
      </c>
      <c r="F109">
        <v>3</v>
      </c>
      <c r="G109">
        <v>3</v>
      </c>
      <c r="H109">
        <v>1</v>
      </c>
      <c r="J109" t="str">
        <f t="shared" si="1"/>
        <v>(NULL,"2017-06-13","4","3","3","3","1"),</v>
      </c>
      <c r="K109" t="str">
        <f>TextJoin(tblEnrolledStuds[[#This Row],[DateEnrolled]:[ScholasticStatusID]],"Value")</f>
        <v>"2017-06-13","4","3","3","3","1"</v>
      </c>
      <c r="L109">
        <f>LOOKUP(tblEnrolledStuds[[#This Row],[StudID]],tblStudents[StudID],tblStudents[PersonID])</f>
        <v>3</v>
      </c>
      <c r="M109" t="str">
        <f>LOOKUP(LOOKUP(tblEnrolledStuds[[#This Row],[StudID]],tblStudents[StudID],tblStudents[PersonID]),tblPersons[PersonID],tblPersons[LastName])</f>
        <v>Aguilo</v>
      </c>
      <c r="N109" t="str">
        <f>LOOKUP(LOOKUP(tblEnrolledStuds[[#This Row],[StudID]],tblStudents[StudID],tblStudents[PersonID]),tblPersons[PersonID],tblPersons[FirstName])</f>
        <v>Christian Joy</v>
      </c>
    </row>
    <row r="110" spans="2:14" hidden="1" x14ac:dyDescent="0.25">
      <c r="B110">
        <v>108</v>
      </c>
      <c r="C110" s="32">
        <v>42899.333333333336</v>
      </c>
      <c r="D110">
        <v>4</v>
      </c>
      <c r="E110">
        <v>7</v>
      </c>
      <c r="F110">
        <v>3</v>
      </c>
      <c r="G110">
        <v>3</v>
      </c>
      <c r="H110">
        <v>1</v>
      </c>
      <c r="J110" t="str">
        <f t="shared" si="1"/>
        <v>(NULL,"2017-06-13","4","7","3","3","1"),</v>
      </c>
      <c r="K110" t="str">
        <f>TextJoin(tblEnrolledStuds[[#This Row],[DateEnrolled]:[ScholasticStatusID]],"Value")</f>
        <v>"2017-06-13","4","7","3","3","1"</v>
      </c>
      <c r="L110">
        <f>LOOKUP(tblEnrolledStuds[[#This Row],[StudID]],tblStudents[StudID],tblStudents[PersonID])</f>
        <v>7</v>
      </c>
      <c r="M110" t="str">
        <f>LOOKUP(LOOKUP(tblEnrolledStuds[[#This Row],[StudID]],tblStudents[StudID],tblStudents[PersonID]),tblPersons[PersonID],tblPersons[LastName])</f>
        <v>Apanay</v>
      </c>
      <c r="N110" t="str">
        <f>LOOKUP(LOOKUP(tblEnrolledStuds[[#This Row],[StudID]],tblStudents[StudID],tblStudents[PersonID]),tblPersons[PersonID],tblPersons[FirstName])</f>
        <v>Abraham</v>
      </c>
    </row>
    <row r="111" spans="2:14" hidden="1" x14ac:dyDescent="0.25">
      <c r="B111">
        <v>109</v>
      </c>
      <c r="C111" s="32">
        <v>42899.333333333336</v>
      </c>
      <c r="D111">
        <v>4</v>
      </c>
      <c r="E111">
        <v>12</v>
      </c>
      <c r="F111">
        <v>4</v>
      </c>
      <c r="G111">
        <v>3</v>
      </c>
      <c r="H111">
        <v>1</v>
      </c>
      <c r="J111" t="str">
        <f t="shared" si="1"/>
        <v>(NULL,"2017-06-13","4","12","4","3","1"),</v>
      </c>
      <c r="K111" t="str">
        <f>TextJoin(tblEnrolledStuds[[#This Row],[DateEnrolled]:[ScholasticStatusID]],"Value")</f>
        <v>"2017-06-13","4","12","4","3","1"</v>
      </c>
      <c r="L111">
        <f>LOOKUP(tblEnrolledStuds[[#This Row],[StudID]],tblStudents[StudID],tblStudents[PersonID])</f>
        <v>12</v>
      </c>
      <c r="M111" t="str">
        <f>LOOKUP(LOOKUP(tblEnrolledStuds[[#This Row],[StudID]],tblStudents[StudID],tblStudents[PersonID]),tblPersons[PersonID],tblPersons[LastName])</f>
        <v>Bonto</v>
      </c>
      <c r="N111" t="str">
        <f>LOOKUP(LOOKUP(tblEnrolledStuds[[#This Row],[StudID]],tblStudents[StudID],tblStudents[PersonID]),tblPersons[PersonID],tblPersons[FirstName])</f>
        <v>Marc Anthony</v>
      </c>
    </row>
    <row r="112" spans="2:14" hidden="1" x14ac:dyDescent="0.25">
      <c r="B112">
        <v>110</v>
      </c>
      <c r="C112" s="32">
        <v>42899.333333333336</v>
      </c>
      <c r="D112">
        <v>4</v>
      </c>
      <c r="E112">
        <v>16</v>
      </c>
      <c r="F112">
        <v>3</v>
      </c>
      <c r="G112">
        <v>3</v>
      </c>
      <c r="H112">
        <v>1</v>
      </c>
      <c r="J112" t="str">
        <f t="shared" si="1"/>
        <v>(NULL,"2017-06-13","4","16","3","3","1"),</v>
      </c>
      <c r="K112" t="str">
        <f>TextJoin(tblEnrolledStuds[[#This Row],[DateEnrolled]:[ScholasticStatusID]],"Value")</f>
        <v>"2017-06-13","4","16","3","3","1"</v>
      </c>
      <c r="L112">
        <f>LOOKUP(tblEnrolledStuds[[#This Row],[StudID]],tblStudents[StudID],tblStudents[PersonID])</f>
        <v>16</v>
      </c>
      <c r="M112" t="str">
        <f>LOOKUP(LOOKUP(tblEnrolledStuds[[#This Row],[StudID]],tblStudents[StudID],tblStudents[PersonID]),tblPersons[PersonID],tblPersons[LastName])</f>
        <v>Calsado</v>
      </c>
      <c r="N112" t="str">
        <f>LOOKUP(LOOKUP(tblEnrolledStuds[[#This Row],[StudID]],tblStudents[StudID],tblStudents[PersonID]),tblPersons[PersonID],tblPersons[FirstName])</f>
        <v>Kem Diobeth</v>
      </c>
    </row>
    <row r="113" spans="2:14" hidden="1" x14ac:dyDescent="0.25">
      <c r="B113">
        <v>111</v>
      </c>
      <c r="C113" s="32">
        <v>42899.333333333336</v>
      </c>
      <c r="D113">
        <v>4</v>
      </c>
      <c r="E113">
        <v>19</v>
      </c>
      <c r="F113">
        <v>3</v>
      </c>
      <c r="G113">
        <v>3</v>
      </c>
      <c r="H113">
        <v>1</v>
      </c>
      <c r="J113" t="str">
        <f t="shared" si="1"/>
        <v>(NULL,"2017-06-13","4","19","3","3","1"),</v>
      </c>
      <c r="K113" t="str">
        <f>TextJoin(tblEnrolledStuds[[#This Row],[DateEnrolled]:[ScholasticStatusID]],"Value")</f>
        <v>"2017-06-13","4","19","3","3","1"</v>
      </c>
      <c r="L113">
        <f>LOOKUP(tblEnrolledStuds[[#This Row],[StudID]],tblStudents[StudID],tblStudents[PersonID])</f>
        <v>19</v>
      </c>
      <c r="M113" t="str">
        <f>LOOKUP(LOOKUP(tblEnrolledStuds[[#This Row],[StudID]],tblStudents[StudID],tblStudents[PersonID]),tblPersons[PersonID],tblPersons[LastName])</f>
        <v>Chua</v>
      </c>
      <c r="N113" t="str">
        <f>LOOKUP(LOOKUP(tblEnrolledStuds[[#This Row],[StudID]],tblStudents[StudID],tblStudents[PersonID]),tblPersons[PersonID],tblPersons[FirstName])</f>
        <v>Alexander Jr.</v>
      </c>
    </row>
    <row r="114" spans="2:14" hidden="1" x14ac:dyDescent="0.25">
      <c r="B114">
        <v>112</v>
      </c>
      <c r="C114" s="32">
        <v>42899.333333333336</v>
      </c>
      <c r="D114">
        <v>4</v>
      </c>
      <c r="E114">
        <v>20</v>
      </c>
      <c r="F114">
        <v>4</v>
      </c>
      <c r="G114">
        <v>3</v>
      </c>
      <c r="H114">
        <v>1</v>
      </c>
      <c r="J114" t="str">
        <f t="shared" si="1"/>
        <v>(NULL,"2017-06-13","4","20","4","3","1"),</v>
      </c>
      <c r="K114" t="str">
        <f>TextJoin(tblEnrolledStuds[[#This Row],[DateEnrolled]:[ScholasticStatusID]],"Value")</f>
        <v>"2017-06-13","4","20","4","3","1"</v>
      </c>
      <c r="L114">
        <f>LOOKUP(tblEnrolledStuds[[#This Row],[StudID]],tblStudents[StudID],tblStudents[PersonID])</f>
        <v>20</v>
      </c>
      <c r="M114" t="str">
        <f>LOOKUP(LOOKUP(tblEnrolledStuds[[#This Row],[StudID]],tblStudents[StudID],tblStudents[PersonID]),tblPersons[PersonID],tblPersons[LastName])</f>
        <v>Coloma</v>
      </c>
      <c r="N114" t="str">
        <f>LOOKUP(LOOKUP(tblEnrolledStuds[[#This Row],[StudID]],tblStudents[StudID],tblStudents[PersonID]),tblPersons[PersonID],tblPersons[FirstName])</f>
        <v>Angelica</v>
      </c>
    </row>
    <row r="115" spans="2:14" hidden="1" x14ac:dyDescent="0.25">
      <c r="B115">
        <v>113</v>
      </c>
      <c r="C115" s="32">
        <v>42899.333333333336</v>
      </c>
      <c r="D115">
        <v>4</v>
      </c>
      <c r="E115">
        <v>32</v>
      </c>
      <c r="F115">
        <v>3</v>
      </c>
      <c r="G115">
        <v>3</v>
      </c>
      <c r="H115">
        <v>1</v>
      </c>
      <c r="J115" t="str">
        <f t="shared" si="1"/>
        <v>(NULL,"2017-06-13","4","32","3","3","1"),</v>
      </c>
      <c r="K115" t="str">
        <f>TextJoin(tblEnrolledStuds[[#This Row],[DateEnrolled]:[ScholasticStatusID]],"Value")</f>
        <v>"2017-06-13","4","32","3","3","1"</v>
      </c>
      <c r="L115">
        <f>LOOKUP(tblEnrolledStuds[[#This Row],[StudID]],tblStudents[StudID],tblStudents[PersonID])</f>
        <v>32</v>
      </c>
      <c r="M115" t="str">
        <f>LOOKUP(LOOKUP(tblEnrolledStuds[[#This Row],[StudID]],tblStudents[StudID],tblStudents[PersonID]),tblPersons[PersonID],tblPersons[LastName])</f>
        <v>Hibi</v>
      </c>
      <c r="N115" t="str">
        <f>LOOKUP(LOOKUP(tblEnrolledStuds[[#This Row],[StudID]],tblStudents[StudID],tblStudents[PersonID]),tblPersons[PersonID],tblPersons[FirstName])</f>
        <v>Keisom</v>
      </c>
    </row>
    <row r="116" spans="2:14" hidden="1" x14ac:dyDescent="0.25">
      <c r="B116">
        <v>114</v>
      </c>
      <c r="C116" s="32">
        <v>42899.333333333336</v>
      </c>
      <c r="D116">
        <v>4</v>
      </c>
      <c r="E116">
        <v>35</v>
      </c>
      <c r="F116">
        <v>3</v>
      </c>
      <c r="G116">
        <v>3</v>
      </c>
      <c r="H116">
        <v>1</v>
      </c>
      <c r="J116" t="str">
        <f t="shared" si="1"/>
        <v>(NULL,"2017-06-13","4","35","3","3","1"),</v>
      </c>
      <c r="K116" t="str">
        <f>TextJoin(tblEnrolledStuds[[#This Row],[DateEnrolled]:[ScholasticStatusID]],"Value")</f>
        <v>"2017-06-13","4","35","3","3","1"</v>
      </c>
      <c r="L116">
        <f>LOOKUP(tblEnrolledStuds[[#This Row],[StudID]],tblStudents[StudID],tblStudents[PersonID])</f>
        <v>35</v>
      </c>
      <c r="M116" t="str">
        <f>LOOKUP(LOOKUP(tblEnrolledStuds[[#This Row],[StudID]],tblStudents[StudID],tblStudents[PersonID]),tblPersons[PersonID],tblPersons[LastName])</f>
        <v>Latayan</v>
      </c>
      <c r="N116" t="str">
        <f>LOOKUP(LOOKUP(tblEnrolledStuds[[#This Row],[StudID]],tblStudents[StudID],tblStudents[PersonID]),tblPersons[PersonID],tblPersons[FirstName])</f>
        <v>Regina Shane</v>
      </c>
    </row>
    <row r="117" spans="2:14" hidden="1" x14ac:dyDescent="0.25">
      <c r="B117">
        <v>115</v>
      </c>
      <c r="C117" s="32">
        <v>42899.333333333336</v>
      </c>
      <c r="D117">
        <v>4</v>
      </c>
      <c r="E117">
        <v>37</v>
      </c>
      <c r="F117">
        <v>4</v>
      </c>
      <c r="G117">
        <v>3</v>
      </c>
      <c r="H117">
        <v>1</v>
      </c>
      <c r="J117" t="str">
        <f t="shared" si="1"/>
        <v>(NULL,"2017-06-13","4","37","4","3","1"),</v>
      </c>
      <c r="K117" t="str">
        <f>TextJoin(tblEnrolledStuds[[#This Row],[DateEnrolled]:[ScholasticStatusID]],"Value")</f>
        <v>"2017-06-13","4","37","4","3","1"</v>
      </c>
      <c r="L117">
        <f>LOOKUP(tblEnrolledStuds[[#This Row],[StudID]],tblStudents[StudID],tblStudents[PersonID])</f>
        <v>37</v>
      </c>
      <c r="M117" t="str">
        <f>LOOKUP(LOOKUP(tblEnrolledStuds[[#This Row],[StudID]],tblStudents[StudID],tblStudents[PersonID]),tblPersons[PersonID],tblPersons[LastName])</f>
        <v>Manalili</v>
      </c>
      <c r="N117" t="str">
        <f>LOOKUP(LOOKUP(tblEnrolledStuds[[#This Row],[StudID]],tblStudents[StudID],tblStudents[PersonID]),tblPersons[PersonID],tblPersons[FirstName])</f>
        <v>AJ</v>
      </c>
    </row>
    <row r="118" spans="2:14" hidden="1" x14ac:dyDescent="0.25">
      <c r="B118">
        <v>116</v>
      </c>
      <c r="C118" s="32">
        <v>42899.333333333336</v>
      </c>
      <c r="D118">
        <v>4</v>
      </c>
      <c r="E118">
        <v>40</v>
      </c>
      <c r="F118">
        <v>3</v>
      </c>
      <c r="G118">
        <v>3</v>
      </c>
      <c r="H118">
        <v>1</v>
      </c>
      <c r="J118" t="str">
        <f t="shared" si="1"/>
        <v>(NULL,"2017-06-13","4","40","3","3","1"),</v>
      </c>
      <c r="K118" t="str">
        <f>TextJoin(tblEnrolledStuds[[#This Row],[DateEnrolled]:[ScholasticStatusID]],"Value")</f>
        <v>"2017-06-13","4","40","3","3","1"</v>
      </c>
      <c r="L118">
        <f>LOOKUP(tblEnrolledStuds[[#This Row],[StudID]],tblStudents[StudID],tblStudents[PersonID])</f>
        <v>40</v>
      </c>
      <c r="M118" t="str">
        <f>LOOKUP(LOOKUP(tblEnrolledStuds[[#This Row],[StudID]],tblStudents[StudID],tblStudents[PersonID]),tblPersons[PersonID],tblPersons[LastName])</f>
        <v>Mendoza</v>
      </c>
      <c r="N118" t="str">
        <f>LOOKUP(LOOKUP(tblEnrolledStuds[[#This Row],[StudID]],tblStudents[StudID],tblStudents[PersonID]),tblPersons[PersonID],tblPersons[FirstName])</f>
        <v>Kyla Louisse</v>
      </c>
    </row>
    <row r="119" spans="2:14" hidden="1" x14ac:dyDescent="0.25">
      <c r="B119">
        <v>117</v>
      </c>
      <c r="C119" s="32">
        <v>42899.333333333336</v>
      </c>
      <c r="D119">
        <v>4</v>
      </c>
      <c r="E119">
        <v>47</v>
      </c>
      <c r="F119">
        <v>4</v>
      </c>
      <c r="G119">
        <v>3</v>
      </c>
      <c r="H119">
        <v>1</v>
      </c>
      <c r="J119" t="str">
        <f t="shared" si="1"/>
        <v>(NULL,"2017-06-13","4","47","4","3","1"),</v>
      </c>
      <c r="K119" t="str">
        <f>TextJoin(tblEnrolledStuds[[#This Row],[DateEnrolled]:[ScholasticStatusID]],"Value")</f>
        <v>"2017-06-13","4","47","4","3","1"</v>
      </c>
      <c r="L119">
        <f>LOOKUP(tblEnrolledStuds[[#This Row],[StudID]],tblStudents[StudID],tblStudents[PersonID])</f>
        <v>47</v>
      </c>
      <c r="M119" t="str">
        <f>LOOKUP(LOOKUP(tblEnrolledStuds[[#This Row],[StudID]],tblStudents[StudID],tblStudents[PersonID]),tblPersons[PersonID],tblPersons[LastName])</f>
        <v>Ornos</v>
      </c>
      <c r="N119" t="str">
        <f>LOOKUP(LOOKUP(tblEnrolledStuds[[#This Row],[StudID]],tblStudents[StudID],tblStudents[PersonID]),tblPersons[PersonID],tblPersons[FirstName])</f>
        <v>Dondon</v>
      </c>
    </row>
    <row r="120" spans="2:14" hidden="1" x14ac:dyDescent="0.25">
      <c r="B120">
        <v>118</v>
      </c>
      <c r="C120" s="32">
        <v>42899.333333333336</v>
      </c>
      <c r="D120">
        <v>4</v>
      </c>
      <c r="E120">
        <v>51</v>
      </c>
      <c r="F120">
        <v>3</v>
      </c>
      <c r="G120">
        <v>3</v>
      </c>
      <c r="H120">
        <v>1</v>
      </c>
      <c r="J120" t="str">
        <f t="shared" si="1"/>
        <v>(NULL,"2017-06-13","4","51","3","3","1"),</v>
      </c>
      <c r="K120" t="str">
        <f>TextJoin(tblEnrolledStuds[[#This Row],[DateEnrolled]:[ScholasticStatusID]],"Value")</f>
        <v>"2017-06-13","4","51","3","3","1"</v>
      </c>
      <c r="L120">
        <f>LOOKUP(tblEnrolledStuds[[#This Row],[StudID]],tblStudents[StudID],tblStudents[PersonID])</f>
        <v>51</v>
      </c>
      <c r="M120" t="str">
        <f>LOOKUP(LOOKUP(tblEnrolledStuds[[#This Row],[StudID]],tblStudents[StudID],tblStudents[PersonID]),tblPersons[PersonID],tblPersons[LastName])</f>
        <v>Peña</v>
      </c>
      <c r="N120" t="str">
        <f>LOOKUP(LOOKUP(tblEnrolledStuds[[#This Row],[StudID]],tblStudents[StudID],tblStudents[PersonID]),tblPersons[PersonID],tblPersons[FirstName])</f>
        <v>Nathaniel</v>
      </c>
    </row>
    <row r="121" spans="2:14" hidden="1" x14ac:dyDescent="0.25">
      <c r="B121">
        <v>119</v>
      </c>
      <c r="C121" s="32">
        <v>42899.333333333336</v>
      </c>
      <c r="D121">
        <v>4</v>
      </c>
      <c r="E121">
        <v>54</v>
      </c>
      <c r="F121">
        <v>3</v>
      </c>
      <c r="G121">
        <v>3</v>
      </c>
      <c r="H121">
        <v>1</v>
      </c>
      <c r="J121" t="str">
        <f t="shared" si="1"/>
        <v>(NULL,"2017-06-13","4","54","3","3","1"),</v>
      </c>
      <c r="K121" t="str">
        <f>TextJoin(tblEnrolledStuds[[#This Row],[DateEnrolled]:[ScholasticStatusID]],"Value")</f>
        <v>"2017-06-13","4","54","3","3","1"</v>
      </c>
      <c r="L121">
        <f>LOOKUP(tblEnrolledStuds[[#This Row],[StudID]],tblStudents[StudID],tblStudents[PersonID])</f>
        <v>54</v>
      </c>
      <c r="M121" t="str">
        <f>LOOKUP(LOOKUP(tblEnrolledStuds[[#This Row],[StudID]],tblStudents[StudID],tblStudents[PersonID]),tblPersons[PersonID],tblPersons[LastName])</f>
        <v>Quiachon</v>
      </c>
      <c r="N121" t="str">
        <f>LOOKUP(LOOKUP(tblEnrolledStuds[[#This Row],[StudID]],tblStudents[StudID],tblStudents[PersonID]),tblPersons[PersonID],tblPersons[FirstName])</f>
        <v>Willard</v>
      </c>
    </row>
    <row r="122" spans="2:14" hidden="1" x14ac:dyDescent="0.25">
      <c r="B122">
        <v>120</v>
      </c>
      <c r="C122" s="32">
        <v>42899.333333333336</v>
      </c>
      <c r="D122">
        <v>4</v>
      </c>
      <c r="E122">
        <v>67</v>
      </c>
      <c r="F122">
        <v>4</v>
      </c>
      <c r="G122">
        <v>2</v>
      </c>
      <c r="H122">
        <v>1</v>
      </c>
      <c r="J122" t="str">
        <f t="shared" si="1"/>
        <v>(NULL,"2017-06-13","4","67","4","2","1"),</v>
      </c>
      <c r="K122" t="str">
        <f>TextJoin(tblEnrolledStuds[[#This Row],[DateEnrolled]:[ScholasticStatusID]],"Value")</f>
        <v>"2017-06-13","4","67","4","2","1"</v>
      </c>
      <c r="L122">
        <f>LOOKUP(tblEnrolledStuds[[#This Row],[StudID]],tblStudents[StudID],tblStudents[PersonID])</f>
        <v>67</v>
      </c>
      <c r="M122" t="str">
        <f>LOOKUP(LOOKUP(tblEnrolledStuds[[#This Row],[StudID]],tblStudents[StudID],tblStudents[PersonID]),tblPersons[PersonID],tblPersons[LastName])</f>
        <v>Tigno</v>
      </c>
      <c r="N122" t="str">
        <f>LOOKUP(LOOKUP(tblEnrolledStuds[[#This Row],[StudID]],tblStudents[StudID],tblStudents[PersonID]),tblPersons[PersonID],tblPersons[FirstName])</f>
        <v>Joshua</v>
      </c>
    </row>
    <row r="123" spans="2:14" hidden="1" x14ac:dyDescent="0.25">
      <c r="B123">
        <v>121</v>
      </c>
      <c r="C123" s="32">
        <v>42899.333333333336</v>
      </c>
      <c r="D123">
        <v>4</v>
      </c>
      <c r="E123">
        <v>70</v>
      </c>
      <c r="F123">
        <v>4</v>
      </c>
      <c r="G123">
        <v>3</v>
      </c>
      <c r="H123">
        <v>1</v>
      </c>
      <c r="J123" t="str">
        <f t="shared" si="1"/>
        <v>(NULL,"2017-06-13","4","70","4","3","1"),</v>
      </c>
      <c r="K123" t="str">
        <f>TextJoin(tblEnrolledStuds[[#This Row],[DateEnrolled]:[ScholasticStatusID]],"Value")</f>
        <v>"2017-06-13","4","70","4","3","1"</v>
      </c>
      <c r="L123">
        <f>LOOKUP(tblEnrolledStuds[[#This Row],[StudID]],tblStudents[StudID],tblStudents[PersonID])</f>
        <v>70</v>
      </c>
      <c r="M123" t="str">
        <f>LOOKUP(LOOKUP(tblEnrolledStuds[[#This Row],[StudID]],tblStudents[StudID],tblStudents[PersonID]),tblPersons[PersonID],tblPersons[LastName])</f>
        <v>Yolola</v>
      </c>
      <c r="N123" t="str">
        <f>LOOKUP(LOOKUP(tblEnrolledStuds[[#This Row],[StudID]],tblStudents[StudID],tblStudents[PersonID]),tblPersons[PersonID],tblPersons[FirstName])</f>
        <v>Kenneth Arvin</v>
      </c>
    </row>
    <row r="124" spans="2:14" hidden="1" x14ac:dyDescent="0.25">
      <c r="B124">
        <v>122</v>
      </c>
      <c r="C124" s="32">
        <v>42681.333333333336</v>
      </c>
      <c r="D124">
        <v>4</v>
      </c>
      <c r="E124">
        <v>71</v>
      </c>
      <c r="F124">
        <v>4</v>
      </c>
      <c r="G124">
        <v>3</v>
      </c>
      <c r="H124">
        <v>1</v>
      </c>
      <c r="J124" t="str">
        <f t="shared" si="1"/>
        <v>(NULL,"2016-11-07","4","71","4","3","1"),</v>
      </c>
      <c r="K124" t="str">
        <f>TextJoin(tblEnrolledStuds[[#This Row],[DateEnrolled]:[ScholasticStatusID]],"Value")</f>
        <v>"2016-11-07","4","71","4","3","1"</v>
      </c>
      <c r="L124">
        <f>LOOKUP(tblEnrolledStuds[[#This Row],[StudID]],tblStudents[StudID],tblStudents[PersonID])</f>
        <v>71</v>
      </c>
      <c r="M124" t="str">
        <f>LOOKUP(LOOKUP(tblEnrolledStuds[[#This Row],[StudID]],tblStudents[StudID],tblStudents[PersonID]),tblPersons[PersonID],tblPersons[LastName])</f>
        <v>Zapata</v>
      </c>
      <c r="N124" t="str">
        <f>LOOKUP(LOOKUP(tblEnrolledStuds[[#This Row],[StudID]],tblStudents[StudID],tblStudents[PersonID]),tblPersons[PersonID],tblPersons[FirstName])</f>
        <v>Jerom</v>
      </c>
    </row>
    <row r="125" spans="2:14" hidden="1" x14ac:dyDescent="0.25">
      <c r="B125">
        <v>123</v>
      </c>
      <c r="C125" s="32">
        <v>42681.333333333336</v>
      </c>
      <c r="D125">
        <v>5</v>
      </c>
      <c r="E125">
        <v>1</v>
      </c>
      <c r="F125">
        <v>2</v>
      </c>
      <c r="G125">
        <v>3</v>
      </c>
      <c r="H125">
        <v>1</v>
      </c>
      <c r="J125" t="str">
        <f t="shared" si="1"/>
        <v>(NULL,"2016-11-07","5","1","2","3","1"),</v>
      </c>
      <c r="K125" t="str">
        <f>TextJoin(tblEnrolledStuds[[#This Row],[DateEnrolled]:[ScholasticStatusID]],"Value")</f>
        <v>"2016-11-07","5","1","2","3","1"</v>
      </c>
      <c r="L125">
        <f>LOOKUP(tblEnrolledStuds[[#This Row],[StudID]],tblStudents[StudID],tblStudents[PersonID])</f>
        <v>1</v>
      </c>
      <c r="M125" t="str">
        <f>LOOKUP(LOOKUP(tblEnrolledStuds[[#This Row],[StudID]],tblStudents[StudID],tblStudents[PersonID]),tblPersons[PersonID],tblPersons[LastName])</f>
        <v>Abejo</v>
      </c>
      <c r="N125" t="str">
        <f>LOOKUP(LOOKUP(tblEnrolledStuds[[#This Row],[StudID]],tblStudents[StudID],tblStudents[PersonID]),tblPersons[PersonID],tblPersons[FirstName])</f>
        <v>Jay-R</v>
      </c>
    </row>
    <row r="126" spans="2:14" hidden="1" x14ac:dyDescent="0.25">
      <c r="B126">
        <v>124</v>
      </c>
      <c r="C126" s="32">
        <v>42681.333333333336</v>
      </c>
      <c r="D126">
        <v>5</v>
      </c>
      <c r="E126">
        <v>3</v>
      </c>
      <c r="F126">
        <v>2</v>
      </c>
      <c r="G126">
        <v>3</v>
      </c>
      <c r="H126">
        <v>1</v>
      </c>
      <c r="J126" t="str">
        <f t="shared" si="1"/>
        <v>(NULL,"2016-11-07","5","3","2","3","1"),</v>
      </c>
      <c r="K126" t="str">
        <f>TextJoin(tblEnrolledStuds[[#This Row],[DateEnrolled]:[ScholasticStatusID]],"Value")</f>
        <v>"2016-11-07","5","3","2","3","1"</v>
      </c>
      <c r="L126">
        <f>LOOKUP(tblEnrolledStuds[[#This Row],[StudID]],tblStudents[StudID],tblStudents[PersonID])</f>
        <v>3</v>
      </c>
      <c r="M126" t="str">
        <f>LOOKUP(LOOKUP(tblEnrolledStuds[[#This Row],[StudID]],tblStudents[StudID],tblStudents[PersonID]),tblPersons[PersonID],tblPersons[LastName])</f>
        <v>Aguilo</v>
      </c>
      <c r="N126" t="str">
        <f>LOOKUP(LOOKUP(tblEnrolledStuds[[#This Row],[StudID]],tblStudents[StudID],tblStudents[PersonID]),tblPersons[PersonID],tblPersons[FirstName])</f>
        <v>Christian Joy</v>
      </c>
    </row>
    <row r="127" spans="2:14" hidden="1" x14ac:dyDescent="0.25">
      <c r="B127">
        <v>125</v>
      </c>
      <c r="C127" s="32">
        <v>42681.333333333336</v>
      </c>
      <c r="D127">
        <v>5</v>
      </c>
      <c r="E127">
        <v>7</v>
      </c>
      <c r="F127">
        <v>2</v>
      </c>
      <c r="G127">
        <v>3</v>
      </c>
      <c r="H127">
        <v>1</v>
      </c>
      <c r="J127" t="str">
        <f t="shared" si="1"/>
        <v>(NULL,"2016-11-07","5","7","2","3","1"),</v>
      </c>
      <c r="K127" t="str">
        <f>TextJoin(tblEnrolledStuds[[#This Row],[DateEnrolled]:[ScholasticStatusID]],"Value")</f>
        <v>"2016-11-07","5","7","2","3","1"</v>
      </c>
      <c r="L127">
        <f>LOOKUP(tblEnrolledStuds[[#This Row],[StudID]],tblStudents[StudID],tblStudents[PersonID])</f>
        <v>7</v>
      </c>
      <c r="M127" t="str">
        <f>LOOKUP(LOOKUP(tblEnrolledStuds[[#This Row],[StudID]],tblStudents[StudID],tblStudents[PersonID]),tblPersons[PersonID],tblPersons[LastName])</f>
        <v>Apanay</v>
      </c>
      <c r="N127" t="str">
        <f>LOOKUP(LOOKUP(tblEnrolledStuds[[#This Row],[StudID]],tblStudents[StudID],tblStudents[PersonID]),tblPersons[PersonID],tblPersons[FirstName])</f>
        <v>Abraham</v>
      </c>
    </row>
    <row r="128" spans="2:14" hidden="1" x14ac:dyDescent="0.25">
      <c r="B128">
        <v>126</v>
      </c>
      <c r="C128" s="32">
        <v>42681.333333333336</v>
      </c>
      <c r="D128">
        <v>5</v>
      </c>
      <c r="E128">
        <v>12</v>
      </c>
      <c r="F128">
        <v>3</v>
      </c>
      <c r="G128">
        <v>3</v>
      </c>
      <c r="H128">
        <v>1</v>
      </c>
      <c r="J128" t="str">
        <f t="shared" si="1"/>
        <v>(NULL,"2016-11-07","5","12","3","3","1"),</v>
      </c>
      <c r="K128" t="str">
        <f>TextJoin(tblEnrolledStuds[[#This Row],[DateEnrolled]:[ScholasticStatusID]],"Value")</f>
        <v>"2016-11-07","5","12","3","3","1"</v>
      </c>
      <c r="L128">
        <f>LOOKUP(tblEnrolledStuds[[#This Row],[StudID]],tblStudents[StudID],tblStudents[PersonID])</f>
        <v>12</v>
      </c>
      <c r="M128" t="str">
        <f>LOOKUP(LOOKUP(tblEnrolledStuds[[#This Row],[StudID]],tblStudents[StudID],tblStudents[PersonID]),tblPersons[PersonID],tblPersons[LastName])</f>
        <v>Bonto</v>
      </c>
      <c r="N128" t="str">
        <f>LOOKUP(LOOKUP(tblEnrolledStuds[[#This Row],[StudID]],tblStudents[StudID],tblStudents[PersonID]),tblPersons[PersonID],tblPersons[FirstName])</f>
        <v>Marc Anthony</v>
      </c>
    </row>
    <row r="129" spans="2:14" hidden="1" x14ac:dyDescent="0.25">
      <c r="B129">
        <v>127</v>
      </c>
      <c r="C129" s="32">
        <v>42681.333333333336</v>
      </c>
      <c r="D129">
        <v>5</v>
      </c>
      <c r="E129">
        <v>16</v>
      </c>
      <c r="F129">
        <v>2</v>
      </c>
      <c r="G129">
        <v>3</v>
      </c>
      <c r="H129">
        <v>1</v>
      </c>
      <c r="J129" t="str">
        <f t="shared" si="1"/>
        <v>(NULL,"2016-11-07","5","16","2","3","1"),</v>
      </c>
      <c r="K129" t="str">
        <f>TextJoin(tblEnrolledStuds[[#This Row],[DateEnrolled]:[ScholasticStatusID]],"Value")</f>
        <v>"2016-11-07","5","16","2","3","1"</v>
      </c>
      <c r="L129">
        <f>LOOKUP(tblEnrolledStuds[[#This Row],[StudID]],tblStudents[StudID],tblStudents[PersonID])</f>
        <v>16</v>
      </c>
      <c r="M129" t="str">
        <f>LOOKUP(LOOKUP(tblEnrolledStuds[[#This Row],[StudID]],tblStudents[StudID],tblStudents[PersonID]),tblPersons[PersonID],tblPersons[LastName])</f>
        <v>Calsado</v>
      </c>
      <c r="N129" t="str">
        <f>LOOKUP(LOOKUP(tblEnrolledStuds[[#This Row],[StudID]],tblStudents[StudID],tblStudents[PersonID]),tblPersons[PersonID],tblPersons[FirstName])</f>
        <v>Kem Diobeth</v>
      </c>
    </row>
    <row r="130" spans="2:14" hidden="1" x14ac:dyDescent="0.25">
      <c r="B130">
        <v>128</v>
      </c>
      <c r="C130" s="32">
        <v>42681.333333333336</v>
      </c>
      <c r="D130">
        <v>5</v>
      </c>
      <c r="E130">
        <v>19</v>
      </c>
      <c r="F130">
        <v>2</v>
      </c>
      <c r="G130">
        <v>3</v>
      </c>
      <c r="H130">
        <v>1</v>
      </c>
      <c r="J130" t="str">
        <f t="shared" si="1"/>
        <v>(NULL,"2016-11-07","5","19","2","3","1"),</v>
      </c>
      <c r="K130" t="str">
        <f>TextJoin(tblEnrolledStuds[[#This Row],[DateEnrolled]:[ScholasticStatusID]],"Value")</f>
        <v>"2016-11-07","5","19","2","3","1"</v>
      </c>
      <c r="L130">
        <f>LOOKUP(tblEnrolledStuds[[#This Row],[StudID]],tblStudents[StudID],tblStudents[PersonID])</f>
        <v>19</v>
      </c>
      <c r="M130" t="str">
        <f>LOOKUP(LOOKUP(tblEnrolledStuds[[#This Row],[StudID]],tblStudents[StudID],tblStudents[PersonID]),tblPersons[PersonID],tblPersons[LastName])</f>
        <v>Chua</v>
      </c>
      <c r="N130" t="str">
        <f>LOOKUP(LOOKUP(tblEnrolledStuds[[#This Row],[StudID]],tblStudents[StudID],tblStudents[PersonID]),tblPersons[PersonID],tblPersons[FirstName])</f>
        <v>Alexander Jr.</v>
      </c>
    </row>
    <row r="131" spans="2:14" hidden="1" x14ac:dyDescent="0.25">
      <c r="B131">
        <v>129</v>
      </c>
      <c r="C131" s="32">
        <v>42681.333333333336</v>
      </c>
      <c r="D131">
        <v>5</v>
      </c>
      <c r="E131">
        <v>20</v>
      </c>
      <c r="F131">
        <v>3</v>
      </c>
      <c r="G131">
        <v>3</v>
      </c>
      <c r="H131">
        <v>1</v>
      </c>
      <c r="J131" t="str">
        <f t="shared" si="1"/>
        <v>(NULL,"2016-11-07","5","20","3","3","1"),</v>
      </c>
      <c r="K131" t="str">
        <f>TextJoin(tblEnrolledStuds[[#This Row],[DateEnrolled]:[ScholasticStatusID]],"Value")</f>
        <v>"2016-11-07","5","20","3","3","1"</v>
      </c>
      <c r="L131">
        <f>LOOKUP(tblEnrolledStuds[[#This Row],[StudID]],tblStudents[StudID],tblStudents[PersonID])</f>
        <v>20</v>
      </c>
      <c r="M131" t="str">
        <f>LOOKUP(LOOKUP(tblEnrolledStuds[[#This Row],[StudID]],tblStudents[StudID],tblStudents[PersonID]),tblPersons[PersonID],tblPersons[LastName])</f>
        <v>Coloma</v>
      </c>
      <c r="N131" t="str">
        <f>LOOKUP(LOOKUP(tblEnrolledStuds[[#This Row],[StudID]],tblStudents[StudID],tblStudents[PersonID]),tblPersons[PersonID],tblPersons[FirstName])</f>
        <v>Angelica</v>
      </c>
    </row>
    <row r="132" spans="2:14" hidden="1" x14ac:dyDescent="0.25">
      <c r="B132">
        <v>130</v>
      </c>
      <c r="C132" s="32">
        <v>42681.333333333336</v>
      </c>
      <c r="D132">
        <v>5</v>
      </c>
      <c r="E132">
        <v>32</v>
      </c>
      <c r="F132">
        <v>2</v>
      </c>
      <c r="G132">
        <v>3</v>
      </c>
      <c r="H132">
        <v>1</v>
      </c>
      <c r="J132" t="str">
        <f t="shared" ref="J132:J195" si="2">"(NULL,"&amp;K132&amp;")"&amp;IF(J133&lt;&gt;"",",",";")</f>
        <v>(NULL,"2016-11-07","5","32","2","3","1"),</v>
      </c>
      <c r="K132" t="str">
        <f>TextJoin(tblEnrolledStuds[[#This Row],[DateEnrolled]:[ScholasticStatusID]],"Value")</f>
        <v>"2016-11-07","5","32","2","3","1"</v>
      </c>
      <c r="L132">
        <f>LOOKUP(tblEnrolledStuds[[#This Row],[StudID]],tblStudents[StudID],tblStudents[PersonID])</f>
        <v>32</v>
      </c>
      <c r="M132" t="str">
        <f>LOOKUP(LOOKUP(tblEnrolledStuds[[#This Row],[StudID]],tblStudents[StudID],tblStudents[PersonID]),tblPersons[PersonID],tblPersons[LastName])</f>
        <v>Hibi</v>
      </c>
      <c r="N132" t="str">
        <f>LOOKUP(LOOKUP(tblEnrolledStuds[[#This Row],[StudID]],tblStudents[StudID],tblStudents[PersonID]),tblPersons[PersonID],tblPersons[FirstName])</f>
        <v>Keisom</v>
      </c>
    </row>
    <row r="133" spans="2:14" hidden="1" x14ac:dyDescent="0.25">
      <c r="B133">
        <v>131</v>
      </c>
      <c r="C133" s="32">
        <v>42681.333333333336</v>
      </c>
      <c r="D133">
        <v>5</v>
      </c>
      <c r="E133">
        <v>35</v>
      </c>
      <c r="F133">
        <v>2</v>
      </c>
      <c r="G133">
        <v>3</v>
      </c>
      <c r="H133">
        <v>1</v>
      </c>
      <c r="J133" t="str">
        <f t="shared" si="2"/>
        <v>(NULL,"2016-11-07","5","35","2","3","1"),</v>
      </c>
      <c r="K133" t="str">
        <f>TextJoin(tblEnrolledStuds[[#This Row],[DateEnrolled]:[ScholasticStatusID]],"Value")</f>
        <v>"2016-11-07","5","35","2","3","1"</v>
      </c>
      <c r="L133">
        <f>LOOKUP(tblEnrolledStuds[[#This Row],[StudID]],tblStudents[StudID],tblStudents[PersonID])</f>
        <v>35</v>
      </c>
      <c r="M133" t="str">
        <f>LOOKUP(LOOKUP(tblEnrolledStuds[[#This Row],[StudID]],tblStudents[StudID],tblStudents[PersonID]),tblPersons[PersonID],tblPersons[LastName])</f>
        <v>Latayan</v>
      </c>
      <c r="N133" t="str">
        <f>LOOKUP(LOOKUP(tblEnrolledStuds[[#This Row],[StudID]],tblStudents[StudID],tblStudents[PersonID]),tblPersons[PersonID],tblPersons[FirstName])</f>
        <v>Regina Shane</v>
      </c>
    </row>
    <row r="134" spans="2:14" hidden="1" x14ac:dyDescent="0.25">
      <c r="B134">
        <v>132</v>
      </c>
      <c r="C134" s="32">
        <v>42681.333333333336</v>
      </c>
      <c r="D134">
        <v>5</v>
      </c>
      <c r="E134">
        <v>37</v>
      </c>
      <c r="F134">
        <v>3</v>
      </c>
      <c r="G134">
        <v>3</v>
      </c>
      <c r="H134">
        <v>1</v>
      </c>
      <c r="J134" t="str">
        <f t="shared" si="2"/>
        <v>(NULL,"2016-11-07","5","37","3","3","1"),</v>
      </c>
      <c r="K134" t="str">
        <f>TextJoin(tblEnrolledStuds[[#This Row],[DateEnrolled]:[ScholasticStatusID]],"Value")</f>
        <v>"2016-11-07","5","37","3","3","1"</v>
      </c>
      <c r="L134">
        <f>LOOKUP(tblEnrolledStuds[[#This Row],[StudID]],tblStudents[StudID],tblStudents[PersonID])</f>
        <v>37</v>
      </c>
      <c r="M134" t="str">
        <f>LOOKUP(LOOKUP(tblEnrolledStuds[[#This Row],[StudID]],tblStudents[StudID],tblStudents[PersonID]),tblPersons[PersonID],tblPersons[LastName])</f>
        <v>Manalili</v>
      </c>
      <c r="N134" t="str">
        <f>LOOKUP(LOOKUP(tblEnrolledStuds[[#This Row],[StudID]],tblStudents[StudID],tblStudents[PersonID]),tblPersons[PersonID],tblPersons[FirstName])</f>
        <v>AJ</v>
      </c>
    </row>
    <row r="135" spans="2:14" hidden="1" x14ac:dyDescent="0.25">
      <c r="B135">
        <v>133</v>
      </c>
      <c r="C135" s="32">
        <v>42681.333333333336</v>
      </c>
      <c r="D135">
        <v>5</v>
      </c>
      <c r="E135">
        <v>40</v>
      </c>
      <c r="F135">
        <v>2</v>
      </c>
      <c r="G135">
        <v>3</v>
      </c>
      <c r="H135">
        <v>1</v>
      </c>
      <c r="J135" t="str">
        <f t="shared" si="2"/>
        <v>(NULL,"2016-11-07","5","40","2","3","1"),</v>
      </c>
      <c r="K135" t="str">
        <f>TextJoin(tblEnrolledStuds[[#This Row],[DateEnrolled]:[ScholasticStatusID]],"Value")</f>
        <v>"2016-11-07","5","40","2","3","1"</v>
      </c>
      <c r="L135">
        <f>LOOKUP(tblEnrolledStuds[[#This Row],[StudID]],tblStudents[StudID],tblStudents[PersonID])</f>
        <v>40</v>
      </c>
      <c r="M135" t="str">
        <f>LOOKUP(LOOKUP(tblEnrolledStuds[[#This Row],[StudID]],tblStudents[StudID],tblStudents[PersonID]),tblPersons[PersonID],tblPersons[LastName])</f>
        <v>Mendoza</v>
      </c>
      <c r="N135" t="str">
        <f>LOOKUP(LOOKUP(tblEnrolledStuds[[#This Row],[StudID]],tblStudents[StudID],tblStudents[PersonID]),tblPersons[PersonID],tblPersons[FirstName])</f>
        <v>Kyla Louisse</v>
      </c>
    </row>
    <row r="136" spans="2:14" hidden="1" x14ac:dyDescent="0.25">
      <c r="B136">
        <v>134</v>
      </c>
      <c r="C136" s="32">
        <v>42681.333333333336</v>
      </c>
      <c r="D136">
        <v>5</v>
      </c>
      <c r="E136">
        <v>47</v>
      </c>
      <c r="F136">
        <v>3</v>
      </c>
      <c r="G136">
        <v>3</v>
      </c>
      <c r="H136">
        <v>1</v>
      </c>
      <c r="J136" t="str">
        <f t="shared" si="2"/>
        <v>(NULL,"2016-11-07","5","47","3","3","1"),</v>
      </c>
      <c r="K136" t="str">
        <f>TextJoin(tblEnrolledStuds[[#This Row],[DateEnrolled]:[ScholasticStatusID]],"Value")</f>
        <v>"2016-11-07","5","47","3","3","1"</v>
      </c>
      <c r="L136">
        <f>LOOKUP(tblEnrolledStuds[[#This Row],[StudID]],tblStudents[StudID],tblStudents[PersonID])</f>
        <v>47</v>
      </c>
      <c r="M136" t="str">
        <f>LOOKUP(LOOKUP(tblEnrolledStuds[[#This Row],[StudID]],tblStudents[StudID],tblStudents[PersonID]),tblPersons[PersonID],tblPersons[LastName])</f>
        <v>Ornos</v>
      </c>
      <c r="N136" t="str">
        <f>LOOKUP(LOOKUP(tblEnrolledStuds[[#This Row],[StudID]],tblStudents[StudID],tblStudents[PersonID]),tblPersons[PersonID],tblPersons[FirstName])</f>
        <v>Dondon</v>
      </c>
    </row>
    <row r="137" spans="2:14" hidden="1" x14ac:dyDescent="0.25">
      <c r="B137">
        <v>135</v>
      </c>
      <c r="C137" s="32">
        <v>42681.333333333336</v>
      </c>
      <c r="D137">
        <v>5</v>
      </c>
      <c r="E137">
        <v>51</v>
      </c>
      <c r="F137">
        <v>2</v>
      </c>
      <c r="G137">
        <v>3</v>
      </c>
      <c r="H137">
        <v>1</v>
      </c>
      <c r="J137" t="str">
        <f t="shared" si="2"/>
        <v>(NULL,"2016-11-07","5","51","2","3","1"),</v>
      </c>
      <c r="K137" t="str">
        <f>TextJoin(tblEnrolledStuds[[#This Row],[DateEnrolled]:[ScholasticStatusID]],"Value")</f>
        <v>"2016-11-07","5","51","2","3","1"</v>
      </c>
      <c r="L137">
        <f>LOOKUP(tblEnrolledStuds[[#This Row],[StudID]],tblStudents[StudID],tblStudents[PersonID])</f>
        <v>51</v>
      </c>
      <c r="M137" t="str">
        <f>LOOKUP(LOOKUP(tblEnrolledStuds[[#This Row],[StudID]],tblStudents[StudID],tblStudents[PersonID]),tblPersons[PersonID],tblPersons[LastName])</f>
        <v>Peña</v>
      </c>
      <c r="N137" t="str">
        <f>LOOKUP(LOOKUP(tblEnrolledStuds[[#This Row],[StudID]],tblStudents[StudID],tblStudents[PersonID]),tblPersons[PersonID],tblPersons[FirstName])</f>
        <v>Nathaniel</v>
      </c>
    </row>
    <row r="138" spans="2:14" hidden="1" x14ac:dyDescent="0.25">
      <c r="B138">
        <v>136</v>
      </c>
      <c r="C138" s="32">
        <v>42681.333333333336</v>
      </c>
      <c r="D138">
        <v>5</v>
      </c>
      <c r="E138">
        <v>54</v>
      </c>
      <c r="F138">
        <v>2</v>
      </c>
      <c r="G138">
        <v>3</v>
      </c>
      <c r="H138">
        <v>1</v>
      </c>
      <c r="J138" t="str">
        <f t="shared" si="2"/>
        <v>(NULL,"2016-11-07","5","54","2","3","1"),</v>
      </c>
      <c r="K138" t="str">
        <f>TextJoin(tblEnrolledStuds[[#This Row],[DateEnrolled]:[ScholasticStatusID]],"Value")</f>
        <v>"2016-11-07","5","54","2","3","1"</v>
      </c>
      <c r="L138">
        <f>LOOKUP(tblEnrolledStuds[[#This Row],[StudID]],tblStudents[StudID],tblStudents[PersonID])</f>
        <v>54</v>
      </c>
      <c r="M138" t="str">
        <f>LOOKUP(LOOKUP(tblEnrolledStuds[[#This Row],[StudID]],tblStudents[StudID],tblStudents[PersonID]),tblPersons[PersonID],tblPersons[LastName])</f>
        <v>Quiachon</v>
      </c>
      <c r="N138" t="str">
        <f>LOOKUP(LOOKUP(tblEnrolledStuds[[#This Row],[StudID]],tblStudents[StudID],tblStudents[PersonID]),tblPersons[PersonID],tblPersons[FirstName])</f>
        <v>Willard</v>
      </c>
    </row>
    <row r="139" spans="2:14" hidden="1" x14ac:dyDescent="0.25">
      <c r="B139">
        <v>137</v>
      </c>
      <c r="C139" s="32">
        <v>42681.333333333336</v>
      </c>
      <c r="D139">
        <v>5</v>
      </c>
      <c r="E139">
        <v>67</v>
      </c>
      <c r="F139">
        <v>3</v>
      </c>
      <c r="G139">
        <v>2</v>
      </c>
      <c r="H139">
        <v>1</v>
      </c>
      <c r="J139" t="str">
        <f t="shared" si="2"/>
        <v>(NULL,"2016-11-07","5","67","3","2","1"),</v>
      </c>
      <c r="K139" t="str">
        <f>TextJoin(tblEnrolledStuds[[#This Row],[DateEnrolled]:[ScholasticStatusID]],"Value")</f>
        <v>"2016-11-07","5","67","3","2","1"</v>
      </c>
      <c r="L139">
        <f>LOOKUP(tblEnrolledStuds[[#This Row],[StudID]],tblStudents[StudID],tblStudents[PersonID])</f>
        <v>67</v>
      </c>
      <c r="M139" t="str">
        <f>LOOKUP(LOOKUP(tblEnrolledStuds[[#This Row],[StudID]],tblStudents[StudID],tblStudents[PersonID]),tblPersons[PersonID],tblPersons[LastName])</f>
        <v>Tigno</v>
      </c>
      <c r="N139" t="str">
        <f>LOOKUP(LOOKUP(tblEnrolledStuds[[#This Row],[StudID]],tblStudents[StudID],tblStudents[PersonID]),tblPersons[PersonID],tblPersons[FirstName])</f>
        <v>Joshua</v>
      </c>
    </row>
    <row r="140" spans="2:14" hidden="1" x14ac:dyDescent="0.25">
      <c r="B140">
        <v>138</v>
      </c>
      <c r="C140" s="32">
        <v>42681.333333333336</v>
      </c>
      <c r="D140">
        <v>5</v>
      </c>
      <c r="E140">
        <v>70</v>
      </c>
      <c r="F140">
        <v>3</v>
      </c>
      <c r="G140">
        <v>3</v>
      </c>
      <c r="H140">
        <v>1</v>
      </c>
      <c r="J140" t="str">
        <f t="shared" si="2"/>
        <v>(NULL,"2016-11-07","5","70","3","3","1"),</v>
      </c>
      <c r="K140" t="str">
        <f>TextJoin(tblEnrolledStuds[[#This Row],[DateEnrolled]:[ScholasticStatusID]],"Value")</f>
        <v>"2016-11-07","5","70","3","3","1"</v>
      </c>
      <c r="L140">
        <f>LOOKUP(tblEnrolledStuds[[#This Row],[StudID]],tblStudents[StudID],tblStudents[PersonID])</f>
        <v>70</v>
      </c>
      <c r="M140" t="str">
        <f>LOOKUP(LOOKUP(tblEnrolledStuds[[#This Row],[StudID]],tblStudents[StudID],tblStudents[PersonID]),tblPersons[PersonID],tblPersons[LastName])</f>
        <v>Yolola</v>
      </c>
      <c r="N140" t="str">
        <f>LOOKUP(LOOKUP(tblEnrolledStuds[[#This Row],[StudID]],tblStudents[StudID],tblStudents[PersonID]),tblPersons[PersonID],tblPersons[FirstName])</f>
        <v>Kenneth Arvin</v>
      </c>
    </row>
    <row r="141" spans="2:14" hidden="1" x14ac:dyDescent="0.25">
      <c r="B141">
        <v>139</v>
      </c>
      <c r="C141" s="32">
        <v>42527.333333333336</v>
      </c>
      <c r="D141">
        <v>5</v>
      </c>
      <c r="E141">
        <v>71</v>
      </c>
      <c r="F141">
        <v>3</v>
      </c>
      <c r="G141">
        <v>3</v>
      </c>
      <c r="H141">
        <v>1</v>
      </c>
      <c r="J141" t="str">
        <f t="shared" si="2"/>
        <v>(NULL,"2016-06-06","5","71","3","3","1"),</v>
      </c>
      <c r="K141" t="str">
        <f>TextJoin(tblEnrolledStuds[[#This Row],[DateEnrolled]:[ScholasticStatusID]],"Value")</f>
        <v>"2016-06-06","5","71","3","3","1"</v>
      </c>
      <c r="L141">
        <f>LOOKUP(tblEnrolledStuds[[#This Row],[StudID]],tblStudents[StudID],tblStudents[PersonID])</f>
        <v>71</v>
      </c>
      <c r="M141" t="str">
        <f>LOOKUP(LOOKUP(tblEnrolledStuds[[#This Row],[StudID]],tblStudents[StudID],tblStudents[PersonID]),tblPersons[PersonID],tblPersons[LastName])</f>
        <v>Zapata</v>
      </c>
      <c r="N141" t="str">
        <f>LOOKUP(LOOKUP(tblEnrolledStuds[[#This Row],[StudID]],tblStudents[StudID],tblStudents[PersonID]),tblPersons[PersonID],tblPersons[FirstName])</f>
        <v>Jerom</v>
      </c>
    </row>
    <row r="142" spans="2:14" hidden="1" x14ac:dyDescent="0.25">
      <c r="B142">
        <v>140</v>
      </c>
      <c r="C142" s="32">
        <v>42527.333333333336</v>
      </c>
      <c r="D142">
        <v>6</v>
      </c>
      <c r="E142">
        <v>1</v>
      </c>
      <c r="F142">
        <v>2</v>
      </c>
      <c r="G142">
        <v>2</v>
      </c>
      <c r="H142">
        <v>1</v>
      </c>
      <c r="J142" t="str">
        <f t="shared" si="2"/>
        <v>(NULL,"2016-06-06","6","1","2","2","1"),</v>
      </c>
      <c r="K142" t="str">
        <f>TextJoin(tblEnrolledStuds[[#This Row],[DateEnrolled]:[ScholasticStatusID]],"Value")</f>
        <v>"2016-06-06","6","1","2","2","1"</v>
      </c>
      <c r="L142">
        <f>LOOKUP(tblEnrolledStuds[[#This Row],[StudID]],tblStudents[StudID],tblStudents[PersonID])</f>
        <v>1</v>
      </c>
      <c r="M142" t="str">
        <f>LOOKUP(LOOKUP(tblEnrolledStuds[[#This Row],[StudID]],tblStudents[StudID],tblStudents[PersonID]),tblPersons[PersonID],tblPersons[LastName])</f>
        <v>Abejo</v>
      </c>
      <c r="N142" t="str">
        <f>LOOKUP(LOOKUP(tblEnrolledStuds[[#This Row],[StudID]],tblStudents[StudID],tblStudents[PersonID]),tblPersons[PersonID],tblPersons[FirstName])</f>
        <v>Jay-R</v>
      </c>
    </row>
    <row r="143" spans="2:14" hidden="1" x14ac:dyDescent="0.25">
      <c r="B143">
        <v>141</v>
      </c>
      <c r="C143" s="32">
        <v>42527.333333333336</v>
      </c>
      <c r="D143">
        <v>6</v>
      </c>
      <c r="E143">
        <v>3</v>
      </c>
      <c r="F143">
        <v>2</v>
      </c>
      <c r="G143">
        <v>3</v>
      </c>
      <c r="H143">
        <v>1</v>
      </c>
      <c r="J143" t="str">
        <f t="shared" si="2"/>
        <v>(NULL,"2016-06-06","6","3","2","3","1"),</v>
      </c>
      <c r="K143" t="str">
        <f>TextJoin(tblEnrolledStuds[[#This Row],[DateEnrolled]:[ScholasticStatusID]],"Value")</f>
        <v>"2016-06-06","6","3","2","3","1"</v>
      </c>
      <c r="L143">
        <f>LOOKUP(tblEnrolledStuds[[#This Row],[StudID]],tblStudents[StudID],tblStudents[PersonID])</f>
        <v>3</v>
      </c>
      <c r="M143" t="str">
        <f>LOOKUP(LOOKUP(tblEnrolledStuds[[#This Row],[StudID]],tblStudents[StudID],tblStudents[PersonID]),tblPersons[PersonID],tblPersons[LastName])</f>
        <v>Aguilo</v>
      </c>
      <c r="N143" t="str">
        <f>LOOKUP(LOOKUP(tblEnrolledStuds[[#This Row],[StudID]],tblStudents[StudID],tblStudents[PersonID]),tblPersons[PersonID],tblPersons[FirstName])</f>
        <v>Christian Joy</v>
      </c>
    </row>
    <row r="144" spans="2:14" hidden="1" x14ac:dyDescent="0.25">
      <c r="B144">
        <v>142</v>
      </c>
      <c r="C144" s="32">
        <v>42527.333333333336</v>
      </c>
      <c r="D144">
        <v>6</v>
      </c>
      <c r="E144">
        <v>7</v>
      </c>
      <c r="F144">
        <v>2</v>
      </c>
      <c r="G144">
        <v>3</v>
      </c>
      <c r="H144">
        <v>1</v>
      </c>
      <c r="J144" t="str">
        <f t="shared" si="2"/>
        <v>(NULL,"2016-06-06","6","7","2","3","1"),</v>
      </c>
      <c r="K144" t="str">
        <f>TextJoin(tblEnrolledStuds[[#This Row],[DateEnrolled]:[ScholasticStatusID]],"Value")</f>
        <v>"2016-06-06","6","7","2","3","1"</v>
      </c>
      <c r="L144">
        <f>LOOKUP(tblEnrolledStuds[[#This Row],[StudID]],tblStudents[StudID],tblStudents[PersonID])</f>
        <v>7</v>
      </c>
      <c r="M144" t="str">
        <f>LOOKUP(LOOKUP(tblEnrolledStuds[[#This Row],[StudID]],tblStudents[StudID],tblStudents[PersonID]),tblPersons[PersonID],tblPersons[LastName])</f>
        <v>Apanay</v>
      </c>
      <c r="N144" t="str">
        <f>LOOKUP(LOOKUP(tblEnrolledStuds[[#This Row],[StudID]],tblStudents[StudID],tblStudents[PersonID]),tblPersons[PersonID],tblPersons[FirstName])</f>
        <v>Abraham</v>
      </c>
    </row>
    <row r="145" spans="2:14" hidden="1" x14ac:dyDescent="0.25">
      <c r="B145">
        <v>143</v>
      </c>
      <c r="C145" s="32">
        <v>42527.333333333336</v>
      </c>
      <c r="D145">
        <v>6</v>
      </c>
      <c r="E145">
        <v>12</v>
      </c>
      <c r="F145">
        <v>3</v>
      </c>
      <c r="G145">
        <v>3</v>
      </c>
      <c r="H145">
        <v>1</v>
      </c>
      <c r="J145" t="str">
        <f t="shared" si="2"/>
        <v>(NULL,"2016-06-06","6","12","3","3","1"),</v>
      </c>
      <c r="K145" t="str">
        <f>TextJoin(tblEnrolledStuds[[#This Row],[DateEnrolled]:[ScholasticStatusID]],"Value")</f>
        <v>"2016-06-06","6","12","3","3","1"</v>
      </c>
      <c r="L145">
        <f>LOOKUP(tblEnrolledStuds[[#This Row],[StudID]],tblStudents[StudID],tblStudents[PersonID])</f>
        <v>12</v>
      </c>
      <c r="M145" t="str">
        <f>LOOKUP(LOOKUP(tblEnrolledStuds[[#This Row],[StudID]],tblStudents[StudID],tblStudents[PersonID]),tblPersons[PersonID],tblPersons[LastName])</f>
        <v>Bonto</v>
      </c>
      <c r="N145" t="str">
        <f>LOOKUP(LOOKUP(tblEnrolledStuds[[#This Row],[StudID]],tblStudents[StudID],tblStudents[PersonID]),tblPersons[PersonID],tblPersons[FirstName])</f>
        <v>Marc Anthony</v>
      </c>
    </row>
    <row r="146" spans="2:14" hidden="1" x14ac:dyDescent="0.25">
      <c r="B146">
        <v>144</v>
      </c>
      <c r="C146" s="32">
        <v>42527.333333333336</v>
      </c>
      <c r="D146">
        <v>6</v>
      </c>
      <c r="E146">
        <v>16</v>
      </c>
      <c r="F146">
        <v>2</v>
      </c>
      <c r="G146">
        <v>3</v>
      </c>
      <c r="H146">
        <v>1</v>
      </c>
      <c r="J146" t="str">
        <f t="shared" si="2"/>
        <v>(NULL,"2016-06-06","6","16","2","3","1"),</v>
      </c>
      <c r="K146" t="str">
        <f>TextJoin(tblEnrolledStuds[[#This Row],[DateEnrolled]:[ScholasticStatusID]],"Value")</f>
        <v>"2016-06-06","6","16","2","3","1"</v>
      </c>
      <c r="L146">
        <f>LOOKUP(tblEnrolledStuds[[#This Row],[StudID]],tblStudents[StudID],tblStudents[PersonID])</f>
        <v>16</v>
      </c>
      <c r="M146" t="str">
        <f>LOOKUP(LOOKUP(tblEnrolledStuds[[#This Row],[StudID]],tblStudents[StudID],tblStudents[PersonID]),tblPersons[PersonID],tblPersons[LastName])</f>
        <v>Calsado</v>
      </c>
      <c r="N146" t="str">
        <f>LOOKUP(LOOKUP(tblEnrolledStuds[[#This Row],[StudID]],tblStudents[StudID],tblStudents[PersonID]),tblPersons[PersonID],tblPersons[FirstName])</f>
        <v>Kem Diobeth</v>
      </c>
    </row>
    <row r="147" spans="2:14" hidden="1" x14ac:dyDescent="0.25">
      <c r="B147">
        <v>145</v>
      </c>
      <c r="C147" s="32">
        <v>42527.333333333336</v>
      </c>
      <c r="D147">
        <v>6</v>
      </c>
      <c r="E147">
        <v>19</v>
      </c>
      <c r="F147">
        <v>2</v>
      </c>
      <c r="G147">
        <v>3</v>
      </c>
      <c r="H147">
        <v>1</v>
      </c>
      <c r="J147" t="str">
        <f t="shared" si="2"/>
        <v>(NULL,"2016-06-06","6","19","2","3","1"),</v>
      </c>
      <c r="K147" t="str">
        <f>TextJoin(tblEnrolledStuds[[#This Row],[DateEnrolled]:[ScholasticStatusID]],"Value")</f>
        <v>"2016-06-06","6","19","2","3","1"</v>
      </c>
      <c r="L147">
        <f>LOOKUP(tblEnrolledStuds[[#This Row],[StudID]],tblStudents[StudID],tblStudents[PersonID])</f>
        <v>19</v>
      </c>
      <c r="M147" t="str">
        <f>LOOKUP(LOOKUP(tblEnrolledStuds[[#This Row],[StudID]],tblStudents[StudID],tblStudents[PersonID]),tblPersons[PersonID],tblPersons[LastName])</f>
        <v>Chua</v>
      </c>
      <c r="N147" t="str">
        <f>LOOKUP(LOOKUP(tblEnrolledStuds[[#This Row],[StudID]],tblStudents[StudID],tblStudents[PersonID]),tblPersons[PersonID],tblPersons[FirstName])</f>
        <v>Alexander Jr.</v>
      </c>
    </row>
    <row r="148" spans="2:14" hidden="1" x14ac:dyDescent="0.25">
      <c r="B148">
        <v>146</v>
      </c>
      <c r="C148" s="32">
        <v>42527.333333333336</v>
      </c>
      <c r="D148">
        <v>6</v>
      </c>
      <c r="E148">
        <v>20</v>
      </c>
      <c r="F148">
        <v>2</v>
      </c>
      <c r="G148">
        <v>3</v>
      </c>
      <c r="H148">
        <v>1</v>
      </c>
      <c r="J148" t="str">
        <f t="shared" si="2"/>
        <v>(NULL,"2016-06-06","6","20","2","3","1"),</v>
      </c>
      <c r="K148" t="str">
        <f>TextJoin(tblEnrolledStuds[[#This Row],[DateEnrolled]:[ScholasticStatusID]],"Value")</f>
        <v>"2016-06-06","6","20","2","3","1"</v>
      </c>
      <c r="L148">
        <f>LOOKUP(tblEnrolledStuds[[#This Row],[StudID]],tblStudents[StudID],tblStudents[PersonID])</f>
        <v>20</v>
      </c>
      <c r="M148" t="str">
        <f>LOOKUP(LOOKUP(tblEnrolledStuds[[#This Row],[StudID]],tblStudents[StudID],tblStudents[PersonID]),tblPersons[PersonID],tblPersons[LastName])</f>
        <v>Coloma</v>
      </c>
      <c r="N148" t="str">
        <f>LOOKUP(LOOKUP(tblEnrolledStuds[[#This Row],[StudID]],tblStudents[StudID],tblStudents[PersonID]),tblPersons[PersonID],tblPersons[FirstName])</f>
        <v>Angelica</v>
      </c>
    </row>
    <row r="149" spans="2:14" hidden="1" x14ac:dyDescent="0.25">
      <c r="B149">
        <v>147</v>
      </c>
      <c r="C149" s="32">
        <v>42527.333333333336</v>
      </c>
      <c r="D149">
        <v>6</v>
      </c>
      <c r="E149">
        <v>32</v>
      </c>
      <c r="F149">
        <v>2</v>
      </c>
      <c r="G149">
        <v>2</v>
      </c>
      <c r="H149">
        <v>1</v>
      </c>
      <c r="J149" t="str">
        <f t="shared" si="2"/>
        <v>(NULL,"2016-06-06","6","32","2","2","1"),</v>
      </c>
      <c r="K149" t="str">
        <f>TextJoin(tblEnrolledStuds[[#This Row],[DateEnrolled]:[ScholasticStatusID]],"Value")</f>
        <v>"2016-06-06","6","32","2","2","1"</v>
      </c>
      <c r="L149">
        <f>LOOKUP(tblEnrolledStuds[[#This Row],[StudID]],tblStudents[StudID],tblStudents[PersonID])</f>
        <v>32</v>
      </c>
      <c r="M149" t="str">
        <f>LOOKUP(LOOKUP(tblEnrolledStuds[[#This Row],[StudID]],tblStudents[StudID],tblStudents[PersonID]),tblPersons[PersonID],tblPersons[LastName])</f>
        <v>Hibi</v>
      </c>
      <c r="N149" t="str">
        <f>LOOKUP(LOOKUP(tblEnrolledStuds[[#This Row],[StudID]],tblStudents[StudID],tblStudents[PersonID]),tblPersons[PersonID],tblPersons[FirstName])</f>
        <v>Keisom</v>
      </c>
    </row>
    <row r="150" spans="2:14" hidden="1" x14ac:dyDescent="0.25">
      <c r="B150">
        <v>148</v>
      </c>
      <c r="C150" s="32">
        <v>42527.333333333336</v>
      </c>
      <c r="D150">
        <v>6</v>
      </c>
      <c r="E150">
        <v>35</v>
      </c>
      <c r="F150">
        <v>2</v>
      </c>
      <c r="G150">
        <v>2</v>
      </c>
      <c r="H150">
        <v>1</v>
      </c>
      <c r="J150" t="str">
        <f t="shared" si="2"/>
        <v>(NULL,"2016-06-06","6","35","2","2","1"),</v>
      </c>
      <c r="K150" t="str">
        <f>TextJoin(tblEnrolledStuds[[#This Row],[DateEnrolled]:[ScholasticStatusID]],"Value")</f>
        <v>"2016-06-06","6","35","2","2","1"</v>
      </c>
      <c r="L150">
        <f>LOOKUP(tblEnrolledStuds[[#This Row],[StudID]],tblStudents[StudID],tblStudents[PersonID])</f>
        <v>35</v>
      </c>
      <c r="M150" t="str">
        <f>LOOKUP(LOOKUP(tblEnrolledStuds[[#This Row],[StudID]],tblStudents[StudID],tblStudents[PersonID]),tblPersons[PersonID],tblPersons[LastName])</f>
        <v>Latayan</v>
      </c>
      <c r="N150" t="str">
        <f>LOOKUP(LOOKUP(tblEnrolledStuds[[#This Row],[StudID]],tblStudents[StudID],tblStudents[PersonID]),tblPersons[PersonID],tblPersons[FirstName])</f>
        <v>Regina Shane</v>
      </c>
    </row>
    <row r="151" spans="2:14" hidden="1" x14ac:dyDescent="0.25">
      <c r="B151">
        <v>149</v>
      </c>
      <c r="C151" s="32">
        <v>42527.333333333336</v>
      </c>
      <c r="D151">
        <v>6</v>
      </c>
      <c r="E151">
        <v>37</v>
      </c>
      <c r="F151">
        <v>3</v>
      </c>
      <c r="G151">
        <v>3</v>
      </c>
      <c r="H151">
        <v>1</v>
      </c>
      <c r="J151" t="str">
        <f t="shared" si="2"/>
        <v>(NULL,"2016-06-06","6","37","3","3","1"),</v>
      </c>
      <c r="K151" t="str">
        <f>TextJoin(tblEnrolledStuds[[#This Row],[DateEnrolled]:[ScholasticStatusID]],"Value")</f>
        <v>"2016-06-06","6","37","3","3","1"</v>
      </c>
      <c r="L151">
        <f>LOOKUP(tblEnrolledStuds[[#This Row],[StudID]],tblStudents[StudID],tblStudents[PersonID])</f>
        <v>37</v>
      </c>
      <c r="M151" t="str">
        <f>LOOKUP(LOOKUP(tblEnrolledStuds[[#This Row],[StudID]],tblStudents[StudID],tblStudents[PersonID]),tblPersons[PersonID],tblPersons[LastName])</f>
        <v>Manalili</v>
      </c>
      <c r="N151" t="str">
        <f>LOOKUP(LOOKUP(tblEnrolledStuds[[#This Row],[StudID]],tblStudents[StudID],tblStudents[PersonID]),tblPersons[PersonID],tblPersons[FirstName])</f>
        <v>AJ</v>
      </c>
    </row>
    <row r="152" spans="2:14" hidden="1" x14ac:dyDescent="0.25">
      <c r="B152">
        <v>150</v>
      </c>
      <c r="C152" s="32">
        <v>42527.333333333336</v>
      </c>
      <c r="D152">
        <v>6</v>
      </c>
      <c r="E152">
        <v>40</v>
      </c>
      <c r="F152">
        <v>2</v>
      </c>
      <c r="G152">
        <v>3</v>
      </c>
      <c r="H152">
        <v>1</v>
      </c>
      <c r="J152" t="str">
        <f t="shared" si="2"/>
        <v>(NULL,"2016-06-06","6","40","2","3","1"),</v>
      </c>
      <c r="K152" t="str">
        <f>TextJoin(tblEnrolledStuds[[#This Row],[DateEnrolled]:[ScholasticStatusID]],"Value")</f>
        <v>"2016-06-06","6","40","2","3","1"</v>
      </c>
      <c r="L152">
        <f>LOOKUP(tblEnrolledStuds[[#This Row],[StudID]],tblStudents[StudID],tblStudents[PersonID])</f>
        <v>40</v>
      </c>
      <c r="M152" t="str">
        <f>LOOKUP(LOOKUP(tblEnrolledStuds[[#This Row],[StudID]],tblStudents[StudID],tblStudents[PersonID]),tblPersons[PersonID],tblPersons[LastName])</f>
        <v>Mendoza</v>
      </c>
      <c r="N152" t="str">
        <f>LOOKUP(LOOKUP(tblEnrolledStuds[[#This Row],[StudID]],tblStudents[StudID],tblStudents[PersonID]),tblPersons[PersonID],tblPersons[FirstName])</f>
        <v>Kyla Louisse</v>
      </c>
    </row>
    <row r="153" spans="2:14" hidden="1" x14ac:dyDescent="0.25">
      <c r="B153">
        <v>151</v>
      </c>
      <c r="C153" s="32">
        <v>42527.333333333336</v>
      </c>
      <c r="D153">
        <v>6</v>
      </c>
      <c r="E153">
        <v>47</v>
      </c>
      <c r="F153">
        <v>3</v>
      </c>
      <c r="G153">
        <v>2</v>
      </c>
      <c r="H153">
        <v>1</v>
      </c>
      <c r="J153" t="str">
        <f t="shared" si="2"/>
        <v>(NULL,"2016-06-06","6","47","3","2","1"),</v>
      </c>
      <c r="K153" t="str">
        <f>TextJoin(tblEnrolledStuds[[#This Row],[DateEnrolled]:[ScholasticStatusID]],"Value")</f>
        <v>"2016-06-06","6","47","3","2","1"</v>
      </c>
      <c r="L153">
        <f>LOOKUP(tblEnrolledStuds[[#This Row],[StudID]],tblStudents[StudID],tblStudents[PersonID])</f>
        <v>47</v>
      </c>
      <c r="M153" t="str">
        <f>LOOKUP(LOOKUP(tblEnrolledStuds[[#This Row],[StudID]],tblStudents[StudID],tblStudents[PersonID]),tblPersons[PersonID],tblPersons[LastName])</f>
        <v>Ornos</v>
      </c>
      <c r="N153" t="str">
        <f>LOOKUP(LOOKUP(tblEnrolledStuds[[#This Row],[StudID]],tblStudents[StudID],tblStudents[PersonID]),tblPersons[PersonID],tblPersons[FirstName])</f>
        <v>Dondon</v>
      </c>
    </row>
    <row r="154" spans="2:14" hidden="1" x14ac:dyDescent="0.25">
      <c r="B154">
        <v>152</v>
      </c>
      <c r="C154" s="32">
        <v>42527.333333333336</v>
      </c>
      <c r="D154">
        <v>6</v>
      </c>
      <c r="E154">
        <v>51</v>
      </c>
      <c r="F154">
        <v>2</v>
      </c>
      <c r="G154">
        <v>3</v>
      </c>
      <c r="H154">
        <v>1</v>
      </c>
      <c r="J154" t="str">
        <f t="shared" si="2"/>
        <v>(NULL,"2016-06-06","6","51","2","3","1"),</v>
      </c>
      <c r="K154" t="str">
        <f>TextJoin(tblEnrolledStuds[[#This Row],[DateEnrolled]:[ScholasticStatusID]],"Value")</f>
        <v>"2016-06-06","6","51","2","3","1"</v>
      </c>
      <c r="L154">
        <f>LOOKUP(tblEnrolledStuds[[#This Row],[StudID]],tblStudents[StudID],tblStudents[PersonID])</f>
        <v>51</v>
      </c>
      <c r="M154" t="str">
        <f>LOOKUP(LOOKUP(tblEnrolledStuds[[#This Row],[StudID]],tblStudents[StudID],tblStudents[PersonID]),tblPersons[PersonID],tblPersons[LastName])</f>
        <v>Peña</v>
      </c>
      <c r="N154" t="str">
        <f>LOOKUP(LOOKUP(tblEnrolledStuds[[#This Row],[StudID]],tblStudents[StudID],tblStudents[PersonID]),tblPersons[PersonID],tblPersons[FirstName])</f>
        <v>Nathaniel</v>
      </c>
    </row>
    <row r="155" spans="2:14" hidden="1" x14ac:dyDescent="0.25">
      <c r="B155">
        <v>153</v>
      </c>
      <c r="C155" s="32">
        <v>42527.333333333336</v>
      </c>
      <c r="D155">
        <v>6</v>
      </c>
      <c r="E155">
        <v>54</v>
      </c>
      <c r="F155">
        <v>2</v>
      </c>
      <c r="G155">
        <v>3</v>
      </c>
      <c r="H155">
        <v>1</v>
      </c>
      <c r="J155" t="str">
        <f t="shared" si="2"/>
        <v>(NULL,"2016-06-06","6","54","2","3","1"),</v>
      </c>
      <c r="K155" t="str">
        <f>TextJoin(tblEnrolledStuds[[#This Row],[DateEnrolled]:[ScholasticStatusID]],"Value")</f>
        <v>"2016-06-06","6","54","2","3","1"</v>
      </c>
      <c r="L155">
        <f>LOOKUP(tblEnrolledStuds[[#This Row],[StudID]],tblStudents[StudID],tblStudents[PersonID])</f>
        <v>54</v>
      </c>
      <c r="M155" t="str">
        <f>LOOKUP(LOOKUP(tblEnrolledStuds[[#This Row],[StudID]],tblStudents[StudID],tblStudents[PersonID]),tblPersons[PersonID],tblPersons[LastName])</f>
        <v>Quiachon</v>
      </c>
      <c r="N155" t="str">
        <f>LOOKUP(LOOKUP(tblEnrolledStuds[[#This Row],[StudID]],tblStudents[StudID],tblStudents[PersonID]),tblPersons[PersonID],tblPersons[FirstName])</f>
        <v>Willard</v>
      </c>
    </row>
    <row r="156" spans="2:14" hidden="1" x14ac:dyDescent="0.25">
      <c r="B156">
        <v>154</v>
      </c>
      <c r="C156" s="32">
        <v>42527.333333333336</v>
      </c>
      <c r="D156">
        <v>6</v>
      </c>
      <c r="E156">
        <v>67</v>
      </c>
      <c r="F156">
        <v>3</v>
      </c>
      <c r="G156">
        <v>2</v>
      </c>
      <c r="H156">
        <v>1</v>
      </c>
      <c r="J156" t="str">
        <f t="shared" si="2"/>
        <v>(NULL,"2016-06-06","6","67","3","2","1"),</v>
      </c>
      <c r="K156" t="str">
        <f>TextJoin(tblEnrolledStuds[[#This Row],[DateEnrolled]:[ScholasticStatusID]],"Value")</f>
        <v>"2016-06-06","6","67","3","2","1"</v>
      </c>
      <c r="L156">
        <f>LOOKUP(tblEnrolledStuds[[#This Row],[StudID]],tblStudents[StudID],tblStudents[PersonID])</f>
        <v>67</v>
      </c>
      <c r="M156" t="str">
        <f>LOOKUP(LOOKUP(tblEnrolledStuds[[#This Row],[StudID]],tblStudents[StudID],tblStudents[PersonID]),tblPersons[PersonID],tblPersons[LastName])</f>
        <v>Tigno</v>
      </c>
      <c r="N156" t="str">
        <f>LOOKUP(LOOKUP(tblEnrolledStuds[[#This Row],[StudID]],tblStudents[StudID],tblStudents[PersonID]),tblPersons[PersonID],tblPersons[FirstName])</f>
        <v>Joshua</v>
      </c>
    </row>
    <row r="157" spans="2:14" hidden="1" x14ac:dyDescent="0.25">
      <c r="B157">
        <v>155</v>
      </c>
      <c r="C157" s="32">
        <v>42527.333333333336</v>
      </c>
      <c r="D157">
        <v>6</v>
      </c>
      <c r="E157">
        <v>70</v>
      </c>
      <c r="F157">
        <v>3</v>
      </c>
      <c r="G157">
        <v>3</v>
      </c>
      <c r="H157">
        <v>1</v>
      </c>
      <c r="J157" t="str">
        <f t="shared" si="2"/>
        <v>(NULL,"2016-06-06","6","70","3","3","1"),</v>
      </c>
      <c r="K157" t="str">
        <f>TextJoin(tblEnrolledStuds[[#This Row],[DateEnrolled]:[ScholasticStatusID]],"Value")</f>
        <v>"2016-06-06","6","70","3","3","1"</v>
      </c>
      <c r="L157">
        <f>LOOKUP(tblEnrolledStuds[[#This Row],[StudID]],tblStudents[StudID],tblStudents[PersonID])</f>
        <v>70</v>
      </c>
      <c r="M157" t="str">
        <f>LOOKUP(LOOKUP(tblEnrolledStuds[[#This Row],[StudID]],tblStudents[StudID],tblStudents[PersonID]),tblPersons[PersonID],tblPersons[LastName])</f>
        <v>Yolola</v>
      </c>
      <c r="N157" t="str">
        <f>LOOKUP(LOOKUP(tblEnrolledStuds[[#This Row],[StudID]],tblStudents[StudID],tblStudents[PersonID]),tblPersons[PersonID],tblPersons[FirstName])</f>
        <v>Kenneth Arvin</v>
      </c>
    </row>
    <row r="158" spans="2:14" hidden="1" x14ac:dyDescent="0.25">
      <c r="B158">
        <v>156</v>
      </c>
      <c r="C158" s="32">
        <v>42317.333333333336</v>
      </c>
      <c r="D158">
        <v>6</v>
      </c>
      <c r="E158">
        <v>71</v>
      </c>
      <c r="F158">
        <v>3</v>
      </c>
      <c r="G158">
        <v>3</v>
      </c>
      <c r="H158">
        <v>1</v>
      </c>
      <c r="J158" t="str">
        <f t="shared" si="2"/>
        <v>(NULL,"2015-11-09","6","71","3","3","1"),</v>
      </c>
      <c r="K158" t="str">
        <f>TextJoin(tblEnrolledStuds[[#This Row],[DateEnrolled]:[ScholasticStatusID]],"Value")</f>
        <v>"2015-11-09","6","71","3","3","1"</v>
      </c>
      <c r="L158">
        <f>LOOKUP(tblEnrolledStuds[[#This Row],[StudID]],tblStudents[StudID],tblStudents[PersonID])</f>
        <v>71</v>
      </c>
      <c r="M158" t="str">
        <f>LOOKUP(LOOKUP(tblEnrolledStuds[[#This Row],[StudID]],tblStudents[StudID],tblStudents[PersonID]),tblPersons[PersonID],tblPersons[LastName])</f>
        <v>Zapata</v>
      </c>
      <c r="N158" t="str">
        <f>LOOKUP(LOOKUP(tblEnrolledStuds[[#This Row],[StudID]],tblStudents[StudID],tblStudents[PersonID]),tblPersons[PersonID],tblPersons[FirstName])</f>
        <v>Jerom</v>
      </c>
    </row>
    <row r="159" spans="2:14" hidden="1" x14ac:dyDescent="0.25">
      <c r="B159">
        <v>157</v>
      </c>
      <c r="C159" s="32">
        <v>42317.333333333336</v>
      </c>
      <c r="D159">
        <v>7</v>
      </c>
      <c r="E159">
        <v>1</v>
      </c>
      <c r="F159">
        <v>1</v>
      </c>
      <c r="G159">
        <v>2</v>
      </c>
      <c r="H159">
        <v>1</v>
      </c>
      <c r="J159" t="str">
        <f t="shared" si="2"/>
        <v>(NULL,"2015-11-09","7","1","1","2","1"),</v>
      </c>
      <c r="K159" t="str">
        <f>TextJoin(tblEnrolledStuds[[#This Row],[DateEnrolled]:[ScholasticStatusID]],"Value")</f>
        <v>"2015-11-09","7","1","1","2","1"</v>
      </c>
      <c r="L159">
        <f>LOOKUP(tblEnrolledStuds[[#This Row],[StudID]],tblStudents[StudID],tblStudents[PersonID])</f>
        <v>1</v>
      </c>
      <c r="M159" t="str">
        <f>LOOKUP(LOOKUP(tblEnrolledStuds[[#This Row],[StudID]],tblStudents[StudID],tblStudents[PersonID]),tblPersons[PersonID],tblPersons[LastName])</f>
        <v>Abejo</v>
      </c>
      <c r="N159" t="str">
        <f>LOOKUP(LOOKUP(tblEnrolledStuds[[#This Row],[StudID]],tblStudents[StudID],tblStudents[PersonID]),tblPersons[PersonID],tblPersons[FirstName])</f>
        <v>Jay-R</v>
      </c>
    </row>
    <row r="160" spans="2:14" hidden="1" x14ac:dyDescent="0.25">
      <c r="B160">
        <v>158</v>
      </c>
      <c r="C160" s="32">
        <v>42317.333333333336</v>
      </c>
      <c r="D160">
        <v>7</v>
      </c>
      <c r="E160">
        <v>3</v>
      </c>
      <c r="F160">
        <v>1</v>
      </c>
      <c r="G160">
        <v>3</v>
      </c>
      <c r="H160">
        <v>1</v>
      </c>
      <c r="J160" t="str">
        <f t="shared" si="2"/>
        <v>(NULL,"2015-11-09","7","3","1","3","1"),</v>
      </c>
      <c r="K160" t="str">
        <f>TextJoin(tblEnrolledStuds[[#This Row],[DateEnrolled]:[ScholasticStatusID]],"Value")</f>
        <v>"2015-11-09","7","3","1","3","1"</v>
      </c>
      <c r="L160">
        <f>LOOKUP(tblEnrolledStuds[[#This Row],[StudID]],tblStudents[StudID],tblStudents[PersonID])</f>
        <v>3</v>
      </c>
      <c r="M160" t="str">
        <f>LOOKUP(LOOKUP(tblEnrolledStuds[[#This Row],[StudID]],tblStudents[StudID],tblStudents[PersonID]),tblPersons[PersonID],tblPersons[LastName])</f>
        <v>Aguilo</v>
      </c>
      <c r="N160" t="str">
        <f>LOOKUP(LOOKUP(tblEnrolledStuds[[#This Row],[StudID]],tblStudents[StudID],tblStudents[PersonID]),tblPersons[PersonID],tblPersons[FirstName])</f>
        <v>Christian Joy</v>
      </c>
    </row>
    <row r="161" spans="2:14" hidden="1" x14ac:dyDescent="0.25">
      <c r="B161">
        <v>159</v>
      </c>
      <c r="C161" s="32">
        <v>42317.333333333336</v>
      </c>
      <c r="D161">
        <v>7</v>
      </c>
      <c r="E161">
        <v>7</v>
      </c>
      <c r="F161">
        <v>1</v>
      </c>
      <c r="G161">
        <v>3</v>
      </c>
      <c r="H161">
        <v>1</v>
      </c>
      <c r="J161" t="str">
        <f t="shared" si="2"/>
        <v>(NULL,"2015-11-09","7","7","1","3","1"),</v>
      </c>
      <c r="K161" t="str">
        <f>TextJoin(tblEnrolledStuds[[#This Row],[DateEnrolled]:[ScholasticStatusID]],"Value")</f>
        <v>"2015-11-09","7","7","1","3","1"</v>
      </c>
      <c r="L161">
        <f>LOOKUP(tblEnrolledStuds[[#This Row],[StudID]],tblStudents[StudID],tblStudents[PersonID])</f>
        <v>7</v>
      </c>
      <c r="M161" t="str">
        <f>LOOKUP(LOOKUP(tblEnrolledStuds[[#This Row],[StudID]],tblStudents[StudID],tblStudents[PersonID]),tblPersons[PersonID],tblPersons[LastName])</f>
        <v>Apanay</v>
      </c>
      <c r="N161" t="str">
        <f>LOOKUP(LOOKUP(tblEnrolledStuds[[#This Row],[StudID]],tblStudents[StudID],tblStudents[PersonID]),tblPersons[PersonID],tblPersons[FirstName])</f>
        <v>Abraham</v>
      </c>
    </row>
    <row r="162" spans="2:14" hidden="1" x14ac:dyDescent="0.25">
      <c r="B162">
        <v>160</v>
      </c>
      <c r="C162" s="32">
        <v>42317.333333333336</v>
      </c>
      <c r="D162">
        <v>7</v>
      </c>
      <c r="E162">
        <v>12</v>
      </c>
      <c r="F162">
        <v>2</v>
      </c>
      <c r="G162">
        <v>3</v>
      </c>
      <c r="H162">
        <v>1</v>
      </c>
      <c r="J162" t="str">
        <f t="shared" si="2"/>
        <v>(NULL,"2015-11-09","7","12","2","3","1"),</v>
      </c>
      <c r="K162" t="str">
        <f>TextJoin(tblEnrolledStuds[[#This Row],[DateEnrolled]:[ScholasticStatusID]],"Value")</f>
        <v>"2015-11-09","7","12","2","3","1"</v>
      </c>
      <c r="L162">
        <f>LOOKUP(tblEnrolledStuds[[#This Row],[StudID]],tblStudents[StudID],tblStudents[PersonID])</f>
        <v>12</v>
      </c>
      <c r="M162" t="str">
        <f>LOOKUP(LOOKUP(tblEnrolledStuds[[#This Row],[StudID]],tblStudents[StudID],tblStudents[PersonID]),tblPersons[PersonID],tblPersons[LastName])</f>
        <v>Bonto</v>
      </c>
      <c r="N162" t="str">
        <f>LOOKUP(LOOKUP(tblEnrolledStuds[[#This Row],[StudID]],tblStudents[StudID],tblStudents[PersonID]),tblPersons[PersonID],tblPersons[FirstName])</f>
        <v>Marc Anthony</v>
      </c>
    </row>
    <row r="163" spans="2:14" hidden="1" x14ac:dyDescent="0.25">
      <c r="B163">
        <v>161</v>
      </c>
      <c r="C163" s="32">
        <v>42317.333333333336</v>
      </c>
      <c r="D163">
        <v>7</v>
      </c>
      <c r="E163">
        <v>16</v>
      </c>
      <c r="F163">
        <v>1</v>
      </c>
      <c r="G163">
        <v>3</v>
      </c>
      <c r="H163">
        <v>1</v>
      </c>
      <c r="J163" t="str">
        <f t="shared" si="2"/>
        <v>(NULL,"2015-11-09","7","16","1","3","1"),</v>
      </c>
      <c r="K163" t="str">
        <f>TextJoin(tblEnrolledStuds[[#This Row],[DateEnrolled]:[ScholasticStatusID]],"Value")</f>
        <v>"2015-11-09","7","16","1","3","1"</v>
      </c>
      <c r="L163">
        <f>LOOKUP(tblEnrolledStuds[[#This Row],[StudID]],tblStudents[StudID],tblStudents[PersonID])</f>
        <v>16</v>
      </c>
      <c r="M163" t="str">
        <f>LOOKUP(LOOKUP(tblEnrolledStuds[[#This Row],[StudID]],tblStudents[StudID],tblStudents[PersonID]),tblPersons[PersonID],tblPersons[LastName])</f>
        <v>Calsado</v>
      </c>
      <c r="N163" t="str">
        <f>LOOKUP(LOOKUP(tblEnrolledStuds[[#This Row],[StudID]],tblStudents[StudID],tblStudents[PersonID]),tblPersons[PersonID],tblPersons[FirstName])</f>
        <v>Kem Diobeth</v>
      </c>
    </row>
    <row r="164" spans="2:14" hidden="1" x14ac:dyDescent="0.25">
      <c r="B164">
        <v>162</v>
      </c>
      <c r="C164" s="32">
        <v>42317.333333333336</v>
      </c>
      <c r="D164">
        <v>7</v>
      </c>
      <c r="E164">
        <v>19</v>
      </c>
      <c r="F164">
        <v>1</v>
      </c>
      <c r="G164">
        <v>3</v>
      </c>
      <c r="H164">
        <v>1</v>
      </c>
      <c r="J164" t="str">
        <f t="shared" si="2"/>
        <v>(NULL,"2015-11-09","7","19","1","3","1"),</v>
      </c>
      <c r="K164" t="str">
        <f>TextJoin(tblEnrolledStuds[[#This Row],[DateEnrolled]:[ScholasticStatusID]],"Value")</f>
        <v>"2015-11-09","7","19","1","3","1"</v>
      </c>
      <c r="L164">
        <f>LOOKUP(tblEnrolledStuds[[#This Row],[StudID]],tblStudents[StudID],tblStudents[PersonID])</f>
        <v>19</v>
      </c>
      <c r="M164" t="str">
        <f>LOOKUP(LOOKUP(tblEnrolledStuds[[#This Row],[StudID]],tblStudents[StudID],tblStudents[PersonID]),tblPersons[PersonID],tblPersons[LastName])</f>
        <v>Chua</v>
      </c>
      <c r="N164" t="str">
        <f>LOOKUP(LOOKUP(tblEnrolledStuds[[#This Row],[StudID]],tblStudents[StudID],tblStudents[PersonID]),tblPersons[PersonID],tblPersons[FirstName])</f>
        <v>Alexander Jr.</v>
      </c>
    </row>
    <row r="165" spans="2:14" hidden="1" x14ac:dyDescent="0.25">
      <c r="B165">
        <v>163</v>
      </c>
      <c r="C165" s="32">
        <v>42317.333333333336</v>
      </c>
      <c r="D165">
        <v>7</v>
      </c>
      <c r="E165">
        <v>20</v>
      </c>
      <c r="F165">
        <v>1</v>
      </c>
      <c r="G165">
        <v>3</v>
      </c>
      <c r="H165">
        <v>1</v>
      </c>
      <c r="J165" t="str">
        <f t="shared" si="2"/>
        <v>(NULL,"2015-11-09","7","20","1","3","1"),</v>
      </c>
      <c r="K165" t="str">
        <f>TextJoin(tblEnrolledStuds[[#This Row],[DateEnrolled]:[ScholasticStatusID]],"Value")</f>
        <v>"2015-11-09","7","20","1","3","1"</v>
      </c>
      <c r="L165">
        <f>LOOKUP(tblEnrolledStuds[[#This Row],[StudID]],tblStudents[StudID],tblStudents[PersonID])</f>
        <v>20</v>
      </c>
      <c r="M165" t="str">
        <f>LOOKUP(LOOKUP(tblEnrolledStuds[[#This Row],[StudID]],tblStudents[StudID],tblStudents[PersonID]),tblPersons[PersonID],tblPersons[LastName])</f>
        <v>Coloma</v>
      </c>
      <c r="N165" t="str">
        <f>LOOKUP(LOOKUP(tblEnrolledStuds[[#This Row],[StudID]],tblStudents[StudID],tblStudents[PersonID]),tblPersons[PersonID],tblPersons[FirstName])</f>
        <v>Angelica</v>
      </c>
    </row>
    <row r="166" spans="2:14" hidden="1" x14ac:dyDescent="0.25">
      <c r="B166">
        <v>164</v>
      </c>
      <c r="C166" s="32">
        <v>42317.333333333336</v>
      </c>
      <c r="D166">
        <v>7</v>
      </c>
      <c r="E166">
        <v>32</v>
      </c>
      <c r="F166">
        <v>1</v>
      </c>
      <c r="G166">
        <v>2</v>
      </c>
      <c r="H166">
        <v>1</v>
      </c>
      <c r="J166" t="str">
        <f t="shared" si="2"/>
        <v>(NULL,"2015-11-09","7","32","1","2","1"),</v>
      </c>
      <c r="K166" t="str">
        <f>TextJoin(tblEnrolledStuds[[#This Row],[DateEnrolled]:[ScholasticStatusID]],"Value")</f>
        <v>"2015-11-09","7","32","1","2","1"</v>
      </c>
      <c r="L166">
        <f>LOOKUP(tblEnrolledStuds[[#This Row],[StudID]],tblStudents[StudID],tblStudents[PersonID])</f>
        <v>32</v>
      </c>
      <c r="M166" t="str">
        <f>LOOKUP(LOOKUP(tblEnrolledStuds[[#This Row],[StudID]],tblStudents[StudID],tblStudents[PersonID]),tblPersons[PersonID],tblPersons[LastName])</f>
        <v>Hibi</v>
      </c>
      <c r="N166" t="str">
        <f>LOOKUP(LOOKUP(tblEnrolledStuds[[#This Row],[StudID]],tblStudents[StudID],tblStudents[PersonID]),tblPersons[PersonID],tblPersons[FirstName])</f>
        <v>Keisom</v>
      </c>
    </row>
    <row r="167" spans="2:14" hidden="1" x14ac:dyDescent="0.25">
      <c r="B167">
        <v>165</v>
      </c>
      <c r="C167" s="32">
        <v>42317.333333333336</v>
      </c>
      <c r="D167">
        <v>7</v>
      </c>
      <c r="E167">
        <v>35</v>
      </c>
      <c r="F167">
        <v>1</v>
      </c>
      <c r="G167">
        <v>2</v>
      </c>
      <c r="H167">
        <v>1</v>
      </c>
      <c r="J167" t="str">
        <f t="shared" si="2"/>
        <v>(NULL,"2015-11-09","7","35","1","2","1"),</v>
      </c>
      <c r="K167" t="str">
        <f>TextJoin(tblEnrolledStuds[[#This Row],[DateEnrolled]:[ScholasticStatusID]],"Value")</f>
        <v>"2015-11-09","7","35","1","2","1"</v>
      </c>
      <c r="L167">
        <f>LOOKUP(tblEnrolledStuds[[#This Row],[StudID]],tblStudents[StudID],tblStudents[PersonID])</f>
        <v>35</v>
      </c>
      <c r="M167" t="str">
        <f>LOOKUP(LOOKUP(tblEnrolledStuds[[#This Row],[StudID]],tblStudents[StudID],tblStudents[PersonID]),tblPersons[PersonID],tblPersons[LastName])</f>
        <v>Latayan</v>
      </c>
      <c r="N167" t="str">
        <f>LOOKUP(LOOKUP(tblEnrolledStuds[[#This Row],[StudID]],tblStudents[StudID],tblStudents[PersonID]),tblPersons[PersonID],tblPersons[FirstName])</f>
        <v>Regina Shane</v>
      </c>
    </row>
    <row r="168" spans="2:14" hidden="1" x14ac:dyDescent="0.25">
      <c r="B168">
        <v>166</v>
      </c>
      <c r="C168" s="32">
        <v>42317.333333333336</v>
      </c>
      <c r="D168">
        <v>7</v>
      </c>
      <c r="E168">
        <v>37</v>
      </c>
      <c r="F168">
        <v>2</v>
      </c>
      <c r="G168">
        <v>3</v>
      </c>
      <c r="H168">
        <v>1</v>
      </c>
      <c r="J168" t="str">
        <f t="shared" si="2"/>
        <v>(NULL,"2015-11-09","7","37","2","3","1"),</v>
      </c>
      <c r="K168" t="str">
        <f>TextJoin(tblEnrolledStuds[[#This Row],[DateEnrolled]:[ScholasticStatusID]],"Value")</f>
        <v>"2015-11-09","7","37","2","3","1"</v>
      </c>
      <c r="L168">
        <f>LOOKUP(tblEnrolledStuds[[#This Row],[StudID]],tblStudents[StudID],tblStudents[PersonID])</f>
        <v>37</v>
      </c>
      <c r="M168" t="str">
        <f>LOOKUP(LOOKUP(tblEnrolledStuds[[#This Row],[StudID]],tblStudents[StudID],tblStudents[PersonID]),tblPersons[PersonID],tblPersons[LastName])</f>
        <v>Manalili</v>
      </c>
      <c r="N168" t="str">
        <f>LOOKUP(LOOKUP(tblEnrolledStuds[[#This Row],[StudID]],tblStudents[StudID],tblStudents[PersonID]),tblPersons[PersonID],tblPersons[FirstName])</f>
        <v>AJ</v>
      </c>
    </row>
    <row r="169" spans="2:14" hidden="1" x14ac:dyDescent="0.25">
      <c r="B169">
        <v>167</v>
      </c>
      <c r="C169" s="32">
        <v>42317.333333333336</v>
      </c>
      <c r="D169">
        <v>7</v>
      </c>
      <c r="E169">
        <v>40</v>
      </c>
      <c r="F169">
        <v>1</v>
      </c>
      <c r="G169">
        <v>3</v>
      </c>
      <c r="H169">
        <v>1</v>
      </c>
      <c r="J169" t="str">
        <f t="shared" si="2"/>
        <v>(NULL,"2015-11-09","7","40","1","3","1"),</v>
      </c>
      <c r="K169" t="str">
        <f>TextJoin(tblEnrolledStuds[[#This Row],[DateEnrolled]:[ScholasticStatusID]],"Value")</f>
        <v>"2015-11-09","7","40","1","3","1"</v>
      </c>
      <c r="L169">
        <f>LOOKUP(tblEnrolledStuds[[#This Row],[StudID]],tblStudents[StudID],tblStudents[PersonID])</f>
        <v>40</v>
      </c>
      <c r="M169" t="str">
        <f>LOOKUP(LOOKUP(tblEnrolledStuds[[#This Row],[StudID]],tblStudents[StudID],tblStudents[PersonID]),tblPersons[PersonID],tblPersons[LastName])</f>
        <v>Mendoza</v>
      </c>
      <c r="N169" t="str">
        <f>LOOKUP(LOOKUP(tblEnrolledStuds[[#This Row],[StudID]],tblStudents[StudID],tblStudents[PersonID]),tblPersons[PersonID],tblPersons[FirstName])</f>
        <v>Kyla Louisse</v>
      </c>
    </row>
    <row r="170" spans="2:14" hidden="1" x14ac:dyDescent="0.25">
      <c r="B170">
        <v>168</v>
      </c>
      <c r="C170" s="32">
        <v>42317.333333333336</v>
      </c>
      <c r="D170">
        <v>7</v>
      </c>
      <c r="E170">
        <v>47</v>
      </c>
      <c r="F170">
        <v>2</v>
      </c>
      <c r="G170">
        <v>2</v>
      </c>
      <c r="H170">
        <v>1</v>
      </c>
      <c r="J170" t="str">
        <f t="shared" si="2"/>
        <v>(NULL,"2015-11-09","7","47","2","2","1"),</v>
      </c>
      <c r="K170" t="str">
        <f>TextJoin(tblEnrolledStuds[[#This Row],[DateEnrolled]:[ScholasticStatusID]],"Value")</f>
        <v>"2015-11-09","7","47","2","2","1"</v>
      </c>
      <c r="L170">
        <f>LOOKUP(tblEnrolledStuds[[#This Row],[StudID]],tblStudents[StudID],tblStudents[PersonID])</f>
        <v>47</v>
      </c>
      <c r="M170" t="str">
        <f>LOOKUP(LOOKUP(tblEnrolledStuds[[#This Row],[StudID]],tblStudents[StudID],tblStudents[PersonID]),tblPersons[PersonID],tblPersons[LastName])</f>
        <v>Ornos</v>
      </c>
      <c r="N170" t="str">
        <f>LOOKUP(LOOKUP(tblEnrolledStuds[[#This Row],[StudID]],tblStudents[StudID],tblStudents[PersonID]),tblPersons[PersonID],tblPersons[FirstName])</f>
        <v>Dondon</v>
      </c>
    </row>
    <row r="171" spans="2:14" hidden="1" x14ac:dyDescent="0.25">
      <c r="B171">
        <v>169</v>
      </c>
      <c r="C171" s="32">
        <v>42317.333333333336</v>
      </c>
      <c r="D171">
        <v>7</v>
      </c>
      <c r="E171">
        <v>51</v>
      </c>
      <c r="F171">
        <v>1</v>
      </c>
      <c r="G171">
        <v>3</v>
      </c>
      <c r="H171">
        <v>1</v>
      </c>
      <c r="J171" t="str">
        <f t="shared" si="2"/>
        <v>(NULL,"2015-11-09","7","51","1","3","1"),</v>
      </c>
      <c r="K171" t="str">
        <f>TextJoin(tblEnrolledStuds[[#This Row],[DateEnrolled]:[ScholasticStatusID]],"Value")</f>
        <v>"2015-11-09","7","51","1","3","1"</v>
      </c>
      <c r="L171">
        <f>LOOKUP(tblEnrolledStuds[[#This Row],[StudID]],tblStudents[StudID],tblStudents[PersonID])</f>
        <v>51</v>
      </c>
      <c r="M171" t="str">
        <f>LOOKUP(LOOKUP(tblEnrolledStuds[[#This Row],[StudID]],tblStudents[StudID],tblStudents[PersonID]),tblPersons[PersonID],tblPersons[LastName])</f>
        <v>Peña</v>
      </c>
      <c r="N171" t="str">
        <f>LOOKUP(LOOKUP(tblEnrolledStuds[[#This Row],[StudID]],tblStudents[StudID],tblStudents[PersonID]),tblPersons[PersonID],tblPersons[FirstName])</f>
        <v>Nathaniel</v>
      </c>
    </row>
    <row r="172" spans="2:14" hidden="1" x14ac:dyDescent="0.25">
      <c r="B172">
        <v>170</v>
      </c>
      <c r="C172" s="32">
        <v>42317.333333333336</v>
      </c>
      <c r="D172">
        <v>7</v>
      </c>
      <c r="E172">
        <v>54</v>
      </c>
      <c r="F172">
        <v>1</v>
      </c>
      <c r="G172">
        <v>3</v>
      </c>
      <c r="H172">
        <v>1</v>
      </c>
      <c r="J172" t="str">
        <f t="shared" si="2"/>
        <v>(NULL,"2015-11-09","7","54","1","3","1"),</v>
      </c>
      <c r="K172" t="str">
        <f>TextJoin(tblEnrolledStuds[[#This Row],[DateEnrolled]:[ScholasticStatusID]],"Value")</f>
        <v>"2015-11-09","7","54","1","3","1"</v>
      </c>
      <c r="L172">
        <f>LOOKUP(tblEnrolledStuds[[#This Row],[StudID]],tblStudents[StudID],tblStudents[PersonID])</f>
        <v>54</v>
      </c>
      <c r="M172" t="str">
        <f>LOOKUP(LOOKUP(tblEnrolledStuds[[#This Row],[StudID]],tblStudents[StudID],tblStudents[PersonID]),tblPersons[PersonID],tblPersons[LastName])</f>
        <v>Quiachon</v>
      </c>
      <c r="N172" t="str">
        <f>LOOKUP(LOOKUP(tblEnrolledStuds[[#This Row],[StudID]],tblStudents[StudID],tblStudents[PersonID]),tblPersons[PersonID],tblPersons[FirstName])</f>
        <v>Willard</v>
      </c>
    </row>
    <row r="173" spans="2:14" hidden="1" x14ac:dyDescent="0.25">
      <c r="B173">
        <v>171</v>
      </c>
      <c r="C173" s="32">
        <v>42317.333333333336</v>
      </c>
      <c r="D173">
        <v>7</v>
      </c>
      <c r="E173">
        <v>67</v>
      </c>
      <c r="F173">
        <v>2</v>
      </c>
      <c r="G173">
        <v>2</v>
      </c>
      <c r="H173">
        <v>1</v>
      </c>
      <c r="J173" t="str">
        <f t="shared" si="2"/>
        <v>(NULL,"2015-11-09","7","67","2","2","1"),</v>
      </c>
      <c r="K173" t="str">
        <f>TextJoin(tblEnrolledStuds[[#This Row],[DateEnrolled]:[ScholasticStatusID]],"Value")</f>
        <v>"2015-11-09","7","67","2","2","1"</v>
      </c>
      <c r="L173">
        <f>LOOKUP(tblEnrolledStuds[[#This Row],[StudID]],tblStudents[StudID],tblStudents[PersonID])</f>
        <v>67</v>
      </c>
      <c r="M173" t="str">
        <f>LOOKUP(LOOKUP(tblEnrolledStuds[[#This Row],[StudID]],tblStudents[StudID],tblStudents[PersonID]),tblPersons[PersonID],tblPersons[LastName])</f>
        <v>Tigno</v>
      </c>
      <c r="N173" t="str">
        <f>LOOKUP(LOOKUP(tblEnrolledStuds[[#This Row],[StudID]],tblStudents[StudID],tblStudents[PersonID]),tblPersons[PersonID],tblPersons[FirstName])</f>
        <v>Joshua</v>
      </c>
    </row>
    <row r="174" spans="2:14" hidden="1" x14ac:dyDescent="0.25">
      <c r="B174">
        <v>172</v>
      </c>
      <c r="C174" s="32">
        <v>42317.333333333336</v>
      </c>
      <c r="D174">
        <v>7</v>
      </c>
      <c r="E174">
        <v>70</v>
      </c>
      <c r="F174">
        <v>2</v>
      </c>
      <c r="G174">
        <v>3</v>
      </c>
      <c r="H174">
        <v>1</v>
      </c>
      <c r="J174" t="str">
        <f t="shared" si="2"/>
        <v>(NULL,"2015-11-09","7","70","2","3","1"),</v>
      </c>
      <c r="K174" t="str">
        <f>TextJoin(tblEnrolledStuds[[#This Row],[DateEnrolled]:[ScholasticStatusID]],"Value")</f>
        <v>"2015-11-09","7","70","2","3","1"</v>
      </c>
      <c r="L174">
        <f>LOOKUP(tblEnrolledStuds[[#This Row],[StudID]],tblStudents[StudID],tblStudents[PersonID])</f>
        <v>70</v>
      </c>
      <c r="M174" t="str">
        <f>LOOKUP(LOOKUP(tblEnrolledStuds[[#This Row],[StudID]],tblStudents[StudID],tblStudents[PersonID]),tblPersons[PersonID],tblPersons[LastName])</f>
        <v>Yolola</v>
      </c>
      <c r="N174" t="str">
        <f>LOOKUP(LOOKUP(tblEnrolledStuds[[#This Row],[StudID]],tblStudents[StudID],tblStudents[PersonID]),tblPersons[PersonID],tblPersons[FirstName])</f>
        <v>Kenneth Arvin</v>
      </c>
    </row>
    <row r="175" spans="2:14" hidden="1" x14ac:dyDescent="0.25">
      <c r="B175">
        <v>173</v>
      </c>
      <c r="C175" s="32">
        <v>42163.333333333336</v>
      </c>
      <c r="D175">
        <v>7</v>
      </c>
      <c r="E175">
        <v>71</v>
      </c>
      <c r="F175">
        <v>2</v>
      </c>
      <c r="G175">
        <v>3</v>
      </c>
      <c r="H175">
        <v>1</v>
      </c>
      <c r="J175" t="str">
        <f t="shared" si="2"/>
        <v>(NULL,"2015-06-08","7","71","2","3","1"),</v>
      </c>
      <c r="K175" t="str">
        <f>TextJoin(tblEnrolledStuds[[#This Row],[DateEnrolled]:[ScholasticStatusID]],"Value")</f>
        <v>"2015-06-08","7","71","2","3","1"</v>
      </c>
      <c r="L175">
        <f>LOOKUP(tblEnrolledStuds[[#This Row],[StudID]],tblStudents[StudID],tblStudents[PersonID])</f>
        <v>71</v>
      </c>
      <c r="M175" t="str">
        <f>LOOKUP(LOOKUP(tblEnrolledStuds[[#This Row],[StudID]],tblStudents[StudID],tblStudents[PersonID]),tblPersons[PersonID],tblPersons[LastName])</f>
        <v>Zapata</v>
      </c>
      <c r="N175" t="str">
        <f>LOOKUP(LOOKUP(tblEnrolledStuds[[#This Row],[StudID]],tblStudents[StudID],tblStudents[PersonID]),tblPersons[PersonID],tblPersons[FirstName])</f>
        <v>Jerom</v>
      </c>
    </row>
    <row r="176" spans="2:14" hidden="1" x14ac:dyDescent="0.25">
      <c r="B176">
        <v>174</v>
      </c>
      <c r="C176" s="32">
        <v>42163.333333333336</v>
      </c>
      <c r="D176">
        <v>8</v>
      </c>
      <c r="E176">
        <v>1</v>
      </c>
      <c r="F176">
        <v>1</v>
      </c>
      <c r="G176">
        <v>2</v>
      </c>
      <c r="H176">
        <v>1</v>
      </c>
      <c r="J176" t="str">
        <f t="shared" si="2"/>
        <v>(NULL,"2015-06-08","8","1","1","2","1"),</v>
      </c>
      <c r="K176" t="str">
        <f>TextJoin(tblEnrolledStuds[[#This Row],[DateEnrolled]:[ScholasticStatusID]],"Value")</f>
        <v>"2015-06-08","8","1","1","2","1"</v>
      </c>
      <c r="L176">
        <f>LOOKUP(tblEnrolledStuds[[#This Row],[StudID]],tblStudents[StudID],tblStudents[PersonID])</f>
        <v>1</v>
      </c>
      <c r="M176" t="str">
        <f>LOOKUP(LOOKUP(tblEnrolledStuds[[#This Row],[StudID]],tblStudents[StudID],tblStudents[PersonID]),tblPersons[PersonID],tblPersons[LastName])</f>
        <v>Abejo</v>
      </c>
      <c r="N176" t="str">
        <f>LOOKUP(LOOKUP(tblEnrolledStuds[[#This Row],[StudID]],tblStudents[StudID],tblStudents[PersonID]),tblPersons[PersonID],tblPersons[FirstName])</f>
        <v>Jay-R</v>
      </c>
    </row>
    <row r="177" spans="2:14" hidden="1" x14ac:dyDescent="0.25">
      <c r="B177">
        <v>175</v>
      </c>
      <c r="C177" s="32">
        <v>42163.333333333336</v>
      </c>
      <c r="D177">
        <v>8</v>
      </c>
      <c r="E177">
        <v>3</v>
      </c>
      <c r="F177">
        <v>1</v>
      </c>
      <c r="G177">
        <v>3</v>
      </c>
      <c r="H177">
        <v>1</v>
      </c>
      <c r="J177" t="str">
        <f t="shared" si="2"/>
        <v>(NULL,"2015-06-08","8","3","1","3","1"),</v>
      </c>
      <c r="K177" t="str">
        <f>TextJoin(tblEnrolledStuds[[#This Row],[DateEnrolled]:[ScholasticStatusID]],"Value")</f>
        <v>"2015-06-08","8","3","1","3","1"</v>
      </c>
      <c r="L177">
        <f>LOOKUP(tblEnrolledStuds[[#This Row],[StudID]],tblStudents[StudID],tblStudents[PersonID])</f>
        <v>3</v>
      </c>
      <c r="M177" t="str">
        <f>LOOKUP(LOOKUP(tblEnrolledStuds[[#This Row],[StudID]],tblStudents[StudID],tblStudents[PersonID]),tblPersons[PersonID],tblPersons[LastName])</f>
        <v>Aguilo</v>
      </c>
      <c r="N177" t="str">
        <f>LOOKUP(LOOKUP(tblEnrolledStuds[[#This Row],[StudID]],tblStudents[StudID],tblStudents[PersonID]),tblPersons[PersonID],tblPersons[FirstName])</f>
        <v>Christian Joy</v>
      </c>
    </row>
    <row r="178" spans="2:14" hidden="1" x14ac:dyDescent="0.25">
      <c r="B178">
        <v>176</v>
      </c>
      <c r="C178" s="32">
        <v>42163.333333333336</v>
      </c>
      <c r="D178">
        <v>8</v>
      </c>
      <c r="E178">
        <v>7</v>
      </c>
      <c r="F178">
        <v>1</v>
      </c>
      <c r="G178">
        <v>3</v>
      </c>
      <c r="H178">
        <v>1</v>
      </c>
      <c r="J178" t="str">
        <f t="shared" si="2"/>
        <v>(NULL,"2015-06-08","8","7","1","3","1"),</v>
      </c>
      <c r="K178" t="str">
        <f>TextJoin(tblEnrolledStuds[[#This Row],[DateEnrolled]:[ScholasticStatusID]],"Value")</f>
        <v>"2015-06-08","8","7","1","3","1"</v>
      </c>
      <c r="L178">
        <f>LOOKUP(tblEnrolledStuds[[#This Row],[StudID]],tblStudents[StudID],tblStudents[PersonID])</f>
        <v>7</v>
      </c>
      <c r="M178" t="str">
        <f>LOOKUP(LOOKUP(tblEnrolledStuds[[#This Row],[StudID]],tblStudents[StudID],tblStudents[PersonID]),tblPersons[PersonID],tblPersons[LastName])</f>
        <v>Apanay</v>
      </c>
      <c r="N178" t="str">
        <f>LOOKUP(LOOKUP(tblEnrolledStuds[[#This Row],[StudID]],tblStudents[StudID],tblStudents[PersonID]),tblPersons[PersonID],tblPersons[FirstName])</f>
        <v>Abraham</v>
      </c>
    </row>
    <row r="179" spans="2:14" hidden="1" x14ac:dyDescent="0.25">
      <c r="B179">
        <v>177</v>
      </c>
      <c r="C179" s="32">
        <v>42163.333333333336</v>
      </c>
      <c r="D179">
        <v>8</v>
      </c>
      <c r="E179">
        <v>12</v>
      </c>
      <c r="F179">
        <v>2</v>
      </c>
      <c r="G179">
        <v>2</v>
      </c>
      <c r="H179">
        <v>1</v>
      </c>
      <c r="J179" t="str">
        <f t="shared" si="2"/>
        <v>(NULL,"2015-06-08","8","12","2","2","1"),</v>
      </c>
      <c r="K179" t="str">
        <f>TextJoin(tblEnrolledStuds[[#This Row],[DateEnrolled]:[ScholasticStatusID]],"Value")</f>
        <v>"2015-06-08","8","12","2","2","1"</v>
      </c>
      <c r="L179">
        <f>LOOKUP(tblEnrolledStuds[[#This Row],[StudID]],tblStudents[StudID],tblStudents[PersonID])</f>
        <v>12</v>
      </c>
      <c r="M179" t="str">
        <f>LOOKUP(LOOKUP(tblEnrolledStuds[[#This Row],[StudID]],tblStudents[StudID],tblStudents[PersonID]),tblPersons[PersonID],tblPersons[LastName])</f>
        <v>Bonto</v>
      </c>
      <c r="N179" t="str">
        <f>LOOKUP(LOOKUP(tblEnrolledStuds[[#This Row],[StudID]],tblStudents[StudID],tblStudents[PersonID]),tblPersons[PersonID],tblPersons[FirstName])</f>
        <v>Marc Anthony</v>
      </c>
    </row>
    <row r="180" spans="2:14" hidden="1" x14ac:dyDescent="0.25">
      <c r="B180">
        <v>178</v>
      </c>
      <c r="C180" s="32">
        <v>42163.333333333336</v>
      </c>
      <c r="D180">
        <v>8</v>
      </c>
      <c r="E180">
        <v>16</v>
      </c>
      <c r="F180">
        <v>1</v>
      </c>
      <c r="G180">
        <v>3</v>
      </c>
      <c r="H180">
        <v>1</v>
      </c>
      <c r="J180" t="str">
        <f t="shared" si="2"/>
        <v>(NULL,"2015-06-08","8","16","1","3","1"),</v>
      </c>
      <c r="K180" t="str">
        <f>TextJoin(tblEnrolledStuds[[#This Row],[DateEnrolled]:[ScholasticStatusID]],"Value")</f>
        <v>"2015-06-08","8","16","1","3","1"</v>
      </c>
      <c r="L180">
        <f>LOOKUP(tblEnrolledStuds[[#This Row],[StudID]],tblStudents[StudID],tblStudents[PersonID])</f>
        <v>16</v>
      </c>
      <c r="M180" t="str">
        <f>LOOKUP(LOOKUP(tblEnrolledStuds[[#This Row],[StudID]],tblStudents[StudID],tblStudents[PersonID]),tblPersons[PersonID],tblPersons[LastName])</f>
        <v>Calsado</v>
      </c>
      <c r="N180" t="str">
        <f>LOOKUP(LOOKUP(tblEnrolledStuds[[#This Row],[StudID]],tblStudents[StudID],tblStudents[PersonID]),tblPersons[PersonID],tblPersons[FirstName])</f>
        <v>Kem Diobeth</v>
      </c>
    </row>
    <row r="181" spans="2:14" hidden="1" x14ac:dyDescent="0.25">
      <c r="B181">
        <v>179</v>
      </c>
      <c r="C181" s="32">
        <v>42163.333333333336</v>
      </c>
      <c r="D181">
        <v>8</v>
      </c>
      <c r="E181">
        <v>19</v>
      </c>
      <c r="F181">
        <v>1</v>
      </c>
      <c r="G181">
        <v>3</v>
      </c>
      <c r="H181">
        <v>1</v>
      </c>
      <c r="J181" t="str">
        <f t="shared" si="2"/>
        <v>(NULL,"2015-06-08","8","19","1","3","1"),</v>
      </c>
      <c r="K181" t="str">
        <f>TextJoin(tblEnrolledStuds[[#This Row],[DateEnrolled]:[ScholasticStatusID]],"Value")</f>
        <v>"2015-06-08","8","19","1","3","1"</v>
      </c>
      <c r="L181">
        <f>LOOKUP(tblEnrolledStuds[[#This Row],[StudID]],tblStudents[StudID],tblStudents[PersonID])</f>
        <v>19</v>
      </c>
      <c r="M181" t="str">
        <f>LOOKUP(LOOKUP(tblEnrolledStuds[[#This Row],[StudID]],tblStudents[StudID],tblStudents[PersonID]),tblPersons[PersonID],tblPersons[LastName])</f>
        <v>Chua</v>
      </c>
      <c r="N181" t="str">
        <f>LOOKUP(LOOKUP(tblEnrolledStuds[[#This Row],[StudID]],tblStudents[StudID],tblStudents[PersonID]),tblPersons[PersonID],tblPersons[FirstName])</f>
        <v>Alexander Jr.</v>
      </c>
    </row>
    <row r="182" spans="2:14" hidden="1" x14ac:dyDescent="0.25">
      <c r="B182">
        <v>180</v>
      </c>
      <c r="C182" s="32">
        <v>42163.333333333336</v>
      </c>
      <c r="D182">
        <v>8</v>
      </c>
      <c r="E182">
        <v>20</v>
      </c>
      <c r="F182">
        <v>1</v>
      </c>
      <c r="G182">
        <v>3</v>
      </c>
      <c r="H182">
        <v>1</v>
      </c>
      <c r="J182" t="str">
        <f t="shared" si="2"/>
        <v>(NULL,"2015-06-08","8","20","1","3","1"),</v>
      </c>
      <c r="K182" t="str">
        <f>TextJoin(tblEnrolledStuds[[#This Row],[DateEnrolled]:[ScholasticStatusID]],"Value")</f>
        <v>"2015-06-08","8","20","1","3","1"</v>
      </c>
      <c r="L182">
        <f>LOOKUP(tblEnrolledStuds[[#This Row],[StudID]],tblStudents[StudID],tblStudents[PersonID])</f>
        <v>20</v>
      </c>
      <c r="M182" t="str">
        <f>LOOKUP(LOOKUP(tblEnrolledStuds[[#This Row],[StudID]],tblStudents[StudID],tblStudents[PersonID]),tblPersons[PersonID],tblPersons[LastName])</f>
        <v>Coloma</v>
      </c>
      <c r="N182" t="str">
        <f>LOOKUP(LOOKUP(tblEnrolledStuds[[#This Row],[StudID]],tblStudents[StudID],tblStudents[PersonID]),tblPersons[PersonID],tblPersons[FirstName])</f>
        <v>Angelica</v>
      </c>
    </row>
    <row r="183" spans="2:14" hidden="1" x14ac:dyDescent="0.25">
      <c r="B183">
        <v>181</v>
      </c>
      <c r="C183" s="32">
        <v>42163.333333333336</v>
      </c>
      <c r="D183">
        <v>8</v>
      </c>
      <c r="E183">
        <v>32</v>
      </c>
      <c r="F183">
        <v>1</v>
      </c>
      <c r="G183">
        <v>2</v>
      </c>
      <c r="H183">
        <v>1</v>
      </c>
      <c r="J183" t="str">
        <f t="shared" si="2"/>
        <v>(NULL,"2015-06-08","8","32","1","2","1"),</v>
      </c>
      <c r="K183" t="str">
        <f>TextJoin(tblEnrolledStuds[[#This Row],[DateEnrolled]:[ScholasticStatusID]],"Value")</f>
        <v>"2015-06-08","8","32","1","2","1"</v>
      </c>
      <c r="L183">
        <f>LOOKUP(tblEnrolledStuds[[#This Row],[StudID]],tblStudents[StudID],tblStudents[PersonID])</f>
        <v>32</v>
      </c>
      <c r="M183" t="str">
        <f>LOOKUP(LOOKUP(tblEnrolledStuds[[#This Row],[StudID]],tblStudents[StudID],tblStudents[PersonID]),tblPersons[PersonID],tblPersons[LastName])</f>
        <v>Hibi</v>
      </c>
      <c r="N183" t="str">
        <f>LOOKUP(LOOKUP(tblEnrolledStuds[[#This Row],[StudID]],tblStudents[StudID],tblStudents[PersonID]),tblPersons[PersonID],tblPersons[FirstName])</f>
        <v>Keisom</v>
      </c>
    </row>
    <row r="184" spans="2:14" hidden="1" x14ac:dyDescent="0.25">
      <c r="B184">
        <v>182</v>
      </c>
      <c r="C184" s="32">
        <v>42163.333333333336</v>
      </c>
      <c r="D184">
        <v>8</v>
      </c>
      <c r="E184">
        <v>35</v>
      </c>
      <c r="F184">
        <v>1</v>
      </c>
      <c r="G184">
        <v>2</v>
      </c>
      <c r="H184">
        <v>1</v>
      </c>
      <c r="J184" t="str">
        <f t="shared" si="2"/>
        <v>(NULL,"2015-06-08","8","35","1","2","1"),</v>
      </c>
      <c r="K184" t="str">
        <f>TextJoin(tblEnrolledStuds[[#This Row],[DateEnrolled]:[ScholasticStatusID]],"Value")</f>
        <v>"2015-06-08","8","35","1","2","1"</v>
      </c>
      <c r="L184">
        <f>LOOKUP(tblEnrolledStuds[[#This Row],[StudID]],tblStudents[StudID],tblStudents[PersonID])</f>
        <v>35</v>
      </c>
      <c r="M184" t="str">
        <f>LOOKUP(LOOKUP(tblEnrolledStuds[[#This Row],[StudID]],tblStudents[StudID],tblStudents[PersonID]),tblPersons[PersonID],tblPersons[LastName])</f>
        <v>Latayan</v>
      </c>
      <c r="N184" t="str">
        <f>LOOKUP(LOOKUP(tblEnrolledStuds[[#This Row],[StudID]],tblStudents[StudID],tblStudents[PersonID]),tblPersons[PersonID],tblPersons[FirstName])</f>
        <v>Regina Shane</v>
      </c>
    </row>
    <row r="185" spans="2:14" hidden="1" x14ac:dyDescent="0.25">
      <c r="B185">
        <v>183</v>
      </c>
      <c r="C185" s="32">
        <v>42163.333333333336</v>
      </c>
      <c r="D185">
        <v>8</v>
      </c>
      <c r="E185">
        <v>37</v>
      </c>
      <c r="F185">
        <v>2</v>
      </c>
      <c r="G185">
        <v>3</v>
      </c>
      <c r="H185">
        <v>1</v>
      </c>
      <c r="J185" t="str">
        <f t="shared" si="2"/>
        <v>(NULL,"2015-06-08","8","37","2","3","1"),</v>
      </c>
      <c r="K185" t="str">
        <f>TextJoin(tblEnrolledStuds[[#This Row],[DateEnrolled]:[ScholasticStatusID]],"Value")</f>
        <v>"2015-06-08","8","37","2","3","1"</v>
      </c>
      <c r="L185">
        <f>LOOKUP(tblEnrolledStuds[[#This Row],[StudID]],tblStudents[StudID],tblStudents[PersonID])</f>
        <v>37</v>
      </c>
      <c r="M185" t="str">
        <f>LOOKUP(LOOKUP(tblEnrolledStuds[[#This Row],[StudID]],tblStudents[StudID],tblStudents[PersonID]),tblPersons[PersonID],tblPersons[LastName])</f>
        <v>Manalili</v>
      </c>
      <c r="N185" t="str">
        <f>LOOKUP(LOOKUP(tblEnrolledStuds[[#This Row],[StudID]],tblStudents[StudID],tblStudents[PersonID]),tblPersons[PersonID],tblPersons[FirstName])</f>
        <v>AJ</v>
      </c>
    </row>
    <row r="186" spans="2:14" hidden="1" x14ac:dyDescent="0.25">
      <c r="B186">
        <v>184</v>
      </c>
      <c r="C186" s="32">
        <v>42163.333333333336</v>
      </c>
      <c r="D186">
        <v>8</v>
      </c>
      <c r="E186">
        <v>40</v>
      </c>
      <c r="F186">
        <v>1</v>
      </c>
      <c r="G186">
        <v>3</v>
      </c>
      <c r="H186">
        <v>1</v>
      </c>
      <c r="J186" t="str">
        <f t="shared" si="2"/>
        <v>(NULL,"2015-06-08","8","40","1","3","1"),</v>
      </c>
      <c r="K186" t="str">
        <f>TextJoin(tblEnrolledStuds[[#This Row],[DateEnrolled]:[ScholasticStatusID]],"Value")</f>
        <v>"2015-06-08","8","40","1","3","1"</v>
      </c>
      <c r="L186">
        <f>LOOKUP(tblEnrolledStuds[[#This Row],[StudID]],tblStudents[StudID],tblStudents[PersonID])</f>
        <v>40</v>
      </c>
      <c r="M186" t="str">
        <f>LOOKUP(LOOKUP(tblEnrolledStuds[[#This Row],[StudID]],tblStudents[StudID],tblStudents[PersonID]),tblPersons[PersonID],tblPersons[LastName])</f>
        <v>Mendoza</v>
      </c>
      <c r="N186" t="str">
        <f>LOOKUP(LOOKUP(tblEnrolledStuds[[#This Row],[StudID]],tblStudents[StudID],tblStudents[PersonID]),tblPersons[PersonID],tblPersons[FirstName])</f>
        <v>Kyla Louisse</v>
      </c>
    </row>
    <row r="187" spans="2:14" hidden="1" x14ac:dyDescent="0.25">
      <c r="B187">
        <v>185</v>
      </c>
      <c r="C187" s="32">
        <v>42163.333333333336</v>
      </c>
      <c r="D187">
        <v>8</v>
      </c>
      <c r="E187">
        <v>47</v>
      </c>
      <c r="F187">
        <v>2</v>
      </c>
      <c r="G187">
        <v>2</v>
      </c>
      <c r="H187">
        <v>1</v>
      </c>
      <c r="J187" t="str">
        <f t="shared" si="2"/>
        <v>(NULL,"2015-06-08","8","47","2","2","1"),</v>
      </c>
      <c r="K187" t="str">
        <f>TextJoin(tblEnrolledStuds[[#This Row],[DateEnrolled]:[ScholasticStatusID]],"Value")</f>
        <v>"2015-06-08","8","47","2","2","1"</v>
      </c>
      <c r="L187">
        <f>LOOKUP(tblEnrolledStuds[[#This Row],[StudID]],tblStudents[StudID],tblStudents[PersonID])</f>
        <v>47</v>
      </c>
      <c r="M187" t="str">
        <f>LOOKUP(LOOKUP(tblEnrolledStuds[[#This Row],[StudID]],tblStudents[StudID],tblStudents[PersonID]),tblPersons[PersonID],tblPersons[LastName])</f>
        <v>Ornos</v>
      </c>
      <c r="N187" t="str">
        <f>LOOKUP(LOOKUP(tblEnrolledStuds[[#This Row],[StudID]],tblStudents[StudID],tblStudents[PersonID]),tblPersons[PersonID],tblPersons[FirstName])</f>
        <v>Dondon</v>
      </c>
    </row>
    <row r="188" spans="2:14" hidden="1" x14ac:dyDescent="0.25">
      <c r="B188">
        <v>186</v>
      </c>
      <c r="C188" s="32">
        <v>42163.333333333336</v>
      </c>
      <c r="D188">
        <v>8</v>
      </c>
      <c r="E188">
        <v>51</v>
      </c>
      <c r="F188">
        <v>1</v>
      </c>
      <c r="G188">
        <v>3</v>
      </c>
      <c r="H188">
        <v>1</v>
      </c>
      <c r="J188" t="str">
        <f t="shared" si="2"/>
        <v>(NULL,"2015-06-08","8","51","1","3","1"),</v>
      </c>
      <c r="K188" t="str">
        <f>TextJoin(tblEnrolledStuds[[#This Row],[DateEnrolled]:[ScholasticStatusID]],"Value")</f>
        <v>"2015-06-08","8","51","1","3","1"</v>
      </c>
      <c r="L188">
        <f>LOOKUP(tblEnrolledStuds[[#This Row],[StudID]],tblStudents[StudID],tblStudents[PersonID])</f>
        <v>51</v>
      </c>
      <c r="M188" t="str">
        <f>LOOKUP(LOOKUP(tblEnrolledStuds[[#This Row],[StudID]],tblStudents[StudID],tblStudents[PersonID]),tblPersons[PersonID],tblPersons[LastName])</f>
        <v>Peña</v>
      </c>
      <c r="N188" t="str">
        <f>LOOKUP(LOOKUP(tblEnrolledStuds[[#This Row],[StudID]],tblStudents[StudID],tblStudents[PersonID]),tblPersons[PersonID],tblPersons[FirstName])</f>
        <v>Nathaniel</v>
      </c>
    </row>
    <row r="189" spans="2:14" hidden="1" x14ac:dyDescent="0.25">
      <c r="B189">
        <v>187</v>
      </c>
      <c r="C189" s="32">
        <v>42163.333333333336</v>
      </c>
      <c r="D189">
        <v>8</v>
      </c>
      <c r="E189">
        <v>54</v>
      </c>
      <c r="F189">
        <v>1</v>
      </c>
      <c r="G189">
        <v>3</v>
      </c>
      <c r="H189">
        <v>1</v>
      </c>
      <c r="J189" t="str">
        <f t="shared" si="2"/>
        <v>(NULL,"2015-06-08","8","54","1","3","1"),</v>
      </c>
      <c r="K189" t="str">
        <f>TextJoin(tblEnrolledStuds[[#This Row],[DateEnrolled]:[ScholasticStatusID]],"Value")</f>
        <v>"2015-06-08","8","54","1","3","1"</v>
      </c>
      <c r="L189">
        <f>LOOKUP(tblEnrolledStuds[[#This Row],[StudID]],tblStudents[StudID],tblStudents[PersonID])</f>
        <v>54</v>
      </c>
      <c r="M189" t="str">
        <f>LOOKUP(LOOKUP(tblEnrolledStuds[[#This Row],[StudID]],tblStudents[StudID],tblStudents[PersonID]),tblPersons[PersonID],tblPersons[LastName])</f>
        <v>Quiachon</v>
      </c>
      <c r="N189" t="str">
        <f>LOOKUP(LOOKUP(tblEnrolledStuds[[#This Row],[StudID]],tblStudents[StudID],tblStudents[PersonID]),tblPersons[PersonID],tblPersons[FirstName])</f>
        <v>Willard</v>
      </c>
    </row>
    <row r="190" spans="2:14" hidden="1" x14ac:dyDescent="0.25">
      <c r="B190">
        <v>188</v>
      </c>
      <c r="C190" s="32">
        <v>42163.333333333336</v>
      </c>
      <c r="D190">
        <v>8</v>
      </c>
      <c r="E190">
        <v>67</v>
      </c>
      <c r="F190">
        <v>2</v>
      </c>
      <c r="G190">
        <v>2</v>
      </c>
      <c r="H190">
        <v>1</v>
      </c>
      <c r="J190" t="str">
        <f t="shared" si="2"/>
        <v>(NULL,"2015-06-08","8","67","2","2","1"),</v>
      </c>
      <c r="K190" t="str">
        <f>TextJoin(tblEnrolledStuds[[#This Row],[DateEnrolled]:[ScholasticStatusID]],"Value")</f>
        <v>"2015-06-08","8","67","2","2","1"</v>
      </c>
      <c r="L190">
        <f>LOOKUP(tblEnrolledStuds[[#This Row],[StudID]],tblStudents[StudID],tblStudents[PersonID])</f>
        <v>67</v>
      </c>
      <c r="M190" t="str">
        <f>LOOKUP(LOOKUP(tblEnrolledStuds[[#This Row],[StudID]],tblStudents[StudID],tblStudents[PersonID]),tblPersons[PersonID],tblPersons[LastName])</f>
        <v>Tigno</v>
      </c>
      <c r="N190" t="str">
        <f>LOOKUP(LOOKUP(tblEnrolledStuds[[#This Row],[StudID]],tblStudents[StudID],tblStudents[PersonID]),tblPersons[PersonID],tblPersons[FirstName])</f>
        <v>Joshua</v>
      </c>
    </row>
    <row r="191" spans="2:14" hidden="1" x14ac:dyDescent="0.25">
      <c r="B191">
        <v>189</v>
      </c>
      <c r="C191" s="32">
        <v>42163.333333333336</v>
      </c>
      <c r="D191">
        <v>8</v>
      </c>
      <c r="E191">
        <v>70</v>
      </c>
      <c r="F191">
        <v>2</v>
      </c>
      <c r="G191">
        <v>3</v>
      </c>
      <c r="H191">
        <v>1</v>
      </c>
      <c r="J191" t="str">
        <f t="shared" si="2"/>
        <v>(NULL,"2015-06-08","8","70","2","3","1"),</v>
      </c>
      <c r="K191" t="str">
        <f>TextJoin(tblEnrolledStuds[[#This Row],[DateEnrolled]:[ScholasticStatusID]],"Value")</f>
        <v>"2015-06-08","8","70","2","3","1"</v>
      </c>
      <c r="L191">
        <f>LOOKUP(tblEnrolledStuds[[#This Row],[StudID]],tblStudents[StudID],tblStudents[PersonID])</f>
        <v>70</v>
      </c>
      <c r="M191" t="str">
        <f>LOOKUP(LOOKUP(tblEnrolledStuds[[#This Row],[StudID]],tblStudents[StudID],tblStudents[PersonID]),tblPersons[PersonID],tblPersons[LastName])</f>
        <v>Yolola</v>
      </c>
      <c r="N191" t="str">
        <f>LOOKUP(LOOKUP(tblEnrolledStuds[[#This Row],[StudID]],tblStudents[StudID],tblStudents[PersonID]),tblPersons[PersonID],tblPersons[FirstName])</f>
        <v>Kenneth Arvin</v>
      </c>
    </row>
    <row r="192" spans="2:14" hidden="1" x14ac:dyDescent="0.25">
      <c r="B192">
        <v>190</v>
      </c>
      <c r="C192" s="32">
        <v>41953.333333333336</v>
      </c>
      <c r="D192">
        <v>8</v>
      </c>
      <c r="E192">
        <v>71</v>
      </c>
      <c r="F192">
        <v>2</v>
      </c>
      <c r="G192">
        <v>2</v>
      </c>
      <c r="H192">
        <v>1</v>
      </c>
      <c r="J192" t="str">
        <f t="shared" si="2"/>
        <v>(NULL,"2014-11-10","8","71","2","2","1"),</v>
      </c>
      <c r="K192" t="str">
        <f>TextJoin(tblEnrolledStuds[[#This Row],[DateEnrolled]:[ScholasticStatusID]],"Value")</f>
        <v>"2014-11-10","8","71","2","2","1"</v>
      </c>
      <c r="L192">
        <f>LOOKUP(tblEnrolledStuds[[#This Row],[StudID]],tblStudents[StudID],tblStudents[PersonID])</f>
        <v>71</v>
      </c>
      <c r="M192" t="str">
        <f>LOOKUP(LOOKUP(tblEnrolledStuds[[#This Row],[StudID]],tblStudents[StudID],tblStudents[PersonID]),tblPersons[PersonID],tblPersons[LastName])</f>
        <v>Zapata</v>
      </c>
      <c r="N192" t="str">
        <f>LOOKUP(LOOKUP(tblEnrolledStuds[[#This Row],[StudID]],tblStudents[StudID],tblStudents[PersonID]),tblPersons[PersonID],tblPersons[FirstName])</f>
        <v>Jerom</v>
      </c>
    </row>
    <row r="193" spans="2:14" hidden="1" x14ac:dyDescent="0.25">
      <c r="B193">
        <v>191</v>
      </c>
      <c r="C193" s="32">
        <v>41953.333333333336</v>
      </c>
      <c r="D193">
        <v>9</v>
      </c>
      <c r="E193">
        <v>12</v>
      </c>
      <c r="F193">
        <v>1</v>
      </c>
      <c r="G193">
        <v>2</v>
      </c>
      <c r="H193">
        <v>1</v>
      </c>
      <c r="J193" t="str">
        <f t="shared" si="2"/>
        <v>(NULL,"2014-11-10","9","12","1","2","1"),</v>
      </c>
      <c r="K193" t="str">
        <f>TextJoin(tblEnrolledStuds[[#This Row],[DateEnrolled]:[ScholasticStatusID]],"Value")</f>
        <v>"2014-11-10","9","12","1","2","1"</v>
      </c>
      <c r="L193">
        <f>LOOKUP(tblEnrolledStuds[[#This Row],[StudID]],tblStudents[StudID],tblStudents[PersonID])</f>
        <v>12</v>
      </c>
      <c r="M193" t="str">
        <f>LOOKUP(LOOKUP(tblEnrolledStuds[[#This Row],[StudID]],tblStudents[StudID],tblStudents[PersonID]),tblPersons[PersonID],tblPersons[LastName])</f>
        <v>Bonto</v>
      </c>
      <c r="N193" t="str">
        <f>LOOKUP(LOOKUP(tblEnrolledStuds[[#This Row],[StudID]],tblStudents[StudID],tblStudents[PersonID]),tblPersons[PersonID],tblPersons[FirstName])</f>
        <v>Marc Anthony</v>
      </c>
    </row>
    <row r="194" spans="2:14" hidden="1" x14ac:dyDescent="0.25">
      <c r="B194">
        <v>192</v>
      </c>
      <c r="C194" s="32">
        <v>41953.333333333336</v>
      </c>
      <c r="D194">
        <v>9</v>
      </c>
      <c r="E194">
        <v>37</v>
      </c>
      <c r="F194">
        <v>1</v>
      </c>
      <c r="G194">
        <v>3</v>
      </c>
      <c r="H194">
        <v>1</v>
      </c>
      <c r="J194" t="str">
        <f t="shared" si="2"/>
        <v>(NULL,"2014-11-10","9","37","1","3","1"),</v>
      </c>
      <c r="K194" t="str">
        <f>TextJoin(tblEnrolledStuds[[#This Row],[DateEnrolled]:[ScholasticStatusID]],"Value")</f>
        <v>"2014-11-10","9","37","1","3","1"</v>
      </c>
      <c r="L194">
        <f>LOOKUP(tblEnrolledStuds[[#This Row],[StudID]],tblStudents[StudID],tblStudents[PersonID])</f>
        <v>37</v>
      </c>
      <c r="M194" t="str">
        <f>LOOKUP(LOOKUP(tblEnrolledStuds[[#This Row],[StudID]],tblStudents[StudID],tblStudents[PersonID]),tblPersons[PersonID],tblPersons[LastName])</f>
        <v>Manalili</v>
      </c>
      <c r="N194" t="str">
        <f>LOOKUP(LOOKUP(tblEnrolledStuds[[#This Row],[StudID]],tblStudents[StudID],tblStudents[PersonID]),tblPersons[PersonID],tblPersons[FirstName])</f>
        <v>AJ</v>
      </c>
    </row>
    <row r="195" spans="2:14" hidden="1" x14ac:dyDescent="0.25">
      <c r="B195">
        <v>193</v>
      </c>
      <c r="C195" s="32">
        <v>41953.333333333336</v>
      </c>
      <c r="D195">
        <v>9</v>
      </c>
      <c r="E195">
        <v>47</v>
      </c>
      <c r="F195">
        <v>1</v>
      </c>
      <c r="G195">
        <v>2</v>
      </c>
      <c r="H195">
        <v>1</v>
      </c>
      <c r="J195" t="str">
        <f t="shared" si="2"/>
        <v>(NULL,"2014-11-10","9","47","1","2","1"),</v>
      </c>
      <c r="K195" t="str">
        <f>TextJoin(tblEnrolledStuds[[#This Row],[DateEnrolled]:[ScholasticStatusID]],"Value")</f>
        <v>"2014-11-10","9","47","1","2","1"</v>
      </c>
      <c r="L195">
        <f>LOOKUP(tblEnrolledStuds[[#This Row],[StudID]],tblStudents[StudID],tblStudents[PersonID])</f>
        <v>47</v>
      </c>
      <c r="M195" t="str">
        <f>LOOKUP(LOOKUP(tblEnrolledStuds[[#This Row],[StudID]],tblStudents[StudID],tblStudents[PersonID]),tblPersons[PersonID],tblPersons[LastName])</f>
        <v>Ornos</v>
      </c>
      <c r="N195" t="str">
        <f>LOOKUP(LOOKUP(tblEnrolledStuds[[#This Row],[StudID]],tblStudents[StudID],tblStudents[PersonID]),tblPersons[PersonID],tblPersons[FirstName])</f>
        <v>Dondon</v>
      </c>
    </row>
    <row r="196" spans="2:14" hidden="1" x14ac:dyDescent="0.25">
      <c r="B196">
        <v>194</v>
      </c>
      <c r="C196" s="32">
        <v>41953.333333333336</v>
      </c>
      <c r="D196">
        <v>9</v>
      </c>
      <c r="E196">
        <v>67</v>
      </c>
      <c r="F196">
        <v>1</v>
      </c>
      <c r="G196">
        <v>2</v>
      </c>
      <c r="H196">
        <v>1</v>
      </c>
      <c r="J196" t="str">
        <f t="shared" ref="J196:J197" si="3">"(NULL,"&amp;K196&amp;")"&amp;IF(J197&lt;&gt;"",",",";")</f>
        <v>(NULL,"2014-11-10","9","67","1","2","1"),</v>
      </c>
      <c r="K196" t="str">
        <f>TextJoin(tblEnrolledStuds[[#This Row],[DateEnrolled]:[ScholasticStatusID]],"Value")</f>
        <v>"2014-11-10","9","67","1","2","1"</v>
      </c>
      <c r="L196">
        <f>LOOKUP(tblEnrolledStuds[[#This Row],[StudID]],tblStudents[StudID],tblStudents[PersonID])</f>
        <v>67</v>
      </c>
      <c r="M196" t="str">
        <f>LOOKUP(LOOKUP(tblEnrolledStuds[[#This Row],[StudID]],tblStudents[StudID],tblStudents[PersonID]),tblPersons[PersonID],tblPersons[LastName])</f>
        <v>Tigno</v>
      </c>
      <c r="N196" t="str">
        <f>LOOKUP(LOOKUP(tblEnrolledStuds[[#This Row],[StudID]],tblStudents[StudID],tblStudents[PersonID]),tblPersons[PersonID],tblPersons[FirstName])</f>
        <v>Joshua</v>
      </c>
    </row>
    <row r="197" spans="2:14" hidden="1" x14ac:dyDescent="0.25">
      <c r="B197">
        <v>195</v>
      </c>
      <c r="C197" s="32">
        <v>41953.333333333336</v>
      </c>
      <c r="D197">
        <v>9</v>
      </c>
      <c r="E197">
        <v>70</v>
      </c>
      <c r="F197">
        <v>1</v>
      </c>
      <c r="G197">
        <v>3</v>
      </c>
      <c r="H197">
        <v>1</v>
      </c>
      <c r="J197" t="str">
        <f t="shared" si="3"/>
        <v>(NULL,"2014-11-10","9","70","1","3","1"),</v>
      </c>
      <c r="K197" t="str">
        <f>TextJoin(tblEnrolledStuds[[#This Row],[DateEnrolled]:[ScholasticStatusID]],"Value")</f>
        <v>"2014-11-10","9","70","1","3","1"</v>
      </c>
      <c r="L197">
        <f>LOOKUP(tblEnrolledStuds[[#This Row],[StudID]],tblStudents[StudID],tblStudents[PersonID])</f>
        <v>70</v>
      </c>
      <c r="M197" t="str">
        <f>LOOKUP(LOOKUP(tblEnrolledStuds[[#This Row],[StudID]],tblStudents[StudID],tblStudents[PersonID]),tblPersons[PersonID],tblPersons[LastName])</f>
        <v>Yolola</v>
      </c>
      <c r="N197" t="str">
        <f>LOOKUP(LOOKUP(tblEnrolledStuds[[#This Row],[StudID]],tblStudents[StudID],tblStudents[PersonID]),tblPersons[PersonID],tblPersons[FirstName])</f>
        <v>Kenneth Arvin</v>
      </c>
    </row>
    <row r="198" spans="2:14" hidden="1" x14ac:dyDescent="0.25">
      <c r="B198">
        <v>196</v>
      </c>
      <c r="C198" s="32">
        <v>41799.333333333336</v>
      </c>
      <c r="D198">
        <v>9</v>
      </c>
      <c r="E198">
        <v>71</v>
      </c>
      <c r="F198">
        <v>1</v>
      </c>
      <c r="G198">
        <v>2</v>
      </c>
      <c r="H198">
        <v>1</v>
      </c>
      <c r="J198" t="str">
        <f t="shared" ref="J198:J203" si="4">"(NULL,"&amp;K198&amp;")"&amp;IF(J199&lt;&gt;"",",",";")</f>
        <v>(NULL,"2014-06-09","9","71","1","2","1"),</v>
      </c>
      <c r="K198" t="str">
        <f>TextJoin(tblEnrolledStuds[[#This Row],[DateEnrolled]:[ScholasticStatusID]],"Value")</f>
        <v>"2014-06-09","9","71","1","2","1"</v>
      </c>
      <c r="L198">
        <f>LOOKUP(tblEnrolledStuds[[#This Row],[StudID]],tblStudents[StudID],tblStudents[PersonID])</f>
        <v>71</v>
      </c>
      <c r="M198" t="str">
        <f>LOOKUP(LOOKUP(tblEnrolledStuds[[#This Row],[StudID]],tblStudents[StudID],tblStudents[PersonID]),tblPersons[PersonID],tblPersons[LastName])</f>
        <v>Zapata</v>
      </c>
      <c r="N198" t="str">
        <f>LOOKUP(LOOKUP(tblEnrolledStuds[[#This Row],[StudID]],tblStudents[StudID],tblStudents[PersonID]),tblPersons[PersonID],tblPersons[FirstName])</f>
        <v>Jerom</v>
      </c>
    </row>
    <row r="199" spans="2:14" hidden="1" x14ac:dyDescent="0.25">
      <c r="B199">
        <v>197</v>
      </c>
      <c r="C199" s="32">
        <v>41799.333333333336</v>
      </c>
      <c r="D199">
        <v>10</v>
      </c>
      <c r="E199">
        <v>12</v>
      </c>
      <c r="F199">
        <v>1</v>
      </c>
      <c r="G199">
        <v>2</v>
      </c>
      <c r="H199">
        <v>1</v>
      </c>
      <c r="J199" t="str">
        <f t="shared" si="4"/>
        <v>(NULL,"2014-06-09","10","12","1","2","1"),</v>
      </c>
      <c r="K199" t="str">
        <f>TextJoin(tblEnrolledStuds[[#This Row],[DateEnrolled]:[ScholasticStatusID]],"Value")</f>
        <v>"2014-06-09","10","12","1","2","1"</v>
      </c>
      <c r="L199">
        <f>LOOKUP(tblEnrolledStuds[[#This Row],[StudID]],tblStudents[StudID],tblStudents[PersonID])</f>
        <v>12</v>
      </c>
      <c r="M199" t="str">
        <f>LOOKUP(LOOKUP(tblEnrolledStuds[[#This Row],[StudID]],tblStudents[StudID],tblStudents[PersonID]),tblPersons[PersonID],tblPersons[LastName])</f>
        <v>Bonto</v>
      </c>
      <c r="N199" t="str">
        <f>LOOKUP(LOOKUP(tblEnrolledStuds[[#This Row],[StudID]],tblStudents[StudID],tblStudents[PersonID]),tblPersons[PersonID],tblPersons[FirstName])</f>
        <v>Marc Anthony</v>
      </c>
    </row>
    <row r="200" spans="2:14" hidden="1" x14ac:dyDescent="0.25">
      <c r="B200">
        <v>198</v>
      </c>
      <c r="C200" s="32">
        <v>41799.333333333336</v>
      </c>
      <c r="D200">
        <v>10</v>
      </c>
      <c r="E200">
        <v>37</v>
      </c>
      <c r="F200">
        <v>1</v>
      </c>
      <c r="G200">
        <v>1</v>
      </c>
      <c r="H200">
        <v>1</v>
      </c>
      <c r="J200" t="str">
        <f t="shared" si="4"/>
        <v>(NULL,"2014-06-09","10","37","1","1","1"),</v>
      </c>
      <c r="K200" t="str">
        <f>TextJoin(tblEnrolledStuds[[#This Row],[DateEnrolled]:[ScholasticStatusID]],"Value")</f>
        <v>"2014-06-09","10","37","1","1","1"</v>
      </c>
      <c r="L200">
        <f>LOOKUP(tblEnrolledStuds[[#This Row],[StudID]],tblStudents[StudID],tblStudents[PersonID])</f>
        <v>37</v>
      </c>
      <c r="M200" t="str">
        <f>LOOKUP(LOOKUP(tblEnrolledStuds[[#This Row],[StudID]],tblStudents[StudID],tblStudents[PersonID]),tblPersons[PersonID],tblPersons[LastName])</f>
        <v>Manalili</v>
      </c>
      <c r="N200" t="str">
        <f>LOOKUP(LOOKUP(tblEnrolledStuds[[#This Row],[StudID]],tblStudents[StudID],tblStudents[PersonID]),tblPersons[PersonID],tblPersons[FirstName])</f>
        <v>AJ</v>
      </c>
    </row>
    <row r="201" spans="2:14" hidden="1" x14ac:dyDescent="0.25">
      <c r="B201">
        <v>199</v>
      </c>
      <c r="C201" s="32">
        <v>41799.333333333336</v>
      </c>
      <c r="D201">
        <v>10</v>
      </c>
      <c r="E201">
        <v>47</v>
      </c>
      <c r="F201">
        <v>1</v>
      </c>
      <c r="G201">
        <v>2</v>
      </c>
      <c r="H201">
        <v>1</v>
      </c>
      <c r="J201" t="str">
        <f t="shared" si="4"/>
        <v>(NULL,"2014-06-09","10","47","1","2","1"),</v>
      </c>
      <c r="K201" t="str">
        <f>TextJoin(tblEnrolledStuds[[#This Row],[DateEnrolled]:[ScholasticStatusID]],"Value")</f>
        <v>"2014-06-09","10","47","1","2","1"</v>
      </c>
      <c r="L201">
        <f>LOOKUP(tblEnrolledStuds[[#This Row],[StudID]],tblStudents[StudID],tblStudents[PersonID])</f>
        <v>47</v>
      </c>
      <c r="M201" t="str">
        <f>LOOKUP(LOOKUP(tblEnrolledStuds[[#This Row],[StudID]],tblStudents[StudID],tblStudents[PersonID]),tblPersons[PersonID],tblPersons[LastName])</f>
        <v>Ornos</v>
      </c>
      <c r="N201" t="str">
        <f>LOOKUP(LOOKUP(tblEnrolledStuds[[#This Row],[StudID]],tblStudents[StudID],tblStudents[PersonID]),tblPersons[PersonID],tblPersons[FirstName])</f>
        <v>Dondon</v>
      </c>
    </row>
    <row r="202" spans="2:14" hidden="1" x14ac:dyDescent="0.25">
      <c r="B202">
        <v>200</v>
      </c>
      <c r="C202" s="32">
        <v>41799.333333333336</v>
      </c>
      <c r="D202">
        <v>10</v>
      </c>
      <c r="E202">
        <v>67</v>
      </c>
      <c r="F202">
        <v>1</v>
      </c>
      <c r="G202">
        <v>2</v>
      </c>
      <c r="H202">
        <v>1</v>
      </c>
      <c r="J202" t="str">
        <f t="shared" si="4"/>
        <v>(NULL,"2014-06-09","10","67","1","2","1"),</v>
      </c>
      <c r="K202" t="str">
        <f>TextJoin(tblEnrolledStuds[[#This Row],[DateEnrolled]:[ScholasticStatusID]],"Value")</f>
        <v>"2014-06-09","10","67","1","2","1"</v>
      </c>
      <c r="L202">
        <f>LOOKUP(tblEnrolledStuds[[#This Row],[StudID]],tblStudents[StudID],tblStudents[PersonID])</f>
        <v>67</v>
      </c>
      <c r="M202" t="str">
        <f>LOOKUP(LOOKUP(tblEnrolledStuds[[#This Row],[StudID]],tblStudents[StudID],tblStudents[PersonID]),tblPersons[PersonID],tblPersons[LastName])</f>
        <v>Tigno</v>
      </c>
      <c r="N202" t="str">
        <f>LOOKUP(LOOKUP(tblEnrolledStuds[[#This Row],[StudID]],tblStudents[StudID],tblStudents[PersonID]),tblPersons[PersonID],tblPersons[FirstName])</f>
        <v>Joshua</v>
      </c>
    </row>
    <row r="203" spans="2:14" hidden="1" x14ac:dyDescent="0.25">
      <c r="B203">
        <v>201</v>
      </c>
      <c r="C203" s="32">
        <v>41799.333333333336</v>
      </c>
      <c r="D203">
        <v>10</v>
      </c>
      <c r="E203">
        <v>70</v>
      </c>
      <c r="F203">
        <v>1</v>
      </c>
      <c r="G203">
        <v>1</v>
      </c>
      <c r="H203">
        <v>1</v>
      </c>
      <c r="J203" t="str">
        <f t="shared" si="4"/>
        <v>(NULL,"2014-06-09","10","70","1","1","1"),</v>
      </c>
      <c r="K203" t="str">
        <f>TextJoin(tblEnrolledStuds[[#This Row],[DateEnrolled]:[ScholasticStatusID]],"Value")</f>
        <v>"2014-06-09","10","70","1","1","1"</v>
      </c>
      <c r="L203">
        <f>LOOKUP(tblEnrolledStuds[[#This Row],[StudID]],tblStudents[StudID],tblStudents[PersonID])</f>
        <v>70</v>
      </c>
      <c r="M203" t="str">
        <f>LOOKUP(LOOKUP(tblEnrolledStuds[[#This Row],[StudID]],tblStudents[StudID],tblStudents[PersonID]),tblPersons[PersonID],tblPersons[LastName])</f>
        <v>Yolola</v>
      </c>
      <c r="N203" t="str">
        <f>LOOKUP(LOOKUP(tblEnrolledStuds[[#This Row],[StudID]],tblStudents[StudID],tblStudents[PersonID]),tblPersons[PersonID],tblPersons[FirstName])</f>
        <v>Kenneth Arvin</v>
      </c>
    </row>
    <row r="204" spans="2:14" hidden="1" x14ac:dyDescent="0.25">
      <c r="B204">
        <v>202</v>
      </c>
      <c r="C204" s="32">
        <v>41799.333333333336</v>
      </c>
      <c r="D204">
        <v>10</v>
      </c>
      <c r="E204">
        <v>71</v>
      </c>
      <c r="F204">
        <v>1</v>
      </c>
      <c r="G204">
        <v>2</v>
      </c>
      <c r="H204">
        <v>1</v>
      </c>
      <c r="J204" t="str">
        <f t="shared" ref="J204" si="5">"(NULL,"&amp;K204&amp;")"&amp;IF(J205&lt;&gt;"",",",";")</f>
        <v>(NULL,"2014-06-09","10","71","1","2","1");</v>
      </c>
      <c r="K204" t="str">
        <f>TextJoin(tblEnrolledStuds[[#This Row],[DateEnrolled]:[ScholasticStatusID]],"Value")</f>
        <v>"2014-06-09","10","71","1","2","1"</v>
      </c>
      <c r="L204">
        <f>LOOKUP(tblEnrolledStuds[[#This Row],[StudID]],tblStudents[StudID],tblStudents[PersonID])</f>
        <v>71</v>
      </c>
      <c r="M204" t="str">
        <f>LOOKUP(LOOKUP(tblEnrolledStuds[[#This Row],[StudID]],tblStudents[StudID],tblStudents[PersonID]),tblPersons[PersonID],tblPersons[LastName])</f>
        <v>Zapata</v>
      </c>
      <c r="N204" t="str">
        <f>LOOKUP(LOOKUP(tblEnrolledStuds[[#This Row],[StudID]],tblStudents[StudID],tblStudents[PersonID]),tblPersons[PersonID],tblPersons[FirstName])</f>
        <v>Jerom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30"/>
  <sheetViews>
    <sheetView topLeftCell="A20" workbookViewId="0">
      <selection activeCell="F31" sqref="F31"/>
    </sheetView>
  </sheetViews>
  <sheetFormatPr defaultRowHeight="15" x14ac:dyDescent="0.25"/>
  <cols>
    <col min="1" max="1" width="0.85546875" customWidth="1"/>
    <col min="2" max="2" width="12.5703125" customWidth="1"/>
    <col min="3" max="3" width="10.7109375" customWidth="1"/>
    <col min="4" max="4" width="11.28515625" customWidth="1"/>
    <col min="5" max="5" width="0.85546875" customWidth="1"/>
    <col min="6" max="6" width="33" bestFit="1" customWidth="1"/>
    <col min="7" max="7" width="11.140625" customWidth="1"/>
    <col min="8" max="8" width="17.28515625" bestFit="1" customWidth="1"/>
  </cols>
  <sheetData>
    <row r="1" spans="2:7" ht="5.0999999999999996" customHeight="1" x14ac:dyDescent="0.25"/>
    <row r="2" spans="2:7" x14ac:dyDescent="0.25">
      <c r="B2" t="s">
        <v>32</v>
      </c>
      <c r="C2" t="s">
        <v>33</v>
      </c>
      <c r="D2" t="s">
        <v>13</v>
      </c>
      <c r="F2" t="str">
        <f>TextJoin(tblHiredFaculty5[#Headers])</f>
        <v>HFacultyID,STermID,FacultyID</v>
      </c>
    </row>
    <row r="3" spans="2:7" x14ac:dyDescent="0.25">
      <c r="B3">
        <v>1</v>
      </c>
      <c r="C3">
        <v>1</v>
      </c>
      <c r="D3">
        <v>1</v>
      </c>
      <c r="F3" t="str">
        <f>"(NULL,"&amp;G3&amp;")"&amp;IF(F4&lt;&gt;"",",",";")</f>
        <v>(NULL,"1","1"),</v>
      </c>
      <c r="G3" t="str">
        <f>TextJoin(tblHiredFaculty5[[#This Row],[STermID]:[FacultyID]],"Value")</f>
        <v>"1","1"</v>
      </c>
    </row>
    <row r="4" spans="2:7" x14ac:dyDescent="0.25">
      <c r="B4">
        <v>2</v>
      </c>
      <c r="C4">
        <v>1</v>
      </c>
      <c r="D4">
        <v>2</v>
      </c>
      <c r="F4" t="str">
        <f t="shared" ref="F4:F30" si="0">"(NULL,"&amp;G4&amp;")"&amp;IF(F5&lt;&gt;"",",",";")</f>
        <v>(NULL,"1","2"),</v>
      </c>
      <c r="G4" t="str">
        <f>TextJoin(tblHiredFaculty5[[#This Row],[STermID]:[FacultyID]],"Value")</f>
        <v>"1","2"</v>
      </c>
    </row>
    <row r="5" spans="2:7" x14ac:dyDescent="0.25">
      <c r="B5">
        <v>3</v>
      </c>
      <c r="C5">
        <v>1</v>
      </c>
      <c r="D5">
        <v>3</v>
      </c>
      <c r="F5" t="str">
        <f t="shared" si="0"/>
        <v>(NULL,"1","3"),</v>
      </c>
      <c r="G5" t="str">
        <f>TextJoin(tblHiredFaculty5[[#This Row],[STermID]:[FacultyID]],"Value")</f>
        <v>"1","3"</v>
      </c>
    </row>
    <row r="6" spans="2:7" x14ac:dyDescent="0.25">
      <c r="B6">
        <v>4</v>
      </c>
      <c r="C6">
        <v>1</v>
      </c>
      <c r="D6">
        <v>4</v>
      </c>
      <c r="F6" t="str">
        <f t="shared" si="0"/>
        <v>(NULL,"1","4"),</v>
      </c>
      <c r="G6" t="str">
        <f>TextJoin(tblHiredFaculty5[[#This Row],[STermID]:[FacultyID]],"Value")</f>
        <v>"1","4"</v>
      </c>
    </row>
    <row r="7" spans="2:7" x14ac:dyDescent="0.25">
      <c r="B7">
        <v>5</v>
      </c>
      <c r="C7">
        <v>1</v>
      </c>
      <c r="D7">
        <v>5</v>
      </c>
      <c r="F7" t="str">
        <f t="shared" si="0"/>
        <v>(NULL,"1","5"),</v>
      </c>
      <c r="G7" t="str">
        <f>TextJoin(tblHiredFaculty5[[#This Row],[STermID]:[FacultyID]],"Value")</f>
        <v>"1","5"</v>
      </c>
    </row>
    <row r="8" spans="2:7" x14ac:dyDescent="0.25">
      <c r="B8">
        <v>6</v>
      </c>
      <c r="C8">
        <v>1</v>
      </c>
      <c r="D8">
        <v>6</v>
      </c>
      <c r="F8" t="str">
        <f t="shared" si="0"/>
        <v>(NULL,"1","6"),</v>
      </c>
      <c r="G8" t="str">
        <f>TextJoin(tblHiredFaculty5[[#This Row],[STermID]:[FacultyID]],"Value")</f>
        <v>"1","6"</v>
      </c>
    </row>
    <row r="9" spans="2:7" x14ac:dyDescent="0.25">
      <c r="B9">
        <v>7</v>
      </c>
      <c r="C9">
        <v>1</v>
      </c>
      <c r="D9">
        <v>7</v>
      </c>
      <c r="F9" t="str">
        <f t="shared" si="0"/>
        <v>(NULL,"1","7"),</v>
      </c>
      <c r="G9" t="str">
        <f>TextJoin(tblHiredFaculty5[[#This Row],[STermID]:[FacultyID]],"Value")</f>
        <v>"1","7"</v>
      </c>
    </row>
    <row r="10" spans="2:7" x14ac:dyDescent="0.25">
      <c r="B10">
        <v>8</v>
      </c>
      <c r="C10">
        <v>1</v>
      </c>
      <c r="D10">
        <v>8</v>
      </c>
      <c r="F10" t="str">
        <f t="shared" si="0"/>
        <v>(NULL,"1","8"),</v>
      </c>
      <c r="G10" t="str">
        <f>TextJoin(tblHiredFaculty5[[#This Row],[STermID]:[FacultyID]],"Value")</f>
        <v>"1","8"</v>
      </c>
    </row>
    <row r="11" spans="2:7" x14ac:dyDescent="0.25">
      <c r="B11">
        <v>9</v>
      </c>
      <c r="C11">
        <v>1</v>
      </c>
      <c r="D11">
        <v>9</v>
      </c>
      <c r="F11" t="str">
        <f t="shared" si="0"/>
        <v>(NULL,"1","9"),</v>
      </c>
      <c r="G11" t="str">
        <f>TextJoin(tblHiredFaculty5[[#This Row],[STermID]:[FacultyID]],"Value")</f>
        <v>"1","9"</v>
      </c>
    </row>
    <row r="12" spans="2:7" x14ac:dyDescent="0.25">
      <c r="B12">
        <v>10</v>
      </c>
      <c r="C12">
        <v>1</v>
      </c>
      <c r="D12">
        <v>10</v>
      </c>
      <c r="F12" t="str">
        <f t="shared" si="0"/>
        <v>(NULL,"1","10"),</v>
      </c>
      <c r="G12" t="str">
        <f>TextJoin(tblHiredFaculty5[[#This Row],[STermID]:[FacultyID]],"Value")</f>
        <v>"1","10"</v>
      </c>
    </row>
    <row r="13" spans="2:7" x14ac:dyDescent="0.25">
      <c r="B13">
        <v>11</v>
      </c>
      <c r="C13">
        <v>1</v>
      </c>
      <c r="D13">
        <v>11</v>
      </c>
      <c r="F13" t="str">
        <f t="shared" si="0"/>
        <v>(NULL,"1","11"),</v>
      </c>
      <c r="G13" t="str">
        <f>TextJoin(tblHiredFaculty5[[#This Row],[STermID]:[FacultyID]],"Value")</f>
        <v>"1","11"</v>
      </c>
    </row>
    <row r="14" spans="2:7" x14ac:dyDescent="0.25">
      <c r="B14">
        <v>12</v>
      </c>
      <c r="C14">
        <v>1</v>
      </c>
      <c r="D14">
        <v>12</v>
      </c>
      <c r="F14" t="str">
        <f t="shared" si="0"/>
        <v>(NULL,"1","12"),</v>
      </c>
      <c r="G14" t="str">
        <f>TextJoin(tblHiredFaculty5[[#This Row],[STermID]:[FacultyID]],"Value")</f>
        <v>"1","12"</v>
      </c>
    </row>
    <row r="15" spans="2:7" x14ac:dyDescent="0.25">
      <c r="B15">
        <v>13</v>
      </c>
      <c r="C15">
        <v>1</v>
      </c>
      <c r="D15">
        <v>13</v>
      </c>
      <c r="F15" t="str">
        <f t="shared" si="0"/>
        <v>(NULL,"1","13"),</v>
      </c>
      <c r="G15" t="str">
        <f>TextJoin(tblHiredFaculty5[[#This Row],[STermID]:[FacultyID]],"Value")</f>
        <v>"1","13"</v>
      </c>
    </row>
    <row r="16" spans="2:7" x14ac:dyDescent="0.25">
      <c r="B16">
        <v>14</v>
      </c>
      <c r="C16">
        <v>1</v>
      </c>
      <c r="D16">
        <v>14</v>
      </c>
      <c r="F16" t="str">
        <f t="shared" si="0"/>
        <v>(NULL,"1","14"),</v>
      </c>
      <c r="G16" t="str">
        <f>TextJoin(tblHiredFaculty5[[#This Row],[STermID]:[FacultyID]],"Value")</f>
        <v>"1","14"</v>
      </c>
    </row>
    <row r="17" spans="2:7" x14ac:dyDescent="0.25">
      <c r="B17">
        <v>15</v>
      </c>
      <c r="C17">
        <v>1</v>
      </c>
      <c r="D17">
        <v>15</v>
      </c>
      <c r="F17" t="str">
        <f t="shared" si="0"/>
        <v>(NULL,"1","15"),</v>
      </c>
      <c r="G17" t="str">
        <f>TextJoin(tblHiredFaculty5[[#This Row],[STermID]:[FacultyID]],"Value")</f>
        <v>"1","15"</v>
      </c>
    </row>
    <row r="18" spans="2:7" x14ac:dyDescent="0.25">
      <c r="B18">
        <v>16</v>
      </c>
      <c r="C18">
        <v>1</v>
      </c>
      <c r="D18">
        <v>16</v>
      </c>
      <c r="F18" t="str">
        <f t="shared" si="0"/>
        <v>(NULL,"1","16"),</v>
      </c>
      <c r="G18" t="str">
        <f>TextJoin(tblHiredFaculty5[[#This Row],[STermID]:[FacultyID]],"Value")</f>
        <v>"1","16"</v>
      </c>
    </row>
    <row r="19" spans="2:7" x14ac:dyDescent="0.25">
      <c r="B19">
        <v>17</v>
      </c>
      <c r="C19">
        <v>1</v>
      </c>
      <c r="D19">
        <v>17</v>
      </c>
      <c r="F19" t="str">
        <f t="shared" si="0"/>
        <v>(NULL,"1","17"),</v>
      </c>
      <c r="G19" t="str">
        <f>TextJoin(tblHiredFaculty5[[#This Row],[STermID]:[FacultyID]],"Value")</f>
        <v>"1","17"</v>
      </c>
    </row>
    <row r="20" spans="2:7" x14ac:dyDescent="0.25">
      <c r="B20">
        <v>18</v>
      </c>
      <c r="C20">
        <v>1</v>
      </c>
      <c r="D20">
        <v>18</v>
      </c>
      <c r="F20" t="str">
        <f t="shared" si="0"/>
        <v>(NULL,"1","18"),</v>
      </c>
      <c r="G20" t="str">
        <f>TextJoin(tblHiredFaculty5[[#This Row],[STermID]:[FacultyID]],"Value")</f>
        <v>"1","18"</v>
      </c>
    </row>
    <row r="21" spans="2:7" x14ac:dyDescent="0.25">
      <c r="B21">
        <v>19</v>
      </c>
      <c r="C21">
        <v>1</v>
      </c>
      <c r="D21">
        <v>19</v>
      </c>
      <c r="F21" t="str">
        <f t="shared" si="0"/>
        <v>(NULL,"1","19"),</v>
      </c>
      <c r="G21" t="str">
        <f>TextJoin(tblHiredFaculty5[[#This Row],[STermID]:[FacultyID]],"Value")</f>
        <v>"1","19"</v>
      </c>
    </row>
    <row r="22" spans="2:7" x14ac:dyDescent="0.25">
      <c r="B22">
        <v>20</v>
      </c>
      <c r="C22">
        <v>2</v>
      </c>
      <c r="D22">
        <v>19</v>
      </c>
      <c r="F22" t="str">
        <f t="shared" si="0"/>
        <v>(NULL,"2","19"),</v>
      </c>
      <c r="G22" t="str">
        <f>TextJoin(tblHiredFaculty5[[#This Row],[STermID]:[FacultyID]],"Value")</f>
        <v>"2","19"</v>
      </c>
    </row>
    <row r="23" spans="2:7" x14ac:dyDescent="0.25">
      <c r="B23">
        <v>21</v>
      </c>
      <c r="C23">
        <v>3</v>
      </c>
      <c r="D23">
        <v>19</v>
      </c>
      <c r="F23" t="str">
        <f t="shared" si="0"/>
        <v>(NULL,"3","19"),</v>
      </c>
      <c r="G23" t="str">
        <f>TextJoin(tblHiredFaculty5[[#This Row],[STermID]:[FacultyID]],"Value")</f>
        <v>"3","19"</v>
      </c>
    </row>
    <row r="24" spans="2:7" x14ac:dyDescent="0.25">
      <c r="B24">
        <v>22</v>
      </c>
      <c r="C24">
        <v>4</v>
      </c>
      <c r="D24">
        <v>19</v>
      </c>
      <c r="F24" t="str">
        <f t="shared" si="0"/>
        <v>(NULL,"4","19"),</v>
      </c>
      <c r="G24" t="str">
        <f>TextJoin(tblHiredFaculty5[[#This Row],[STermID]:[FacultyID]],"Value")</f>
        <v>"4","19"</v>
      </c>
    </row>
    <row r="25" spans="2:7" x14ac:dyDescent="0.25">
      <c r="B25">
        <v>23</v>
      </c>
      <c r="C25">
        <v>5</v>
      </c>
      <c r="D25">
        <v>19</v>
      </c>
      <c r="F25" t="str">
        <f t="shared" si="0"/>
        <v>(NULL,"5","19"),</v>
      </c>
      <c r="G25" t="str">
        <f>TextJoin(tblHiredFaculty5[[#This Row],[STermID]:[FacultyID]],"Value")</f>
        <v>"5","19"</v>
      </c>
    </row>
    <row r="26" spans="2:7" x14ac:dyDescent="0.25">
      <c r="B26">
        <v>24</v>
      </c>
      <c r="C26">
        <v>6</v>
      </c>
      <c r="D26">
        <v>19</v>
      </c>
      <c r="F26" t="str">
        <f t="shared" si="0"/>
        <v>(NULL,"6","19"),</v>
      </c>
      <c r="G26" t="str">
        <f>TextJoin(tblHiredFaculty5[[#This Row],[STermID]:[FacultyID]],"Value")</f>
        <v>"6","19"</v>
      </c>
    </row>
    <row r="27" spans="2:7" x14ac:dyDescent="0.25">
      <c r="B27">
        <v>25</v>
      </c>
      <c r="C27">
        <v>7</v>
      </c>
      <c r="D27">
        <v>19</v>
      </c>
      <c r="F27" t="str">
        <f t="shared" si="0"/>
        <v>(NULL,"7","19"),</v>
      </c>
      <c r="G27" t="str">
        <f>TextJoin(tblHiredFaculty5[[#This Row],[STermID]:[FacultyID]],"Value")</f>
        <v>"7","19"</v>
      </c>
    </row>
    <row r="28" spans="2:7" x14ac:dyDescent="0.25">
      <c r="B28">
        <v>26</v>
      </c>
      <c r="C28">
        <v>8</v>
      </c>
      <c r="D28">
        <v>19</v>
      </c>
      <c r="F28" t="str">
        <f t="shared" si="0"/>
        <v>(NULL,"8","19"),</v>
      </c>
      <c r="G28" t="str">
        <f>TextJoin(tblHiredFaculty5[[#This Row],[STermID]:[FacultyID]],"Value")</f>
        <v>"8","19"</v>
      </c>
    </row>
    <row r="29" spans="2:7" x14ac:dyDescent="0.25">
      <c r="B29">
        <v>27</v>
      </c>
      <c r="C29">
        <v>9</v>
      </c>
      <c r="D29">
        <v>19</v>
      </c>
      <c r="F29" t="str">
        <f t="shared" si="0"/>
        <v>(NULL,"9","19"),</v>
      </c>
      <c r="G29" t="str">
        <f>TextJoin(tblHiredFaculty5[[#This Row],[STermID]:[FacultyID]],"Value")</f>
        <v>"9","19"</v>
      </c>
    </row>
    <row r="30" spans="2:7" x14ac:dyDescent="0.25">
      <c r="B30">
        <v>28</v>
      </c>
      <c r="C30">
        <v>10</v>
      </c>
      <c r="D30">
        <v>19</v>
      </c>
      <c r="F30" t="str">
        <f t="shared" si="0"/>
        <v>(NULL,"10","19");</v>
      </c>
      <c r="G30" t="str">
        <f>TextJoin(tblHiredFaculty5[[#This Row],[STermID]:[FacultyID]],"Value")</f>
        <v>"10","19"</v>
      </c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614"/>
  <sheetViews>
    <sheetView topLeftCell="A593" workbookViewId="0">
      <selection activeCell="D609" sqref="D609"/>
    </sheetView>
  </sheetViews>
  <sheetFormatPr defaultRowHeight="15" x14ac:dyDescent="0.25"/>
  <cols>
    <col min="1" max="1" width="0.85546875" customWidth="1"/>
    <col min="2" max="2" width="9.42578125" customWidth="1"/>
    <col min="3" max="3" width="10.7109375" bestFit="1" customWidth="1"/>
    <col min="4" max="4" width="12.7109375" bestFit="1" customWidth="1"/>
    <col min="5" max="5" width="11.85546875" customWidth="1"/>
    <col min="6" max="6" width="51.28515625" customWidth="1"/>
    <col min="8" max="8" width="3.42578125" customWidth="1"/>
    <col min="9" max="9" width="43.5703125" customWidth="1"/>
    <col min="10" max="10" width="40.85546875" customWidth="1"/>
  </cols>
  <sheetData>
    <row r="1" spans="2:9" ht="5.0999999999999996" customHeight="1" x14ac:dyDescent="0.25"/>
    <row r="2" spans="2:9" x14ac:dyDescent="0.25">
      <c r="B2" s="25" t="s">
        <v>24</v>
      </c>
      <c r="C2" s="25" t="s">
        <v>33</v>
      </c>
      <c r="D2" s="25" t="s">
        <v>32</v>
      </c>
      <c r="E2" s="25" t="s">
        <v>832</v>
      </c>
      <c r="F2" s="25" t="s">
        <v>30</v>
      </c>
      <c r="H2" t="str">
        <f>TextJoin(tblClasses[#Headers])</f>
        <v>ClassID,STermID,HFacultyID,TypeID,Description</v>
      </c>
    </row>
    <row r="3" spans="2:9" x14ac:dyDescent="0.25">
      <c r="B3">
        <v>1</v>
      </c>
      <c r="C3">
        <v>1</v>
      </c>
      <c r="D3">
        <v>1</v>
      </c>
      <c r="E3">
        <v>2</v>
      </c>
      <c r="F3" t="s">
        <v>461</v>
      </c>
      <c r="H3" t="str">
        <f>"(NULL,"&amp;I3&amp;")"&amp;IF(H4&lt;&gt;"",",",";")</f>
        <v>(NULL,"1","1","2","Database Management System"),</v>
      </c>
      <c r="I3" t="str">
        <f>TextJoin(tblClasses[[#This Row],[STermID]:[Description]],"Value")</f>
        <v>"1","1","2","Database Management System"</v>
      </c>
    </row>
    <row r="4" spans="2:9" x14ac:dyDescent="0.25">
      <c r="B4">
        <v>2</v>
      </c>
      <c r="C4">
        <v>1</v>
      </c>
      <c r="D4">
        <v>2</v>
      </c>
      <c r="E4">
        <v>2</v>
      </c>
      <c r="F4" t="s">
        <v>692</v>
      </c>
      <c r="H4" t="str">
        <f t="shared" ref="H4:H67" si="0">"(NULL,"&amp;I4&amp;")"&amp;IF(H5&lt;&gt;"",",",";")</f>
        <v>(NULL,"1","2","2","System Analysis and Design"),</v>
      </c>
      <c r="I4" t="str">
        <f>TextJoin(tblClasses[[#This Row],[STermID]:[Description]],"Value")</f>
        <v>"1","2","2","System Analysis and Design"</v>
      </c>
    </row>
    <row r="5" spans="2:9" x14ac:dyDescent="0.25">
      <c r="B5">
        <v>3</v>
      </c>
      <c r="C5">
        <v>1</v>
      </c>
      <c r="D5">
        <v>5</v>
      </c>
      <c r="E5">
        <v>1</v>
      </c>
      <c r="F5" t="s">
        <v>470</v>
      </c>
      <c r="H5" t="str">
        <f t="shared" si="0"/>
        <v>(NULL,"1","5","1","Probability &amp; Statistics"),</v>
      </c>
      <c r="I5" t="str">
        <f>TextJoin(tblClasses[[#This Row],[STermID]:[Description]],"Value")</f>
        <v>"1","5","1","Probability &amp; Statistics"</v>
      </c>
    </row>
    <row r="6" spans="2:9" x14ac:dyDescent="0.25">
      <c r="B6">
        <v>4</v>
      </c>
      <c r="C6">
        <v>1</v>
      </c>
      <c r="D6">
        <v>3</v>
      </c>
      <c r="E6">
        <v>1</v>
      </c>
      <c r="F6" t="s">
        <v>464</v>
      </c>
      <c r="H6" t="str">
        <f t="shared" si="0"/>
        <v>(NULL,"1","3","1","Network Management"),</v>
      </c>
      <c r="I6" t="str">
        <f>TextJoin(tblClasses[[#This Row],[STermID]:[Description]],"Value")</f>
        <v>"1","3","1","Network Management"</v>
      </c>
    </row>
    <row r="7" spans="2:9" x14ac:dyDescent="0.25">
      <c r="B7">
        <v>5</v>
      </c>
      <c r="C7">
        <v>1</v>
      </c>
      <c r="D7">
        <v>1</v>
      </c>
      <c r="E7">
        <v>1</v>
      </c>
      <c r="F7" t="s">
        <v>468</v>
      </c>
      <c r="H7" t="str">
        <f t="shared" si="0"/>
        <v>(NULL,"1","1","1","Free Elective (SAP)"),</v>
      </c>
      <c r="I7" t="str">
        <f>TextJoin(tblClasses[[#This Row],[STermID]:[Description]],"Value")</f>
        <v>"1","1","1","Free Elective (SAP)"</v>
      </c>
    </row>
    <row r="8" spans="2:9" x14ac:dyDescent="0.25">
      <c r="B8">
        <v>6</v>
      </c>
      <c r="C8">
        <v>1</v>
      </c>
      <c r="D8">
        <v>5</v>
      </c>
      <c r="E8">
        <v>1</v>
      </c>
      <c r="F8" t="s">
        <v>327</v>
      </c>
      <c r="H8" t="str">
        <f t="shared" si="0"/>
        <v>(NULL,"1","5","1","General Physics 2"),</v>
      </c>
      <c r="I8" t="str">
        <f>TextJoin(tblClasses[[#This Row],[STermID]:[Description]],"Value")</f>
        <v>"1","5","1","General Physics 2"</v>
      </c>
    </row>
    <row r="9" spans="2:9" x14ac:dyDescent="0.25">
      <c r="B9">
        <v>7</v>
      </c>
      <c r="C9">
        <v>1</v>
      </c>
      <c r="D9">
        <v>4</v>
      </c>
      <c r="E9">
        <v>1</v>
      </c>
      <c r="F9" t="s">
        <v>466</v>
      </c>
      <c r="H9" t="str">
        <f t="shared" si="0"/>
        <v>(NULL,"1","4","1","Logic Design and Switching Theory"),</v>
      </c>
      <c r="I9" t="str">
        <f>TextJoin(tblClasses[[#This Row],[STermID]:[Description]],"Value")</f>
        <v>"1","4","1","Logic Design and Switching Theory"</v>
      </c>
    </row>
    <row r="10" spans="2:9" x14ac:dyDescent="0.25">
      <c r="B10">
        <v>8</v>
      </c>
      <c r="C10">
        <v>1</v>
      </c>
      <c r="D10">
        <v>11</v>
      </c>
      <c r="E10">
        <v>1</v>
      </c>
      <c r="F10" t="s">
        <v>473</v>
      </c>
      <c r="H10" t="str">
        <f t="shared" si="0"/>
        <v>(NULL,"1","11","1","Philippine History"),</v>
      </c>
      <c r="I10" t="str">
        <f>TextJoin(tblClasses[[#This Row],[STermID]:[Description]],"Value")</f>
        <v>"1","11","1","Philippine History"</v>
      </c>
    </row>
    <row r="11" spans="2:9" x14ac:dyDescent="0.25">
      <c r="B11">
        <v>9</v>
      </c>
      <c r="C11">
        <v>1</v>
      </c>
      <c r="D11">
        <v>6</v>
      </c>
      <c r="E11">
        <v>2</v>
      </c>
      <c r="F11" t="s">
        <v>335</v>
      </c>
      <c r="H11" t="str">
        <f t="shared" si="0"/>
        <v>(NULL,"1","6","2","Group Games"),</v>
      </c>
      <c r="I11" t="str">
        <f>TextJoin(tblClasses[[#This Row],[STermID]:[Description]],"Value")</f>
        <v>"1","6","2","Group Games"</v>
      </c>
    </row>
    <row r="12" spans="2:9" x14ac:dyDescent="0.25">
      <c r="B12">
        <v>10</v>
      </c>
      <c r="C12">
        <v>1</v>
      </c>
      <c r="D12">
        <v>17</v>
      </c>
      <c r="E12">
        <v>2</v>
      </c>
      <c r="F12" t="s">
        <v>606</v>
      </c>
      <c r="H12" t="str">
        <f t="shared" si="0"/>
        <v>(NULL,"1","17","2","Purposive Communication"),</v>
      </c>
      <c r="I12" t="str">
        <f>TextJoin(tblClasses[[#This Row],[STermID]:[Description]],"Value")</f>
        <v>"1","17","2","Purposive Communication"</v>
      </c>
    </row>
    <row r="13" spans="2:9" x14ac:dyDescent="0.25">
      <c r="B13">
        <v>11</v>
      </c>
      <c r="C13">
        <v>1</v>
      </c>
      <c r="D13">
        <v>11</v>
      </c>
      <c r="E13">
        <v>2</v>
      </c>
      <c r="F13" t="s">
        <v>607</v>
      </c>
      <c r="H13" t="str">
        <f t="shared" si="0"/>
        <v>(NULL,"1","11","2","Readings In The Philippines"),</v>
      </c>
      <c r="I13" t="str">
        <f>TextJoin(tblClasses[[#This Row],[STermID]:[Description]],"Value")</f>
        <v>"1","11","2","Readings In The Philippines"</v>
      </c>
    </row>
    <row r="14" spans="2:9" x14ac:dyDescent="0.25">
      <c r="B14">
        <v>12</v>
      </c>
      <c r="C14">
        <v>1</v>
      </c>
      <c r="D14">
        <v>6</v>
      </c>
      <c r="E14">
        <v>2</v>
      </c>
      <c r="F14" t="s">
        <v>608</v>
      </c>
      <c r="H14" t="str">
        <f t="shared" si="0"/>
        <v>(NULL,"1","6","2","Arts Appreciation"),</v>
      </c>
      <c r="I14" t="str">
        <f>TextJoin(tblClasses[[#This Row],[STermID]:[Description]],"Value")</f>
        <v>"1","6","2","Arts Appreciation"</v>
      </c>
    </row>
    <row r="15" spans="2:9" x14ac:dyDescent="0.25">
      <c r="B15">
        <v>13</v>
      </c>
      <c r="C15">
        <v>1</v>
      </c>
      <c r="D15">
        <v>1</v>
      </c>
      <c r="E15">
        <v>1</v>
      </c>
      <c r="F15" t="s">
        <v>653</v>
      </c>
      <c r="H15" t="str">
        <f t="shared" si="0"/>
        <v>(NULL,"1","1","1","Computer Programming 2 (Java)"),</v>
      </c>
      <c r="I15" t="str">
        <f>TextJoin(tblClasses[[#This Row],[STermID]:[Description]],"Value")</f>
        <v>"1","1","1","Computer Programming 2 (Java)"</v>
      </c>
    </row>
    <row r="16" spans="2:9" x14ac:dyDescent="0.25">
      <c r="B16">
        <v>14</v>
      </c>
      <c r="C16">
        <v>1</v>
      </c>
      <c r="D16">
        <v>1</v>
      </c>
      <c r="E16">
        <v>1</v>
      </c>
      <c r="F16" t="s">
        <v>654</v>
      </c>
      <c r="H16" t="str">
        <f t="shared" si="0"/>
        <v>(NULL,"1","1","1","Intro To Human Interaction"),</v>
      </c>
      <c r="I16" t="str">
        <f>TextJoin(tblClasses[[#This Row],[STermID]:[Description]],"Value")</f>
        <v>"1","1","1","Intro To Human Interaction"</v>
      </c>
    </row>
    <row r="17" spans="2:9" x14ac:dyDescent="0.25">
      <c r="B17">
        <v>15</v>
      </c>
      <c r="C17">
        <v>1</v>
      </c>
      <c r="D17">
        <v>5</v>
      </c>
      <c r="E17">
        <v>2</v>
      </c>
      <c r="F17" t="s">
        <v>610</v>
      </c>
      <c r="H17" t="str">
        <f t="shared" si="0"/>
        <v>(NULL,"1","5","2","Discrete Mathematics"),</v>
      </c>
      <c r="I17" t="str">
        <f>TextJoin(tblClasses[[#This Row],[STermID]:[Description]],"Value")</f>
        <v>"1","5","2","Discrete Mathematics"</v>
      </c>
    </row>
    <row r="18" spans="2:9" x14ac:dyDescent="0.25">
      <c r="B18">
        <v>16</v>
      </c>
      <c r="C18">
        <v>1</v>
      </c>
      <c r="D18">
        <v>6</v>
      </c>
      <c r="E18">
        <v>2</v>
      </c>
      <c r="F18" t="s">
        <v>611</v>
      </c>
      <c r="H18" t="str">
        <f t="shared" si="0"/>
        <v>(NULL,"1","6","2","Rhythmic Activities (Dance)"),</v>
      </c>
      <c r="I18" t="str">
        <f>TextJoin(tblClasses[[#This Row],[STermID]:[Description]],"Value")</f>
        <v>"1","6","2","Rhythmic Activities (Dance)"</v>
      </c>
    </row>
    <row r="19" spans="2:9" x14ac:dyDescent="0.25">
      <c r="B19">
        <v>17</v>
      </c>
      <c r="C19">
        <v>1</v>
      </c>
      <c r="D19">
        <v>11</v>
      </c>
      <c r="E19">
        <v>2</v>
      </c>
      <c r="F19" t="s">
        <v>839</v>
      </c>
      <c r="H19" t="str">
        <f t="shared" si="0"/>
        <v>(NULL,"1","11","2","CWTS 2"),</v>
      </c>
      <c r="I19" t="str">
        <f>TextJoin(tblClasses[[#This Row],[STermID]:[Description]],"Value")</f>
        <v>"1","11","2","CWTS 2"</v>
      </c>
    </row>
    <row r="20" spans="2:9" x14ac:dyDescent="0.25">
      <c r="B20">
        <v>18</v>
      </c>
      <c r="C20">
        <v>1</v>
      </c>
      <c r="D20">
        <v>2</v>
      </c>
      <c r="E20">
        <v>1</v>
      </c>
      <c r="F20" t="s">
        <v>609</v>
      </c>
      <c r="H20" t="str">
        <f t="shared" si="0"/>
        <v>(NULL,"1","2","1","Calculus 2"),</v>
      </c>
      <c r="I20" t="str">
        <f>TextJoin(tblClasses[[#This Row],[STermID]:[Description]],"Value")</f>
        <v>"1","2","1","Calculus 2"</v>
      </c>
    </row>
    <row r="21" spans="2:9" x14ac:dyDescent="0.25">
      <c r="B21">
        <v>19</v>
      </c>
      <c r="C21">
        <v>1</v>
      </c>
      <c r="D21">
        <v>5</v>
      </c>
      <c r="E21">
        <v>1</v>
      </c>
      <c r="F21" t="s">
        <v>739</v>
      </c>
      <c r="H21" t="str">
        <f t="shared" si="0"/>
        <v>(NULL,"1","5","1","Physics For Engineers"),</v>
      </c>
      <c r="I21" t="str">
        <f>TextJoin(tblClasses[[#This Row],[STermID]:[Description]],"Value")</f>
        <v>"1","5","1","Physics For Engineers"</v>
      </c>
    </row>
    <row r="22" spans="2:9" x14ac:dyDescent="0.25">
      <c r="B22">
        <v>20</v>
      </c>
      <c r="C22">
        <v>1</v>
      </c>
      <c r="D22">
        <v>1</v>
      </c>
      <c r="E22">
        <v>1</v>
      </c>
      <c r="F22" t="s">
        <v>403</v>
      </c>
      <c r="H22" t="str">
        <f t="shared" si="0"/>
        <v>(NULL,"1","1","1","Object Oriented Programming"),</v>
      </c>
      <c r="I22" t="str">
        <f>TextJoin(tblClasses[[#This Row],[STermID]:[Description]],"Value")</f>
        <v>"1","1","1","Object Oriented Programming"</v>
      </c>
    </row>
    <row r="23" spans="2:9" x14ac:dyDescent="0.25">
      <c r="B23">
        <v>21</v>
      </c>
      <c r="C23">
        <v>1</v>
      </c>
      <c r="D23">
        <v>4</v>
      </c>
      <c r="E23">
        <v>2</v>
      </c>
      <c r="F23" t="s">
        <v>419</v>
      </c>
      <c r="H23" t="str">
        <f t="shared" si="0"/>
        <v>(NULL,"1","4","2","Software Engineering"),</v>
      </c>
      <c r="I23" t="str">
        <f>TextJoin(tblClasses[[#This Row],[STermID]:[Description]],"Value")</f>
        <v>"1","4","2","Software Engineering"</v>
      </c>
    </row>
    <row r="24" spans="2:9" x14ac:dyDescent="0.25">
      <c r="B24">
        <v>22</v>
      </c>
      <c r="C24">
        <v>1</v>
      </c>
      <c r="D24">
        <v>2</v>
      </c>
      <c r="E24">
        <v>1</v>
      </c>
      <c r="F24" t="s">
        <v>488</v>
      </c>
      <c r="H24" t="str">
        <f t="shared" si="0"/>
        <v>(NULL,"1","2","1","Multimedia System"),</v>
      </c>
      <c r="I24" t="str">
        <f>TextJoin(tblClasses[[#This Row],[STermID]:[Description]],"Value")</f>
        <v>"1","2","1","Multimedia System"</v>
      </c>
    </row>
    <row r="25" spans="2:9" x14ac:dyDescent="0.25">
      <c r="B25">
        <v>23</v>
      </c>
      <c r="C25">
        <v>1</v>
      </c>
      <c r="D25">
        <v>1</v>
      </c>
      <c r="E25">
        <v>1</v>
      </c>
      <c r="F25" t="s">
        <v>490</v>
      </c>
      <c r="H25" t="str">
        <f t="shared" si="0"/>
        <v>(NULL,"1","1","1","Advance Database Management Systems"),</v>
      </c>
      <c r="I25" t="str">
        <f>TextJoin(tblClasses[[#This Row],[STermID]:[Description]],"Value")</f>
        <v>"1","1","1","Advance Database Management Systems"</v>
      </c>
    </row>
    <row r="26" spans="2:9" x14ac:dyDescent="0.25">
      <c r="B26">
        <v>24</v>
      </c>
      <c r="C26">
        <v>1</v>
      </c>
      <c r="D26">
        <v>3</v>
      </c>
      <c r="E26">
        <v>2</v>
      </c>
      <c r="F26" t="s">
        <v>492</v>
      </c>
      <c r="H26" t="str">
        <f t="shared" si="0"/>
        <v>(NULL,"1","3","2","Technopreneurship"),</v>
      </c>
      <c r="I26" t="str">
        <f>TextJoin(tblClasses[[#This Row],[STermID]:[Description]],"Value")</f>
        <v>"1","3","2","Technopreneurship"</v>
      </c>
    </row>
    <row r="27" spans="2:9" x14ac:dyDescent="0.25">
      <c r="B27">
        <v>25</v>
      </c>
      <c r="C27">
        <v>1</v>
      </c>
      <c r="D27">
        <v>17</v>
      </c>
      <c r="E27">
        <v>2</v>
      </c>
      <c r="F27" t="s">
        <v>385</v>
      </c>
      <c r="H27" t="str">
        <f t="shared" si="0"/>
        <v>(NULL,"1","17","2","Society &amp; Culture w/ HIV Aids Education"),</v>
      </c>
      <c r="I27" t="str">
        <f>TextJoin(tblClasses[[#This Row],[STermID]:[Description]],"Value")</f>
        <v>"1","17","2","Society &amp; Culture w/ HIV Aids Education"</v>
      </c>
    </row>
    <row r="28" spans="2:9" x14ac:dyDescent="0.25">
      <c r="B28">
        <v>26</v>
      </c>
      <c r="C28">
        <v>1</v>
      </c>
      <c r="D28">
        <v>3</v>
      </c>
      <c r="E28">
        <v>1</v>
      </c>
      <c r="F28" t="s">
        <v>496</v>
      </c>
      <c r="H28" t="str">
        <f t="shared" si="0"/>
        <v>(NULL,"1","3","1","IT Elective 2 (Network Administration)"),</v>
      </c>
      <c r="I28" t="str">
        <f>TextJoin(tblClasses[[#This Row],[STermID]:[Description]],"Value")</f>
        <v>"1","3","1","IT Elective 2 (Network Administration)"</v>
      </c>
    </row>
    <row r="29" spans="2:9" x14ac:dyDescent="0.25">
      <c r="B29">
        <v>27</v>
      </c>
      <c r="C29">
        <v>1</v>
      </c>
      <c r="D29">
        <v>3</v>
      </c>
      <c r="E29">
        <v>2</v>
      </c>
      <c r="F29" t="s">
        <v>371</v>
      </c>
      <c r="H29" t="str">
        <f t="shared" si="0"/>
        <v>(NULL,"1","3","2","CISCO 2"),</v>
      </c>
      <c r="I29" t="str">
        <f>TextJoin(tblClasses[[#This Row],[STermID]:[Description]],"Value")</f>
        <v>"1","3","2","CISCO 2"</v>
      </c>
    </row>
    <row r="30" spans="2:9" x14ac:dyDescent="0.25">
      <c r="B30">
        <v>28</v>
      </c>
      <c r="C30">
        <v>1</v>
      </c>
      <c r="D30">
        <v>2</v>
      </c>
      <c r="E30">
        <v>1</v>
      </c>
      <c r="F30" t="s">
        <v>387</v>
      </c>
      <c r="H30" t="str">
        <f t="shared" si="0"/>
        <v>(NULL,"1","2","1","Microprocessor &amp; Microcontroller Systems"),</v>
      </c>
      <c r="I30" t="str">
        <f>TextJoin(tblClasses[[#This Row],[STermID]:[Description]],"Value")</f>
        <v>"1","2","1","Microprocessor &amp; Microcontroller Systems"</v>
      </c>
    </row>
    <row r="31" spans="2:9" x14ac:dyDescent="0.25">
      <c r="B31">
        <v>29</v>
      </c>
      <c r="C31">
        <v>1</v>
      </c>
      <c r="D31">
        <v>4</v>
      </c>
      <c r="E31">
        <v>1</v>
      </c>
      <c r="F31" t="s">
        <v>389</v>
      </c>
      <c r="H31" t="str">
        <f t="shared" si="0"/>
        <v>(NULL,"1","4","1","Data Communications"),</v>
      </c>
      <c r="I31" t="str">
        <f>TextJoin(tblClasses[[#This Row],[STermID]:[Description]],"Value")</f>
        <v>"1","4","1","Data Communications"</v>
      </c>
    </row>
    <row r="32" spans="2:9" x14ac:dyDescent="0.25">
      <c r="B32">
        <v>30</v>
      </c>
      <c r="C32">
        <v>1</v>
      </c>
      <c r="D32">
        <v>2</v>
      </c>
      <c r="E32">
        <v>1</v>
      </c>
      <c r="F32" t="s">
        <v>391</v>
      </c>
      <c r="H32" t="str">
        <f t="shared" si="0"/>
        <v>(NULL,"1","2","1","Computer System Architecture"),</v>
      </c>
      <c r="I32" t="str">
        <f>TextJoin(tblClasses[[#This Row],[STermID]:[Description]],"Value")</f>
        <v>"1","2","1","Computer System Architecture"</v>
      </c>
    </row>
    <row r="33" spans="2:9" x14ac:dyDescent="0.25">
      <c r="B33">
        <v>31</v>
      </c>
      <c r="C33">
        <v>1</v>
      </c>
      <c r="D33">
        <v>9</v>
      </c>
      <c r="E33">
        <v>1</v>
      </c>
      <c r="F33" t="s">
        <v>393</v>
      </c>
      <c r="H33" t="str">
        <f t="shared" si="0"/>
        <v>(NULL,"1","9","1","Environmental Engineering"),</v>
      </c>
      <c r="I33" t="str">
        <f>TextJoin(tblClasses[[#This Row],[STermID]:[Description]],"Value")</f>
        <v>"1","9","1","Environmental Engineering"</v>
      </c>
    </row>
    <row r="34" spans="2:9" x14ac:dyDescent="0.25">
      <c r="B34">
        <v>32</v>
      </c>
      <c r="C34">
        <v>1</v>
      </c>
      <c r="D34">
        <v>2</v>
      </c>
      <c r="E34">
        <v>2</v>
      </c>
      <c r="F34" t="s">
        <v>510</v>
      </c>
      <c r="H34" t="str">
        <f t="shared" si="0"/>
        <v>(NULL,"1","2","2","Information Technology Design 2 (Thesis 2)"),</v>
      </c>
      <c r="I34" t="str">
        <f>TextJoin(tblClasses[[#This Row],[STermID]:[Description]],"Value")</f>
        <v>"1","2","2","Information Technology Design 2 (Thesis 2)"</v>
      </c>
    </row>
    <row r="35" spans="2:9" x14ac:dyDescent="0.25">
      <c r="B35">
        <v>33</v>
      </c>
      <c r="C35">
        <v>1</v>
      </c>
      <c r="D35">
        <v>2</v>
      </c>
      <c r="E35">
        <v>2</v>
      </c>
      <c r="F35" t="s">
        <v>512</v>
      </c>
      <c r="H35" t="str">
        <f t="shared" si="0"/>
        <v>(NULL,"1","2","2","IT Elective 4 (IT Project Management)"),</v>
      </c>
      <c r="I35" t="str">
        <f>TextJoin(tblClasses[[#This Row],[STermID]:[Description]],"Value")</f>
        <v>"1","2","2","IT Elective 4 (IT Project Management)"</v>
      </c>
    </row>
    <row r="36" spans="2:9" x14ac:dyDescent="0.25">
      <c r="B36">
        <v>34</v>
      </c>
      <c r="C36">
        <v>1</v>
      </c>
      <c r="D36">
        <v>17</v>
      </c>
      <c r="E36">
        <v>1</v>
      </c>
      <c r="F36" t="s">
        <v>514</v>
      </c>
      <c r="H36" t="str">
        <f t="shared" si="0"/>
        <v>(NULL,"1","17","1","Contact Center"),</v>
      </c>
      <c r="I36" t="str">
        <f>TextJoin(tblClasses[[#This Row],[STermID]:[Description]],"Value")</f>
        <v>"1","17","1","Contact Center"</v>
      </c>
    </row>
    <row r="37" spans="2:9" x14ac:dyDescent="0.25">
      <c r="B37">
        <v>35</v>
      </c>
      <c r="C37">
        <v>1</v>
      </c>
      <c r="D37">
        <v>3</v>
      </c>
      <c r="E37">
        <v>2</v>
      </c>
      <c r="F37" t="s">
        <v>508</v>
      </c>
      <c r="H37" t="str">
        <f t="shared" si="0"/>
        <v>(NULL,"1","3","2","CISCO 4"),</v>
      </c>
      <c r="I37" t="str">
        <f>TextJoin(tblClasses[[#This Row],[STermID]:[Description]],"Value")</f>
        <v>"1","3","2","CISCO 4"</v>
      </c>
    </row>
    <row r="38" spans="2:9" x14ac:dyDescent="0.25">
      <c r="B38">
        <v>36</v>
      </c>
      <c r="C38">
        <v>1</v>
      </c>
      <c r="D38">
        <v>3</v>
      </c>
      <c r="E38">
        <v>2</v>
      </c>
      <c r="F38" t="s">
        <v>427</v>
      </c>
      <c r="H38" t="str">
        <f t="shared" si="0"/>
        <v>(NULL,"1","3","2","Seminars &amp; Field Trip"),</v>
      </c>
      <c r="I38" t="str">
        <f>TextJoin(tblClasses[[#This Row],[STermID]:[Description]],"Value")</f>
        <v>"1","3","2","Seminars &amp; Field Trip"</v>
      </c>
    </row>
    <row r="39" spans="2:9" x14ac:dyDescent="0.25">
      <c r="B39">
        <v>37</v>
      </c>
      <c r="C39">
        <v>1</v>
      </c>
      <c r="D39">
        <v>19</v>
      </c>
      <c r="E39">
        <v>1</v>
      </c>
      <c r="F39" t="s">
        <v>417</v>
      </c>
      <c r="H39" t="str">
        <f t="shared" si="0"/>
        <v>(NULL,"1","19","1","Engineering Management"),</v>
      </c>
      <c r="I39" t="str">
        <f>TextJoin(tblClasses[[#This Row],[STermID]:[Description]],"Value")</f>
        <v>"1","19","1","Engineering Management"</v>
      </c>
    </row>
    <row r="40" spans="2:9" x14ac:dyDescent="0.25">
      <c r="B40">
        <v>38</v>
      </c>
      <c r="C40">
        <v>1</v>
      </c>
      <c r="D40">
        <v>5</v>
      </c>
      <c r="E40">
        <v>1</v>
      </c>
      <c r="F40" t="s">
        <v>357</v>
      </c>
      <c r="G40" s="28"/>
      <c r="H40" t="str">
        <f t="shared" si="0"/>
        <v>(NULL,"1","5","1","Engineering Materials"),</v>
      </c>
      <c r="I40" t="str">
        <f>TextJoin(tblClasses[[#This Row],[STermID]:[Description]],"Value")</f>
        <v>"1","5","1","Engineering Materials"</v>
      </c>
    </row>
    <row r="41" spans="2:9" x14ac:dyDescent="0.25">
      <c r="B41">
        <v>39</v>
      </c>
      <c r="C41">
        <v>1</v>
      </c>
      <c r="D41">
        <v>3</v>
      </c>
      <c r="E41">
        <v>1</v>
      </c>
      <c r="F41" t="s">
        <v>415</v>
      </c>
      <c r="H41" t="str">
        <f t="shared" si="0"/>
        <v>(NULL,"1","3","1","CISCO 3"),</v>
      </c>
      <c r="I41" t="str">
        <f>TextJoin(tblClasses[[#This Row],[STermID]:[Description]],"Value")</f>
        <v>"1","3","1","CISCO 3"</v>
      </c>
    </row>
    <row r="42" spans="2:9" x14ac:dyDescent="0.25">
      <c r="B42">
        <v>40</v>
      </c>
      <c r="C42">
        <v>1</v>
      </c>
      <c r="D42">
        <v>19</v>
      </c>
      <c r="E42">
        <v>2</v>
      </c>
      <c r="F42" t="s">
        <v>398</v>
      </c>
      <c r="H42" t="str">
        <f t="shared" si="0"/>
        <v>(NULL,"1","19","2","Practicum"),</v>
      </c>
      <c r="I42" t="str">
        <f>TextJoin(tblClasses[[#This Row],[STermID]:[Description]],"Value")</f>
        <v>"1","19","2","Practicum"</v>
      </c>
    </row>
    <row r="43" spans="2:9" x14ac:dyDescent="0.25">
      <c r="B43">
        <v>41</v>
      </c>
      <c r="C43">
        <v>1</v>
      </c>
      <c r="D43">
        <v>5</v>
      </c>
      <c r="E43">
        <v>1</v>
      </c>
      <c r="F43" t="s">
        <v>299</v>
      </c>
      <c r="H43" t="str">
        <f t="shared" si="0"/>
        <v>(NULL,"1","5","1","Computer Aided Drafting"),</v>
      </c>
      <c r="I43" t="str">
        <f>TextJoin(tblClasses[[#This Row],[STermID]:[Description]],"Value")</f>
        <v>"1","5","1","Computer Aided Drafting"</v>
      </c>
    </row>
    <row r="44" spans="2:9" x14ac:dyDescent="0.25">
      <c r="B44">
        <v>42</v>
      </c>
      <c r="C44">
        <v>1</v>
      </c>
      <c r="D44">
        <v>1</v>
      </c>
      <c r="E44">
        <v>1</v>
      </c>
      <c r="F44" t="s">
        <v>329</v>
      </c>
      <c r="H44" t="str">
        <f t="shared" si="0"/>
        <v>(NULL,"1","1","1","Data Structure &amp; Algorithm Analysis"),</v>
      </c>
      <c r="I44" t="str">
        <f>TextJoin(tblClasses[[#This Row],[STermID]:[Description]],"Value")</f>
        <v>"1","1","1","Data Structure &amp; Algorithm Analysis"</v>
      </c>
    </row>
    <row r="45" spans="2:9" x14ac:dyDescent="0.25">
      <c r="B45">
        <v>43</v>
      </c>
      <c r="C45">
        <v>1</v>
      </c>
      <c r="D45">
        <v>5</v>
      </c>
      <c r="E45">
        <v>1</v>
      </c>
      <c r="F45" t="s">
        <v>296</v>
      </c>
      <c r="H45" t="str">
        <f t="shared" si="0"/>
        <v>(NULL,"1","5","1","Solid Mensuration"),</v>
      </c>
      <c r="I45" t="str">
        <f>TextJoin(tblClasses[[#This Row],[STermID]:[Description]],"Value")</f>
        <v>"1","5","1","Solid Mensuration"</v>
      </c>
    </row>
    <row r="46" spans="2:9" x14ac:dyDescent="0.25">
      <c r="B46">
        <v>44</v>
      </c>
      <c r="C46">
        <v>1</v>
      </c>
      <c r="D46">
        <v>5</v>
      </c>
      <c r="E46">
        <v>1</v>
      </c>
      <c r="F46" t="s">
        <v>411</v>
      </c>
      <c r="H46" t="str">
        <f t="shared" si="0"/>
        <v>(NULL,"1","5","1","Safety Engineering"),</v>
      </c>
      <c r="I46" t="str">
        <f>TextJoin(tblClasses[[#This Row],[STermID]:[Description]],"Value")</f>
        <v>"1","5","1","Safety Engineering"</v>
      </c>
    </row>
    <row r="47" spans="2:9" x14ac:dyDescent="0.25">
      <c r="B47">
        <v>45</v>
      </c>
      <c r="C47">
        <v>1</v>
      </c>
      <c r="D47">
        <v>5</v>
      </c>
      <c r="E47">
        <v>1</v>
      </c>
      <c r="F47" t="s">
        <v>748</v>
      </c>
      <c r="H47" t="str">
        <f t="shared" si="0"/>
        <v>(NULL,"1","5","1","Engineering Ethics &amp; Computer Laws"),</v>
      </c>
      <c r="I47" t="str">
        <f>TextJoin(tblClasses[[#This Row],[STermID]:[Description]],"Value")</f>
        <v>"1","5","1","Engineering Ethics &amp; Computer Laws"</v>
      </c>
    </row>
    <row r="48" spans="2:9" x14ac:dyDescent="0.25">
      <c r="B48">
        <v>46</v>
      </c>
      <c r="C48">
        <v>1</v>
      </c>
      <c r="D48">
        <v>17</v>
      </c>
      <c r="E48">
        <v>1</v>
      </c>
      <c r="F48" t="s">
        <v>331</v>
      </c>
      <c r="G48" s="29"/>
      <c r="H48" t="str">
        <f t="shared" si="0"/>
        <v>(NULL,"1","17","1","General Psychology"),</v>
      </c>
      <c r="I48" t="str">
        <f>TextJoin(tblClasses[[#This Row],[STermID]:[Description]],"Value")</f>
        <v>"1","17","1","General Psychology"</v>
      </c>
    </row>
    <row r="49" spans="2:9" x14ac:dyDescent="0.25">
      <c r="B49">
        <v>47</v>
      </c>
      <c r="C49">
        <v>2</v>
      </c>
      <c r="D49">
        <v>19</v>
      </c>
      <c r="E49">
        <v>1</v>
      </c>
      <c r="F49" s="6" t="s">
        <v>597</v>
      </c>
      <c r="H49" t="str">
        <f t="shared" si="0"/>
        <v>(NULL,"2","19","1","Understanding The Self "),</v>
      </c>
      <c r="I49" t="str">
        <f>TextJoin(tblClasses[[#This Row],[STermID]:[Description]],"Value")</f>
        <v>"2","19","1","Understanding The Self "</v>
      </c>
    </row>
    <row r="50" spans="2:9" x14ac:dyDescent="0.25">
      <c r="B50">
        <v>48</v>
      </c>
      <c r="C50">
        <v>2</v>
      </c>
      <c r="D50">
        <v>19</v>
      </c>
      <c r="E50">
        <v>1</v>
      </c>
      <c r="F50" s="6" t="s">
        <v>598</v>
      </c>
      <c r="H50" t="str">
        <f t="shared" si="0"/>
        <v>(NULL,"2","19","1","Mathematics In The Modern World"),</v>
      </c>
      <c r="I50" t="str">
        <f>TextJoin(tblClasses[[#This Row],[STermID]:[Description]],"Value")</f>
        <v>"2","19","1","Mathematics In The Modern World"</v>
      </c>
    </row>
    <row r="51" spans="2:9" x14ac:dyDescent="0.25">
      <c r="B51">
        <v>49</v>
      </c>
      <c r="C51">
        <v>2</v>
      </c>
      <c r="D51">
        <v>19</v>
      </c>
      <c r="E51">
        <v>1</v>
      </c>
      <c r="F51" s="6" t="s">
        <v>599</v>
      </c>
      <c r="H51" t="str">
        <f t="shared" si="0"/>
        <v>(NULL,"2","19","1","Science, Technology And Society"),</v>
      </c>
      <c r="I51" t="str">
        <f>TextJoin(tblClasses[[#This Row],[STermID]:[Description]],"Value")</f>
        <v>"2","19","1","Science, Technology And Society"</v>
      </c>
    </row>
    <row r="52" spans="2:9" x14ac:dyDescent="0.25">
      <c r="B52">
        <v>50</v>
      </c>
      <c r="C52">
        <v>2</v>
      </c>
      <c r="D52">
        <v>19</v>
      </c>
      <c r="E52">
        <v>1</v>
      </c>
      <c r="F52" s="7" t="s">
        <v>600</v>
      </c>
      <c r="H52" t="str">
        <f t="shared" si="0"/>
        <v>(NULL,"2","19","1","Calculus 1"),</v>
      </c>
      <c r="I52" t="str">
        <f>TextJoin(tblClasses[[#This Row],[STermID]:[Description]],"Value")</f>
        <v>"2","19","1","Calculus 1"</v>
      </c>
    </row>
    <row r="53" spans="2:9" x14ac:dyDescent="0.25">
      <c r="B53">
        <v>51</v>
      </c>
      <c r="C53">
        <v>2</v>
      </c>
      <c r="D53">
        <v>19</v>
      </c>
      <c r="E53">
        <v>1</v>
      </c>
      <c r="F53" s="7" t="s">
        <v>601</v>
      </c>
      <c r="H53" t="str">
        <f t="shared" si="0"/>
        <v>(NULL,"2","19","1","Chemistry For Engineers"),</v>
      </c>
      <c r="I53" t="str">
        <f>TextJoin(tblClasses[[#This Row],[STermID]:[Description]],"Value")</f>
        <v>"2","19","1","Chemistry For Engineers"</v>
      </c>
    </row>
    <row r="54" spans="2:9" x14ac:dyDescent="0.25">
      <c r="B54">
        <v>52</v>
      </c>
      <c r="C54">
        <v>2</v>
      </c>
      <c r="D54">
        <v>19</v>
      </c>
      <c r="E54">
        <v>1</v>
      </c>
      <c r="F54" s="7" t="s">
        <v>602</v>
      </c>
      <c r="H54" t="str">
        <f t="shared" si="0"/>
        <v>(NULL,"2","19","1","Computer Engineering As A Discipline "),</v>
      </c>
      <c r="I54" t="str">
        <f>TextJoin(tblClasses[[#This Row],[STermID]:[Description]],"Value")</f>
        <v>"2","19","1","Computer Engineering As A Discipline "</v>
      </c>
    </row>
    <row r="55" spans="2:9" x14ac:dyDescent="0.25">
      <c r="B55">
        <v>53</v>
      </c>
      <c r="C55">
        <v>2</v>
      </c>
      <c r="D55">
        <v>19</v>
      </c>
      <c r="E55">
        <v>1</v>
      </c>
      <c r="F55" s="7" t="s">
        <v>603</v>
      </c>
      <c r="H55" t="str">
        <f t="shared" si="0"/>
        <v>(NULL,"2","19","1","Programming Logic And Design"),</v>
      </c>
      <c r="I55" t="str">
        <f>TextJoin(tblClasses[[#This Row],[STermID]:[Description]],"Value")</f>
        <v>"2","19","1","Programming Logic And Design"</v>
      </c>
    </row>
    <row r="56" spans="2:9" x14ac:dyDescent="0.25">
      <c r="B56">
        <v>54</v>
      </c>
      <c r="C56">
        <v>2</v>
      </c>
      <c r="D56">
        <v>19</v>
      </c>
      <c r="E56">
        <v>1</v>
      </c>
      <c r="F56" s="7" t="s">
        <v>604</v>
      </c>
      <c r="H56" t="str">
        <f t="shared" si="0"/>
        <v>(NULL,"2","19","1","Physical Fitness/Gymnastics"),</v>
      </c>
      <c r="I56" t="str">
        <f>TextJoin(tblClasses[[#This Row],[STermID]:[Description]],"Value")</f>
        <v>"2","19","1","Physical Fitness/Gymnastics"</v>
      </c>
    </row>
    <row r="57" spans="2:9" x14ac:dyDescent="0.25">
      <c r="B57">
        <v>55</v>
      </c>
      <c r="C57">
        <v>2</v>
      </c>
      <c r="D57">
        <v>19</v>
      </c>
      <c r="E57">
        <v>1</v>
      </c>
      <c r="F57" s="7" t="s">
        <v>840</v>
      </c>
      <c r="H57" t="str">
        <f t="shared" si="0"/>
        <v>(NULL,"2","19","1","CWTS 1"),</v>
      </c>
      <c r="I57" t="str">
        <f>TextJoin(tblClasses[[#This Row],[STermID]:[Description]],"Value")</f>
        <v>"2","19","1","CWTS 1"</v>
      </c>
    </row>
    <row r="58" spans="2:9" x14ac:dyDescent="0.25">
      <c r="B58">
        <v>56</v>
      </c>
      <c r="C58">
        <v>2</v>
      </c>
      <c r="D58">
        <v>19</v>
      </c>
      <c r="E58">
        <v>1</v>
      </c>
      <c r="F58" s="7" t="s">
        <v>650</v>
      </c>
      <c r="H58" t="str">
        <f t="shared" si="0"/>
        <v>(NULL,"2","19","1","Computer Concepts And Fundamentals"),</v>
      </c>
      <c r="I58" t="str">
        <f>TextJoin(tblClasses[[#This Row],[STermID]:[Description]],"Value")</f>
        <v>"2","19","1","Computer Concepts And Fundamentals"</v>
      </c>
    </row>
    <row r="59" spans="2:9" x14ac:dyDescent="0.25">
      <c r="B59">
        <v>57</v>
      </c>
      <c r="C59">
        <v>2</v>
      </c>
      <c r="D59">
        <v>19</v>
      </c>
      <c r="E59">
        <v>1</v>
      </c>
      <c r="F59" s="7" t="s">
        <v>651</v>
      </c>
      <c r="H59" t="str">
        <f t="shared" si="0"/>
        <v>(NULL,"2","19","1","Computer Programming 1 (C++)"),</v>
      </c>
      <c r="I59" t="str">
        <f>TextJoin(tblClasses[[#This Row],[STermID]:[Description]],"Value")</f>
        <v>"2","19","1","Computer Programming 1 (C++)"</v>
      </c>
    </row>
    <row r="60" spans="2:9" x14ac:dyDescent="0.25">
      <c r="B60">
        <v>58</v>
      </c>
      <c r="C60">
        <v>2</v>
      </c>
      <c r="D60">
        <v>19</v>
      </c>
      <c r="E60">
        <v>1</v>
      </c>
      <c r="F60" s="7" t="s">
        <v>652</v>
      </c>
      <c r="H60" t="str">
        <f t="shared" si="0"/>
        <v>(NULL,"2","19","1","Introduction To Computing"),</v>
      </c>
      <c r="I60" t="str">
        <f>TextJoin(tblClasses[[#This Row],[STermID]:[Description]],"Value")</f>
        <v>"2","19","1","Introduction To Computing"</v>
      </c>
    </row>
    <row r="61" spans="2:9" x14ac:dyDescent="0.25">
      <c r="B61">
        <v>59</v>
      </c>
      <c r="C61">
        <v>2</v>
      </c>
      <c r="D61">
        <v>19</v>
      </c>
      <c r="E61">
        <v>1</v>
      </c>
      <c r="F61" s="11" t="s">
        <v>307</v>
      </c>
      <c r="H61" t="str">
        <f t="shared" si="0"/>
        <v>(NULL,"2","19","1","Technical Communications"),</v>
      </c>
      <c r="I61" t="str">
        <f>TextJoin(tblClasses[[#This Row],[STermID]:[Description]],"Value")</f>
        <v>"2","19","1","Technical Communications"</v>
      </c>
    </row>
    <row r="62" spans="2:9" x14ac:dyDescent="0.25">
      <c r="B62">
        <v>60</v>
      </c>
      <c r="C62">
        <v>2</v>
      </c>
      <c r="D62">
        <v>19</v>
      </c>
      <c r="E62">
        <v>1</v>
      </c>
      <c r="F62" s="11" t="s">
        <v>309</v>
      </c>
      <c r="H62" t="str">
        <f t="shared" si="0"/>
        <v>(NULL,"2","19","1","Differential Calculus"),</v>
      </c>
      <c r="I62" t="str">
        <f>TextJoin(tblClasses[[#This Row],[STermID]:[Description]],"Value")</f>
        <v>"2","19","1","Differential Calculus"</v>
      </c>
    </row>
    <row r="63" spans="2:9" x14ac:dyDescent="0.25">
      <c r="B63">
        <v>61</v>
      </c>
      <c r="C63">
        <v>2</v>
      </c>
      <c r="D63">
        <v>19</v>
      </c>
      <c r="E63">
        <v>1</v>
      </c>
      <c r="F63" s="11" t="s">
        <v>311</v>
      </c>
      <c r="H63" t="str">
        <f t="shared" si="0"/>
        <v>(NULL,"2","19","1","General Physics 1"),</v>
      </c>
      <c r="I63" t="str">
        <f>TextJoin(tblClasses[[#This Row],[STermID]:[Description]],"Value")</f>
        <v>"2","19","1","General Physics 1"</v>
      </c>
    </row>
    <row r="64" spans="2:9" x14ac:dyDescent="0.25">
      <c r="B64">
        <v>62</v>
      </c>
      <c r="C64">
        <v>2</v>
      </c>
      <c r="D64">
        <v>19</v>
      </c>
      <c r="E64">
        <v>1</v>
      </c>
      <c r="F64" s="11" t="s">
        <v>752</v>
      </c>
      <c r="H64" t="str">
        <f t="shared" si="0"/>
        <v>(NULL,"2","19","1","Economics W/ Land Reform &amp; Taxation"),</v>
      </c>
      <c r="I64" t="str">
        <f>TextJoin(tblClasses[[#This Row],[STermID]:[Description]],"Value")</f>
        <v>"2","19","1","Economics W/ Land Reform &amp; Taxation"</v>
      </c>
    </row>
    <row r="65" spans="2:9" x14ac:dyDescent="0.25">
      <c r="B65">
        <v>63</v>
      </c>
      <c r="C65">
        <v>2</v>
      </c>
      <c r="D65">
        <v>19</v>
      </c>
      <c r="E65">
        <v>1</v>
      </c>
      <c r="F65" s="12" t="s">
        <v>315</v>
      </c>
      <c r="H65" t="str">
        <f t="shared" si="0"/>
        <v>(NULL,"2","19","1","Philippine History &amp; Culture"),</v>
      </c>
      <c r="I65" t="str">
        <f>TextJoin(tblClasses[[#This Row],[STermID]:[Description]],"Value")</f>
        <v>"2","19","1","Philippine History &amp; Culture"</v>
      </c>
    </row>
    <row r="66" spans="2:9" x14ac:dyDescent="0.25">
      <c r="B66">
        <v>64</v>
      </c>
      <c r="C66">
        <v>2</v>
      </c>
      <c r="D66">
        <v>19</v>
      </c>
      <c r="E66">
        <v>1</v>
      </c>
      <c r="F66" s="12" t="s">
        <v>317</v>
      </c>
      <c r="H66" t="str">
        <f t="shared" si="0"/>
        <v>(NULL,"2","19","1","Computer Hardware Fundamentals"),</v>
      </c>
      <c r="I66" t="str">
        <f>TextJoin(tblClasses[[#This Row],[STermID]:[Description]],"Value")</f>
        <v>"2","19","1","Computer Hardware Fundamentals"</v>
      </c>
    </row>
    <row r="67" spans="2:9" x14ac:dyDescent="0.25">
      <c r="B67">
        <v>65</v>
      </c>
      <c r="C67">
        <v>2</v>
      </c>
      <c r="D67">
        <v>19</v>
      </c>
      <c r="E67">
        <v>1</v>
      </c>
      <c r="F67" s="12" t="s">
        <v>319</v>
      </c>
      <c r="H67" t="str">
        <f t="shared" si="0"/>
        <v>(NULL,"2","19","1","Specialized Athletics"),</v>
      </c>
      <c r="I67" t="str">
        <f>TextJoin(tblClasses[[#This Row],[STermID]:[Description]],"Value")</f>
        <v>"2","19","1","Specialized Athletics"</v>
      </c>
    </row>
    <row r="68" spans="2:9" x14ac:dyDescent="0.25">
      <c r="B68">
        <v>66</v>
      </c>
      <c r="C68">
        <v>2</v>
      </c>
      <c r="D68">
        <v>19</v>
      </c>
      <c r="E68">
        <v>1</v>
      </c>
      <c r="F68" s="27" t="s">
        <v>608</v>
      </c>
      <c r="H68" t="str">
        <f t="shared" ref="H68:H131" si="1">"(NULL,"&amp;I68&amp;")"&amp;IF(H69&lt;&gt;"",",",";")</f>
        <v>(NULL,"2","19","1","Arts Appreciation"),</v>
      </c>
      <c r="I68" t="str">
        <f>TextJoin(tblClasses[[#This Row],[STermID]:[Description]],"Value")</f>
        <v>"2","19","1","Arts Appreciation"</v>
      </c>
    </row>
    <row r="69" spans="2:9" x14ac:dyDescent="0.25">
      <c r="B69">
        <v>67</v>
      </c>
      <c r="C69">
        <v>2</v>
      </c>
      <c r="D69">
        <v>19</v>
      </c>
      <c r="E69">
        <v>1</v>
      </c>
      <c r="F69" s="6" t="s">
        <v>753</v>
      </c>
      <c r="H69" t="str">
        <f t="shared" si="1"/>
        <v>(NULL,"2","19","1","Masining Na Pagpapahayag"),</v>
      </c>
      <c r="I69" t="str">
        <f>TextJoin(tblClasses[[#This Row],[STermID]:[Description]],"Value")</f>
        <v>"2","19","1","Masining Na Pagpapahayag"</v>
      </c>
    </row>
    <row r="70" spans="2:9" x14ac:dyDescent="0.25">
      <c r="B70">
        <v>68</v>
      </c>
      <c r="C70">
        <v>2</v>
      </c>
      <c r="D70">
        <v>19</v>
      </c>
      <c r="E70">
        <v>1</v>
      </c>
      <c r="F70" s="6" t="s">
        <v>754</v>
      </c>
      <c r="H70" t="str">
        <f t="shared" si="1"/>
        <v>(NULL,"2","19","1","Computer System Osrganization"),</v>
      </c>
      <c r="I70" t="str">
        <f>TextJoin(tblClasses[[#This Row],[STermID]:[Description]],"Value")</f>
        <v>"2","19","1","Computer System Osrganization"</v>
      </c>
    </row>
    <row r="71" spans="2:9" x14ac:dyDescent="0.25">
      <c r="B71">
        <v>69</v>
      </c>
      <c r="C71">
        <v>2</v>
      </c>
      <c r="D71">
        <v>19</v>
      </c>
      <c r="E71">
        <v>1</v>
      </c>
      <c r="F71" s="7" t="s">
        <v>455</v>
      </c>
      <c r="H71" t="str">
        <f t="shared" si="1"/>
        <v>(NULL,"2","19","1","Object Oriented Programming (Visual Basic)"),</v>
      </c>
      <c r="I71" t="str">
        <f>TextJoin(tblClasses[[#This Row],[STermID]:[Description]],"Value")</f>
        <v>"2","19","1","Object Oriented Programming (Visual Basic)"</v>
      </c>
    </row>
    <row r="72" spans="2:9" x14ac:dyDescent="0.25">
      <c r="B72">
        <v>70</v>
      </c>
      <c r="C72">
        <v>2</v>
      </c>
      <c r="D72">
        <v>19</v>
      </c>
      <c r="E72">
        <v>1</v>
      </c>
      <c r="F72" s="7" t="s">
        <v>755</v>
      </c>
      <c r="H72" t="str">
        <f t="shared" si="1"/>
        <v>(NULL,"2","19","1","Data Structures &amp; Algorithm Analysis"),</v>
      </c>
      <c r="I72" t="str">
        <f>TextJoin(tblClasses[[#This Row],[STermID]:[Description]],"Value")</f>
        <v>"2","19","1","Data Structures &amp; Algorithm Analysis"</v>
      </c>
    </row>
    <row r="73" spans="2:9" x14ac:dyDescent="0.25">
      <c r="B73">
        <v>71</v>
      </c>
      <c r="C73">
        <v>2</v>
      </c>
      <c r="D73">
        <v>19</v>
      </c>
      <c r="E73">
        <v>1</v>
      </c>
      <c r="F73" s="7" t="s">
        <v>756</v>
      </c>
      <c r="H73" t="str">
        <f t="shared" si="1"/>
        <v>(NULL,"2","19","1","Fundamentals Of Accounting"),</v>
      </c>
      <c r="I73" t="str">
        <f>TextJoin(tblClasses[[#This Row],[STermID]:[Description]],"Value")</f>
        <v>"2","19","1","Fundamentals Of Accounting"</v>
      </c>
    </row>
    <row r="74" spans="2:9" x14ac:dyDescent="0.25">
      <c r="B74">
        <v>72</v>
      </c>
      <c r="C74">
        <v>2</v>
      </c>
      <c r="D74">
        <v>19</v>
      </c>
      <c r="E74">
        <v>1</v>
      </c>
      <c r="F74" s="11" t="s">
        <v>757</v>
      </c>
      <c r="H74" t="str">
        <f t="shared" si="1"/>
        <v>(NULL,"2","19","1","Engineering Economy "),</v>
      </c>
      <c r="I74" t="str">
        <f>TextJoin(tblClasses[[#This Row],[STermID]:[Description]],"Value")</f>
        <v>"2","19","1","Engineering Economy "</v>
      </c>
    </row>
    <row r="75" spans="2:9" x14ac:dyDescent="0.25">
      <c r="B75">
        <v>73</v>
      </c>
      <c r="C75">
        <v>2</v>
      </c>
      <c r="D75">
        <v>19</v>
      </c>
      <c r="E75">
        <v>1</v>
      </c>
      <c r="F75" s="11" t="s">
        <v>616</v>
      </c>
      <c r="H75" t="str">
        <f t="shared" si="1"/>
        <v>(NULL,"2","19","1","Differential Equations"),</v>
      </c>
      <c r="I75" t="str">
        <f>TextJoin(tblClasses[[#This Row],[STermID]:[Description]],"Value")</f>
        <v>"2","19","1","Differential Equations"</v>
      </c>
    </row>
    <row r="76" spans="2:9" x14ac:dyDescent="0.25">
      <c r="B76">
        <v>74</v>
      </c>
      <c r="C76">
        <v>2</v>
      </c>
      <c r="D76">
        <v>19</v>
      </c>
      <c r="E76">
        <v>1</v>
      </c>
      <c r="F76" s="11" t="s">
        <v>758</v>
      </c>
      <c r="H76" t="str">
        <f t="shared" si="1"/>
        <v>(NULL,"2","19","1","Statics Of Rgid Bodies"),</v>
      </c>
      <c r="I76" t="str">
        <f>TextJoin(tblClasses[[#This Row],[STermID]:[Description]],"Value")</f>
        <v>"2","19","1","Statics Of Rgid Bodies"</v>
      </c>
    </row>
    <row r="77" spans="2:9" x14ac:dyDescent="0.25">
      <c r="B77">
        <v>75</v>
      </c>
      <c r="C77">
        <v>2</v>
      </c>
      <c r="D77">
        <v>19</v>
      </c>
      <c r="E77">
        <v>1</v>
      </c>
      <c r="F77" s="11" t="s">
        <v>344</v>
      </c>
      <c r="H77" t="str">
        <f t="shared" si="1"/>
        <v>(NULL,"2","19","1","Circuit Analysis 1"),</v>
      </c>
      <c r="I77" t="str">
        <f>TextJoin(tblClasses[[#This Row],[STermID]:[Description]],"Value")</f>
        <v>"2","19","1","Circuit Analysis 1"</v>
      </c>
    </row>
    <row r="78" spans="2:9" x14ac:dyDescent="0.25">
      <c r="B78">
        <v>76</v>
      </c>
      <c r="C78">
        <v>2</v>
      </c>
      <c r="D78">
        <v>19</v>
      </c>
      <c r="E78">
        <v>1</v>
      </c>
      <c r="F78" s="12" t="s">
        <v>346</v>
      </c>
      <c r="H78" t="str">
        <f t="shared" si="1"/>
        <v>(NULL,"2","19","1","Electromagnetics"),</v>
      </c>
      <c r="I78" t="str">
        <f>TextJoin(tblClasses[[#This Row],[STermID]:[Description]],"Value")</f>
        <v>"2","19","1","Electromagnetics"</v>
      </c>
    </row>
    <row r="79" spans="2:9" x14ac:dyDescent="0.25">
      <c r="B79">
        <v>77</v>
      </c>
      <c r="C79">
        <v>2</v>
      </c>
      <c r="D79">
        <v>19</v>
      </c>
      <c r="E79">
        <v>1</v>
      </c>
      <c r="F79" s="12" t="s">
        <v>348</v>
      </c>
      <c r="H79" t="str">
        <f t="shared" si="1"/>
        <v>(NULL,"2","19","1","Electronics 1"),</v>
      </c>
      <c r="I79" t="str">
        <f>TextJoin(tblClasses[[#This Row],[STermID]:[Description]],"Value")</f>
        <v>"2","19","1","Electronics 1"</v>
      </c>
    </row>
    <row r="80" spans="2:9" x14ac:dyDescent="0.25">
      <c r="B80">
        <v>78</v>
      </c>
      <c r="C80">
        <v>2</v>
      </c>
      <c r="D80">
        <v>19</v>
      </c>
      <c r="E80">
        <v>1</v>
      </c>
      <c r="F80" s="12" t="s">
        <v>759</v>
      </c>
      <c r="H80" t="str">
        <f t="shared" si="1"/>
        <v>(NULL,"2","19","1","Computer Systems Organization W/ Assembly Lang."),</v>
      </c>
      <c r="I80" t="str">
        <f>TextJoin(tblClasses[[#This Row],[STermID]:[Description]],"Value")</f>
        <v>"2","19","1","Computer Systems Organization W/ Assembly Lang."</v>
      </c>
    </row>
    <row r="81" spans="2:9" x14ac:dyDescent="0.25">
      <c r="B81">
        <v>79</v>
      </c>
      <c r="C81">
        <v>2</v>
      </c>
      <c r="D81">
        <v>19</v>
      </c>
      <c r="E81">
        <v>1</v>
      </c>
      <c r="F81" s="27" t="s">
        <v>610</v>
      </c>
      <c r="H81" t="str">
        <f t="shared" si="1"/>
        <v>(NULL,"2","19","1","Discrete Mathematics"),</v>
      </c>
      <c r="I81" t="str">
        <f>TextJoin(tblClasses[[#This Row],[STermID]:[Description]],"Value")</f>
        <v>"2","19","1","Discrete Mathematics"</v>
      </c>
    </row>
    <row r="82" spans="2:9" x14ac:dyDescent="0.25">
      <c r="B82">
        <v>80</v>
      </c>
      <c r="C82">
        <v>2</v>
      </c>
      <c r="D82">
        <v>19</v>
      </c>
      <c r="E82">
        <v>1</v>
      </c>
      <c r="F82" s="6" t="s">
        <v>476</v>
      </c>
      <c r="H82" t="str">
        <f t="shared" si="1"/>
        <v>(NULL,"2","19","1","Web Development"),</v>
      </c>
      <c r="I82" t="str">
        <f>TextJoin(tblClasses[[#This Row],[STermID]:[Description]],"Value")</f>
        <v>"2","19","1","Web Development"</v>
      </c>
    </row>
    <row r="83" spans="2:9" x14ac:dyDescent="0.25">
      <c r="B83">
        <v>81</v>
      </c>
      <c r="C83">
        <v>2</v>
      </c>
      <c r="D83">
        <v>19</v>
      </c>
      <c r="E83">
        <v>1</v>
      </c>
      <c r="F83" s="6" t="s">
        <v>389</v>
      </c>
      <c r="H83" t="str">
        <f t="shared" si="1"/>
        <v>(NULL,"2","19","1","Data Communications"),</v>
      </c>
      <c r="I83" t="str">
        <f>TextJoin(tblClasses[[#This Row],[STermID]:[Description]],"Value")</f>
        <v>"2","19","1","Data Communications"</v>
      </c>
    </row>
    <row r="84" spans="2:9" x14ac:dyDescent="0.25">
      <c r="B84">
        <v>82</v>
      </c>
      <c r="C84">
        <v>2</v>
      </c>
      <c r="D84">
        <v>19</v>
      </c>
      <c r="E84">
        <v>1</v>
      </c>
      <c r="F84" s="6" t="s">
        <v>760</v>
      </c>
      <c r="H84" t="str">
        <f t="shared" si="1"/>
        <v>(NULL,"2","19","1","It Elective 1 (Mis)"),</v>
      </c>
      <c r="I84" t="str">
        <f>TextJoin(tblClasses[[#This Row],[STermID]:[Description]],"Value")</f>
        <v>"2","19","1","It Elective 1 (Mis)"</v>
      </c>
    </row>
    <row r="85" spans="2:9" x14ac:dyDescent="0.25">
      <c r="B85">
        <v>83</v>
      </c>
      <c r="C85">
        <v>2</v>
      </c>
      <c r="D85">
        <v>19</v>
      </c>
      <c r="E85">
        <v>1</v>
      </c>
      <c r="F85" s="7" t="s">
        <v>359</v>
      </c>
      <c r="H85" t="str">
        <f t="shared" si="1"/>
        <v>(NULL,"2","19","1","CISCO 1"),</v>
      </c>
      <c r="I85" t="str">
        <f>TextJoin(tblClasses[[#This Row],[STermID]:[Description]],"Value")</f>
        <v>"2","19","1","CISCO 1"</v>
      </c>
    </row>
    <row r="86" spans="2:9" x14ac:dyDescent="0.25">
      <c r="B86">
        <v>84</v>
      </c>
      <c r="C86">
        <v>2</v>
      </c>
      <c r="D86">
        <v>19</v>
      </c>
      <c r="E86">
        <v>1</v>
      </c>
      <c r="F86" s="7" t="s">
        <v>613</v>
      </c>
      <c r="H86" t="str">
        <f t="shared" si="1"/>
        <v>(NULL,"2","19","1","Rizal'S Life, Works And Writing"),</v>
      </c>
      <c r="I86" t="str">
        <f>TextJoin(tblClasses[[#This Row],[STermID]:[Description]],"Value")</f>
        <v>"2","19","1","Rizal'S Life, Works And Writing"</v>
      </c>
    </row>
    <row r="87" spans="2:9" x14ac:dyDescent="0.25">
      <c r="B87">
        <v>85</v>
      </c>
      <c r="C87">
        <v>2</v>
      </c>
      <c r="D87">
        <v>19</v>
      </c>
      <c r="E87">
        <v>1</v>
      </c>
      <c r="F87" s="7" t="s">
        <v>483</v>
      </c>
      <c r="H87" t="str">
        <f t="shared" si="1"/>
        <v>(NULL,"2","19","1","Philippine Government &amp; Constitution"),</v>
      </c>
      <c r="I87" t="str">
        <f>TextJoin(tblClasses[[#This Row],[STermID]:[Description]],"Value")</f>
        <v>"2","19","1","Philippine Government &amp; Constitution"</v>
      </c>
    </row>
    <row r="88" spans="2:9" x14ac:dyDescent="0.25">
      <c r="B88">
        <v>86</v>
      </c>
      <c r="C88">
        <v>2</v>
      </c>
      <c r="D88">
        <v>19</v>
      </c>
      <c r="E88">
        <v>1</v>
      </c>
      <c r="F88" s="8" t="s">
        <v>333</v>
      </c>
      <c r="H88" t="str">
        <f t="shared" si="1"/>
        <v>(NULL,"2","19","1","Philippine Literature"),</v>
      </c>
      <c r="I88" t="str">
        <f>TextJoin(tblClasses[[#This Row],[STermID]:[Description]],"Value")</f>
        <v>"2","19","1","Philippine Literature"</v>
      </c>
    </row>
    <row r="89" spans="2:9" x14ac:dyDescent="0.25">
      <c r="B89">
        <v>87</v>
      </c>
      <c r="C89">
        <v>2</v>
      </c>
      <c r="D89">
        <v>19</v>
      </c>
      <c r="E89">
        <v>1</v>
      </c>
      <c r="F89" s="11" t="s">
        <v>761</v>
      </c>
      <c r="H89" t="str">
        <f t="shared" si="1"/>
        <v>(NULL,"2","19","1","Numerical Anaysis W/ Computer Pp."),</v>
      </c>
      <c r="I89" t="str">
        <f>TextJoin(tblClasses[[#This Row],[STermID]:[Description]],"Value")</f>
        <v>"2","19","1","Numerical Anaysis W/ Computer Pp."</v>
      </c>
    </row>
    <row r="90" spans="2:9" x14ac:dyDescent="0.25">
      <c r="B90">
        <v>88</v>
      </c>
      <c r="C90">
        <v>2</v>
      </c>
      <c r="D90">
        <v>19</v>
      </c>
      <c r="E90">
        <v>1</v>
      </c>
      <c r="F90" s="11" t="s">
        <v>371</v>
      </c>
      <c r="H90" t="str">
        <f t="shared" si="1"/>
        <v>(NULL,"2","19","1","CISCO 2"),</v>
      </c>
      <c r="I90" t="str">
        <f>TextJoin(tblClasses[[#This Row],[STermID]:[Description]],"Value")</f>
        <v>"2","19","1","CISCO 2"</v>
      </c>
    </row>
    <row r="91" spans="2:9" x14ac:dyDescent="0.25">
      <c r="B91">
        <v>89</v>
      </c>
      <c r="C91">
        <v>2</v>
      </c>
      <c r="D91">
        <v>19</v>
      </c>
      <c r="E91">
        <v>1</v>
      </c>
      <c r="F91" s="11" t="s">
        <v>762</v>
      </c>
      <c r="H91" t="str">
        <f t="shared" si="1"/>
        <v>(NULL,"2","19","1","Principles Of Communication "),</v>
      </c>
      <c r="I91" t="str">
        <f>TextJoin(tblClasses[[#This Row],[STermID]:[Description]],"Value")</f>
        <v>"2","19","1","Principles Of Communication "</v>
      </c>
    </row>
    <row r="92" spans="2:9" x14ac:dyDescent="0.25">
      <c r="B92">
        <v>90</v>
      </c>
      <c r="C92">
        <v>2</v>
      </c>
      <c r="D92">
        <v>19</v>
      </c>
      <c r="E92">
        <v>1</v>
      </c>
      <c r="F92" s="11" t="s">
        <v>763</v>
      </c>
      <c r="H92" t="str">
        <f t="shared" si="1"/>
        <v>(NULL,"2","19","1","Advanced Logic Design &amp; Switching Theory"),</v>
      </c>
      <c r="I92" t="str">
        <f>TextJoin(tblClasses[[#This Row],[STermID]:[Description]],"Value")</f>
        <v>"2","19","1","Advanced Logic Design &amp; Switching Theory"</v>
      </c>
    </row>
    <row r="93" spans="2:9" x14ac:dyDescent="0.25">
      <c r="B93">
        <v>91</v>
      </c>
      <c r="C93">
        <v>2</v>
      </c>
      <c r="D93">
        <v>19</v>
      </c>
      <c r="E93">
        <v>1</v>
      </c>
      <c r="F93" s="12" t="s">
        <v>377</v>
      </c>
      <c r="H93" t="str">
        <f t="shared" si="1"/>
        <v>(NULL,"2","19","1","Control Systems"),</v>
      </c>
      <c r="I93" t="str">
        <f>TextJoin(tblClasses[[#This Row],[STermID]:[Description]],"Value")</f>
        <v>"2","19","1","Control Systems"</v>
      </c>
    </row>
    <row r="94" spans="2:9" x14ac:dyDescent="0.25">
      <c r="B94">
        <v>92</v>
      </c>
      <c r="C94">
        <v>2</v>
      </c>
      <c r="D94">
        <v>19</v>
      </c>
      <c r="E94">
        <v>1</v>
      </c>
      <c r="F94" s="12" t="s">
        <v>764</v>
      </c>
      <c r="H94" t="str">
        <f t="shared" si="1"/>
        <v>(NULL,"2","19","1","Mechanics Deformable Bodies"),</v>
      </c>
      <c r="I94" t="str">
        <f>TextJoin(tblClasses[[#This Row],[STermID]:[Description]],"Value")</f>
        <v>"2","19","1","Mechanics Deformable Bodies"</v>
      </c>
    </row>
    <row r="95" spans="2:9" x14ac:dyDescent="0.25">
      <c r="B95">
        <v>93</v>
      </c>
      <c r="C95">
        <v>2</v>
      </c>
      <c r="D95">
        <v>19</v>
      </c>
      <c r="E95">
        <v>1</v>
      </c>
      <c r="F95" s="12" t="s">
        <v>765</v>
      </c>
      <c r="H95" t="str">
        <f t="shared" si="1"/>
        <v>(NULL,"2","19","1","Digital Signal Processing "),</v>
      </c>
      <c r="I95" t="str">
        <f>TextJoin(tblClasses[[#This Row],[STermID]:[Description]],"Value")</f>
        <v>"2","19","1","Digital Signal Processing "</v>
      </c>
    </row>
    <row r="96" spans="2:9" x14ac:dyDescent="0.25">
      <c r="B96">
        <v>94</v>
      </c>
      <c r="C96">
        <v>2</v>
      </c>
      <c r="D96">
        <v>19</v>
      </c>
      <c r="E96">
        <v>1</v>
      </c>
      <c r="F96" s="27" t="s">
        <v>766</v>
      </c>
      <c r="H96" t="str">
        <f t="shared" si="1"/>
        <v>(NULL,"2","19","1","Computer Engineering Drafting And Design"),</v>
      </c>
      <c r="I96" t="str">
        <f>TextJoin(tblClasses[[#This Row],[STermID]:[Description]],"Value")</f>
        <v>"2","19","1","Computer Engineering Drafting And Design"</v>
      </c>
    </row>
    <row r="97" spans="2:9" x14ac:dyDescent="0.25">
      <c r="B97">
        <v>95</v>
      </c>
      <c r="C97">
        <v>2</v>
      </c>
      <c r="D97">
        <v>19</v>
      </c>
      <c r="E97">
        <v>1</v>
      </c>
      <c r="F97" s="11" t="s">
        <v>767</v>
      </c>
      <c r="H97" t="str">
        <f t="shared" si="1"/>
        <v>(NULL,"2","19","1","Professional Ethics In It"),</v>
      </c>
      <c r="I97" t="str">
        <f>TextJoin(tblClasses[[#This Row],[STermID]:[Description]],"Value")</f>
        <v>"2","19","1","Professional Ethics In It"</v>
      </c>
    </row>
    <row r="98" spans="2:9" x14ac:dyDescent="0.25">
      <c r="B98">
        <v>96</v>
      </c>
      <c r="C98">
        <v>2</v>
      </c>
      <c r="D98">
        <v>19</v>
      </c>
      <c r="E98">
        <v>1</v>
      </c>
      <c r="F98" s="11" t="s">
        <v>501</v>
      </c>
      <c r="H98" t="str">
        <f t="shared" si="1"/>
        <v>(NULL,"2","19","1","Database Administration"),</v>
      </c>
      <c r="I98" t="str">
        <f>TextJoin(tblClasses[[#This Row],[STermID]:[Description]],"Value")</f>
        <v>"2","19","1","Database Administration"</v>
      </c>
    </row>
    <row r="99" spans="2:9" x14ac:dyDescent="0.25">
      <c r="B99">
        <v>97</v>
      </c>
      <c r="C99">
        <v>2</v>
      </c>
      <c r="D99">
        <v>19</v>
      </c>
      <c r="E99">
        <v>1</v>
      </c>
      <c r="F99" s="11" t="s">
        <v>391</v>
      </c>
      <c r="H99" t="str">
        <f t="shared" si="1"/>
        <v>(NULL,"2","19","1","Computer System Architecture"),</v>
      </c>
      <c r="I99" t="str">
        <f>TextJoin(tblClasses[[#This Row],[STermID]:[Description]],"Value")</f>
        <v>"2","19","1","Computer System Architecture"</v>
      </c>
    </row>
    <row r="100" spans="2:9" x14ac:dyDescent="0.25">
      <c r="B100">
        <v>98</v>
      </c>
      <c r="C100">
        <v>2</v>
      </c>
      <c r="D100">
        <v>19</v>
      </c>
      <c r="E100">
        <v>1</v>
      </c>
      <c r="F100" s="11" t="s">
        <v>768</v>
      </c>
      <c r="H100" t="str">
        <f t="shared" si="1"/>
        <v>(NULL,"2","19","1","Information Technology Design 1"),</v>
      </c>
      <c r="I100" t="str">
        <f>TextJoin(tblClasses[[#This Row],[STermID]:[Description]],"Value")</f>
        <v>"2","19","1","Information Technology Design 1"</v>
      </c>
    </row>
    <row r="101" spans="2:9" x14ac:dyDescent="0.25">
      <c r="B101">
        <v>99</v>
      </c>
      <c r="C101">
        <v>2</v>
      </c>
      <c r="D101">
        <v>19</v>
      </c>
      <c r="E101">
        <v>1</v>
      </c>
      <c r="F101" s="12" t="s">
        <v>769</v>
      </c>
      <c r="H101" t="str">
        <f t="shared" si="1"/>
        <v>(NULL,"2","19","1","It Elective 3(E-Business)"),</v>
      </c>
      <c r="I101" t="str">
        <f>TextJoin(tblClasses[[#This Row],[STermID]:[Description]],"Value")</f>
        <v>"2","19","1","It Elective 3(E-Business)"</v>
      </c>
    </row>
    <row r="102" spans="2:9" x14ac:dyDescent="0.25">
      <c r="B102">
        <v>100</v>
      </c>
      <c r="C102">
        <v>2</v>
      </c>
      <c r="D102">
        <v>19</v>
      </c>
      <c r="E102">
        <v>1</v>
      </c>
      <c r="F102" s="11" t="s">
        <v>415</v>
      </c>
      <c r="H102" t="str">
        <f t="shared" si="1"/>
        <v>(NULL,"2","19","1","CISCO 3"),</v>
      </c>
      <c r="I102" t="str">
        <f>TextJoin(tblClasses[[#This Row],[STermID]:[Description]],"Value")</f>
        <v>"2","19","1","CISCO 3"</v>
      </c>
    </row>
    <row r="103" spans="2:9" x14ac:dyDescent="0.25">
      <c r="B103">
        <v>101</v>
      </c>
      <c r="C103">
        <v>2</v>
      </c>
      <c r="D103">
        <v>19</v>
      </c>
      <c r="E103">
        <v>1</v>
      </c>
      <c r="F103" s="11" t="s">
        <v>401</v>
      </c>
      <c r="H103" t="str">
        <f t="shared" si="1"/>
        <v>(NULL,"2","19","1","System Analysis &amp; Design"),</v>
      </c>
      <c r="I103" t="str">
        <f>TextJoin(tblClasses[[#This Row],[STermID]:[Description]],"Value")</f>
        <v>"2","19","1","System Analysis &amp; Design"</v>
      </c>
    </row>
    <row r="104" spans="2:9" x14ac:dyDescent="0.25">
      <c r="B104">
        <v>102</v>
      </c>
      <c r="C104">
        <v>2</v>
      </c>
      <c r="D104">
        <v>19</v>
      </c>
      <c r="E104">
        <v>1</v>
      </c>
      <c r="F104" s="11" t="s">
        <v>770</v>
      </c>
      <c r="H104" t="str">
        <f t="shared" si="1"/>
        <v>(NULL,"2","19","1","Object Orriented Programming"),</v>
      </c>
      <c r="I104" t="str">
        <f>TextJoin(tblClasses[[#This Row],[STermID]:[Description]],"Value")</f>
        <v>"2","19","1","Object Orriented Programming"</v>
      </c>
    </row>
    <row r="105" spans="2:9" x14ac:dyDescent="0.25">
      <c r="B105">
        <v>103</v>
      </c>
      <c r="C105">
        <v>2</v>
      </c>
      <c r="D105">
        <v>19</v>
      </c>
      <c r="E105">
        <v>1</v>
      </c>
      <c r="F105" s="11" t="s">
        <v>771</v>
      </c>
      <c r="H105" t="str">
        <f t="shared" si="1"/>
        <v>(NULL,"2","19","1","Engineering Ethics And Computer Laws"),</v>
      </c>
      <c r="I105" t="str">
        <f>TextJoin(tblClasses[[#This Row],[STermID]:[Description]],"Value")</f>
        <v>"2","19","1","Engineering Ethics And Computer Laws"</v>
      </c>
    </row>
    <row r="106" spans="2:9" x14ac:dyDescent="0.25">
      <c r="B106">
        <v>104</v>
      </c>
      <c r="C106">
        <v>2</v>
      </c>
      <c r="D106">
        <v>19</v>
      </c>
      <c r="E106">
        <v>1</v>
      </c>
      <c r="F106" s="11" t="s">
        <v>407</v>
      </c>
      <c r="H106" t="str">
        <f t="shared" si="1"/>
        <v>(NULL,"2","19","1","Computer Networks"),</v>
      </c>
      <c r="I106" t="str">
        <f>TextJoin(tblClasses[[#This Row],[STermID]:[Description]],"Value")</f>
        <v>"2","19","1","Computer Networks"</v>
      </c>
    </row>
    <row r="107" spans="2:9" x14ac:dyDescent="0.25">
      <c r="B107">
        <v>105</v>
      </c>
      <c r="C107">
        <v>2</v>
      </c>
      <c r="D107">
        <v>19</v>
      </c>
      <c r="E107">
        <v>1</v>
      </c>
      <c r="F107" s="12" t="s">
        <v>772</v>
      </c>
      <c r="H107" t="str">
        <f t="shared" si="1"/>
        <v>(NULL,"2","19","1","Elevtive 2"),</v>
      </c>
      <c r="I107" t="str">
        <f>TextJoin(tblClasses[[#This Row],[STermID]:[Description]],"Value")</f>
        <v>"2","19","1","Elevtive 2"</v>
      </c>
    </row>
    <row r="108" spans="2:9" x14ac:dyDescent="0.25">
      <c r="B108">
        <v>106</v>
      </c>
      <c r="C108">
        <v>2</v>
      </c>
      <c r="D108">
        <v>19</v>
      </c>
      <c r="E108">
        <v>1</v>
      </c>
      <c r="F108" s="12" t="s">
        <v>411</v>
      </c>
      <c r="H108" t="str">
        <f t="shared" si="1"/>
        <v>(NULL,"2","19","1","Safety Engineering"),</v>
      </c>
      <c r="I108" t="str">
        <f>TextJoin(tblClasses[[#This Row],[STermID]:[Description]],"Value")</f>
        <v>"2","19","1","Safety Engineering"</v>
      </c>
    </row>
    <row r="109" spans="2:9" x14ac:dyDescent="0.25">
      <c r="B109">
        <v>107</v>
      </c>
      <c r="C109">
        <v>2</v>
      </c>
      <c r="D109">
        <v>19</v>
      </c>
      <c r="E109">
        <v>1</v>
      </c>
      <c r="F109" s="12" t="s">
        <v>773</v>
      </c>
      <c r="H109" t="str">
        <f t="shared" si="1"/>
        <v>(NULL,"2","19","1","Eng'G Design, Research &amp; Dev'T 1"),</v>
      </c>
      <c r="I109" t="str">
        <f>TextJoin(tblClasses[[#This Row],[STermID]:[Description]],"Value")</f>
        <v>"2","19","1","Eng'G Design, Research &amp; Dev'T 1"</v>
      </c>
    </row>
    <row r="110" spans="2:9" x14ac:dyDescent="0.25">
      <c r="B110">
        <v>108</v>
      </c>
      <c r="C110">
        <v>2</v>
      </c>
      <c r="D110">
        <v>19</v>
      </c>
      <c r="E110">
        <v>1</v>
      </c>
      <c r="F110" s="27" t="s">
        <v>508</v>
      </c>
      <c r="H110" t="str">
        <f t="shared" si="1"/>
        <v>(NULL,"2","19","1","CISCO 4"),</v>
      </c>
      <c r="I110" t="str">
        <f>TextJoin(tblClasses[[#This Row],[STermID]:[Description]],"Value")</f>
        <v>"2","19","1","CISCO 4"</v>
      </c>
    </row>
    <row r="111" spans="2:9" x14ac:dyDescent="0.25">
      <c r="B111">
        <v>109</v>
      </c>
      <c r="C111">
        <v>3</v>
      </c>
      <c r="D111">
        <v>19</v>
      </c>
      <c r="E111">
        <v>1</v>
      </c>
      <c r="F111" t="s">
        <v>288</v>
      </c>
      <c r="H111" t="str">
        <f t="shared" si="1"/>
        <v>(NULL,"3","19","1","Communication Skills 2"),</v>
      </c>
      <c r="I111" t="str">
        <f>TextJoin(tblClasses[[#This Row],[STermID]:[Description]],"Value")</f>
        <v>"3","19","1","Communication Skills 2"</v>
      </c>
    </row>
    <row r="112" spans="2:9" x14ac:dyDescent="0.25">
      <c r="B112">
        <v>110</v>
      </c>
      <c r="C112">
        <v>3</v>
      </c>
      <c r="D112">
        <v>19</v>
      </c>
      <c r="E112">
        <v>1</v>
      </c>
      <c r="F112" t="s">
        <v>290</v>
      </c>
      <c r="H112" t="str">
        <f t="shared" si="1"/>
        <v>(NULL,"3","19","1","Analytic Geometry"),</v>
      </c>
      <c r="I112" t="str">
        <f>TextJoin(tblClasses[[#This Row],[STermID]:[Description]],"Value")</f>
        <v>"3","19","1","Analytic Geometry"</v>
      </c>
    </row>
    <row r="113" spans="2:9" x14ac:dyDescent="0.25">
      <c r="B113">
        <v>111</v>
      </c>
      <c r="C113">
        <v>3</v>
      </c>
      <c r="D113">
        <v>19</v>
      </c>
      <c r="E113">
        <v>1</v>
      </c>
      <c r="F113" t="s">
        <v>292</v>
      </c>
      <c r="H113" t="str">
        <f t="shared" si="1"/>
        <v>(NULL,"3","19","1","Gamiting Filipino"),</v>
      </c>
      <c r="I113" t="str">
        <f>TextJoin(tblClasses[[#This Row],[STermID]:[Description]],"Value")</f>
        <v>"3","19","1","Gamiting Filipino"</v>
      </c>
    </row>
    <row r="114" spans="2:9" x14ac:dyDescent="0.25">
      <c r="B114">
        <v>112</v>
      </c>
      <c r="C114">
        <v>3</v>
      </c>
      <c r="D114">
        <v>19</v>
      </c>
      <c r="E114">
        <v>1</v>
      </c>
      <c r="F114" t="s">
        <v>785</v>
      </c>
      <c r="H114" t="str">
        <f t="shared" si="1"/>
        <v>(NULL,"3","19","1","Advanced Algebra"),</v>
      </c>
      <c r="I114" t="str">
        <f>TextJoin(tblClasses[[#This Row],[STermID]:[Description]],"Value")</f>
        <v>"3","19","1","Advanced Algebra"</v>
      </c>
    </row>
    <row r="115" spans="2:9" x14ac:dyDescent="0.25">
      <c r="B115">
        <v>113</v>
      </c>
      <c r="C115">
        <v>3</v>
      </c>
      <c r="D115">
        <v>19</v>
      </c>
      <c r="E115">
        <v>1</v>
      </c>
      <c r="F115" t="s">
        <v>296</v>
      </c>
      <c r="H115" t="str">
        <f t="shared" si="1"/>
        <v>(NULL,"3","19","1","Solid Mensuration"),</v>
      </c>
      <c r="I115" t="str">
        <f>TextJoin(tblClasses[[#This Row],[STermID]:[Description]],"Value")</f>
        <v>"3","19","1","Solid Mensuration"</v>
      </c>
    </row>
    <row r="116" spans="2:9" x14ac:dyDescent="0.25">
      <c r="B116">
        <v>114</v>
      </c>
      <c r="C116">
        <v>3</v>
      </c>
      <c r="D116">
        <v>19</v>
      </c>
      <c r="E116">
        <v>1</v>
      </c>
      <c r="F116" t="s">
        <v>613</v>
      </c>
      <c r="H116" t="str">
        <f t="shared" si="1"/>
        <v>(NULL,"3","19","1","Rizal'S Life, Works And Writing"),</v>
      </c>
      <c r="I116" t="str">
        <f>TextJoin(tblClasses[[#This Row],[STermID]:[Description]],"Value")</f>
        <v>"3","19","1","Rizal'S Life, Works And Writing"</v>
      </c>
    </row>
    <row r="117" spans="2:9" x14ac:dyDescent="0.25">
      <c r="B117">
        <v>115</v>
      </c>
      <c r="C117">
        <v>3</v>
      </c>
      <c r="D117">
        <v>19</v>
      </c>
      <c r="E117">
        <v>1</v>
      </c>
      <c r="F117" t="s">
        <v>299</v>
      </c>
      <c r="H117" t="str">
        <f t="shared" si="1"/>
        <v>(NULL,"3","19","1","Computer Aided Drafting"),</v>
      </c>
      <c r="I117" t="str">
        <f>TextJoin(tblClasses[[#This Row],[STermID]:[Description]],"Value")</f>
        <v>"3","19","1","Computer Aided Drafting"</v>
      </c>
    </row>
    <row r="118" spans="2:9" x14ac:dyDescent="0.25">
      <c r="B118">
        <v>116</v>
      </c>
      <c r="C118">
        <v>3</v>
      </c>
      <c r="D118">
        <v>19</v>
      </c>
      <c r="E118">
        <v>1</v>
      </c>
      <c r="F118" t="s">
        <v>786</v>
      </c>
      <c r="H118" t="str">
        <f t="shared" si="1"/>
        <v>(NULL,"3","19","1","Rhytmic Activities (Dances)"),</v>
      </c>
      <c r="I118" t="str">
        <f>TextJoin(tblClasses[[#This Row],[STermID]:[Description]],"Value")</f>
        <v>"3","19","1","Rhytmic Activities (Dances)"</v>
      </c>
    </row>
    <row r="119" spans="2:9" x14ac:dyDescent="0.25">
      <c r="B119">
        <v>117</v>
      </c>
      <c r="C119">
        <v>3</v>
      </c>
      <c r="D119">
        <v>19</v>
      </c>
      <c r="E119">
        <v>1</v>
      </c>
      <c r="F119" t="s">
        <v>303</v>
      </c>
      <c r="H119" t="str">
        <f t="shared" si="1"/>
        <v>(NULL,"3","19","1","National Service Training Program 2"),</v>
      </c>
      <c r="I119" t="str">
        <f>TextJoin(tblClasses[[#This Row],[STermID]:[Description]],"Value")</f>
        <v>"3","19","1","National Service Training Program 2"</v>
      </c>
    </row>
    <row r="120" spans="2:9" x14ac:dyDescent="0.25">
      <c r="B120">
        <v>118</v>
      </c>
      <c r="C120">
        <v>3</v>
      </c>
      <c r="D120">
        <v>19</v>
      </c>
      <c r="E120">
        <v>1</v>
      </c>
      <c r="F120" t="s">
        <v>787</v>
      </c>
      <c r="H120" t="str">
        <f t="shared" si="1"/>
        <v>(NULL,"3","19","1","Philosophy Of Man"),</v>
      </c>
      <c r="I120" t="str">
        <f>TextJoin(tblClasses[[#This Row],[STermID]:[Description]],"Value")</f>
        <v>"3","19","1","Philosophy Of Man"</v>
      </c>
    </row>
    <row r="121" spans="2:9" x14ac:dyDescent="0.25">
      <c r="B121">
        <v>119</v>
      </c>
      <c r="C121">
        <v>3</v>
      </c>
      <c r="D121">
        <v>19</v>
      </c>
      <c r="E121">
        <v>1</v>
      </c>
      <c r="F121" t="s">
        <v>788</v>
      </c>
      <c r="H121" t="str">
        <f t="shared" si="1"/>
        <v>(NULL,"3","19","1","Pagbasa At Pagsulat Tungo Sa Pananaliksik"),</v>
      </c>
      <c r="I121" t="str">
        <f>TextJoin(tblClasses[[#This Row],[STermID]:[Description]],"Value")</f>
        <v>"3","19","1","Pagbasa At Pagsulat Tungo Sa Pananaliksik"</v>
      </c>
    </row>
    <row r="122" spans="2:9" x14ac:dyDescent="0.25">
      <c r="B122">
        <v>120</v>
      </c>
      <c r="C122">
        <v>3</v>
      </c>
      <c r="D122">
        <v>19</v>
      </c>
      <c r="E122">
        <v>1</v>
      </c>
      <c r="F122" t="s">
        <v>440</v>
      </c>
      <c r="H122" t="str">
        <f t="shared" si="1"/>
        <v>(NULL,"3","19","1","Trigonometry"),</v>
      </c>
      <c r="I122" t="str">
        <f>TextJoin(tblClasses[[#This Row],[STermID]:[Description]],"Value")</f>
        <v>"3","19","1","Trigonometry"</v>
      </c>
    </row>
    <row r="123" spans="2:9" x14ac:dyDescent="0.25">
      <c r="B123">
        <v>121</v>
      </c>
      <c r="C123">
        <v>3</v>
      </c>
      <c r="D123">
        <v>19</v>
      </c>
      <c r="E123">
        <v>1</v>
      </c>
      <c r="F123" t="s">
        <v>442</v>
      </c>
      <c r="H123" t="str">
        <f t="shared" si="1"/>
        <v>(NULL,"3","19","1","Programming 2 (C++)"),</v>
      </c>
      <c r="I123" t="str">
        <f>TextJoin(tblClasses[[#This Row],[STermID]:[Description]],"Value")</f>
        <v>"3","19","1","Programming 2 (C++)"</v>
      </c>
    </row>
    <row r="124" spans="2:9" x14ac:dyDescent="0.25">
      <c r="B124">
        <v>122</v>
      </c>
      <c r="C124">
        <v>3</v>
      </c>
      <c r="D124">
        <v>19</v>
      </c>
      <c r="E124">
        <v>1</v>
      </c>
      <c r="F124" t="s">
        <v>444</v>
      </c>
      <c r="H124" t="str">
        <f t="shared" si="1"/>
        <v>(NULL,"3","19","1","Applied Operating System"),</v>
      </c>
      <c r="I124" t="str">
        <f>TextJoin(tblClasses[[#This Row],[STermID]:[Description]],"Value")</f>
        <v>"3","19","1","Applied Operating System"</v>
      </c>
    </row>
    <row r="125" spans="2:9" x14ac:dyDescent="0.25">
      <c r="B125">
        <v>123</v>
      </c>
      <c r="C125">
        <v>3</v>
      </c>
      <c r="D125">
        <v>19</v>
      </c>
      <c r="E125">
        <v>1</v>
      </c>
      <c r="F125" t="s">
        <v>789</v>
      </c>
      <c r="H125" t="str">
        <f t="shared" si="1"/>
        <v>(NULL,"3","19","1","Quality, Conciousness, Habits And Processes"),</v>
      </c>
      <c r="I125" t="str">
        <f>TextJoin(tblClasses[[#This Row],[STermID]:[Description]],"Value")</f>
        <v>"3","19","1","Quality, Conciousness, Habits And Processes"</v>
      </c>
    </row>
    <row r="126" spans="2:9" x14ac:dyDescent="0.25">
      <c r="B126">
        <v>124</v>
      </c>
      <c r="C126">
        <v>3</v>
      </c>
      <c r="D126">
        <v>19</v>
      </c>
      <c r="E126">
        <v>1</v>
      </c>
      <c r="F126" t="s">
        <v>787</v>
      </c>
      <c r="H126" t="str">
        <f t="shared" si="1"/>
        <v>(NULL,"3","19","1","Philosophy Of Man"),</v>
      </c>
      <c r="I126" t="str">
        <f>TextJoin(tblClasses[[#This Row],[STermID]:[Description]],"Value")</f>
        <v>"3","19","1","Philosophy Of Man"</v>
      </c>
    </row>
    <row r="127" spans="2:9" x14ac:dyDescent="0.25">
      <c r="B127">
        <v>125</v>
      </c>
      <c r="C127">
        <v>3</v>
      </c>
      <c r="D127">
        <v>19</v>
      </c>
      <c r="E127">
        <v>1</v>
      </c>
      <c r="F127" t="s">
        <v>311</v>
      </c>
      <c r="H127" t="str">
        <f t="shared" si="1"/>
        <v>(NULL,"3","19","1","General Physics 1"),</v>
      </c>
      <c r="I127" t="str">
        <f>TextJoin(tblClasses[[#This Row],[STermID]:[Description]],"Value")</f>
        <v>"3","19","1","General Physics 1"</v>
      </c>
    </row>
    <row r="128" spans="2:9" x14ac:dyDescent="0.25">
      <c r="B128">
        <v>126</v>
      </c>
      <c r="C128">
        <v>3</v>
      </c>
      <c r="D128">
        <v>19</v>
      </c>
      <c r="E128">
        <v>1</v>
      </c>
      <c r="F128" t="s">
        <v>790</v>
      </c>
      <c r="H128" t="str">
        <f t="shared" si="1"/>
        <v>(NULL,"3","19","1","Statistics And Probabilities"),</v>
      </c>
      <c r="I128" t="str">
        <f>TextJoin(tblClasses[[#This Row],[STermID]:[Description]],"Value")</f>
        <v>"3","19","1","Statistics And Probabilities"</v>
      </c>
    </row>
    <row r="129" spans="2:9" x14ac:dyDescent="0.25">
      <c r="B129">
        <v>127</v>
      </c>
      <c r="C129">
        <v>3</v>
      </c>
      <c r="D129">
        <v>19</v>
      </c>
      <c r="E129">
        <v>1</v>
      </c>
      <c r="F129" t="s">
        <v>325</v>
      </c>
      <c r="H129" t="str">
        <f t="shared" si="1"/>
        <v>(NULL,"3","19","1","Integral Calculus"),</v>
      </c>
      <c r="I129" t="str">
        <f>TextJoin(tblClasses[[#This Row],[STermID]:[Description]],"Value")</f>
        <v>"3","19","1","Integral Calculus"</v>
      </c>
    </row>
    <row r="130" spans="2:9" x14ac:dyDescent="0.25">
      <c r="B130">
        <v>128</v>
      </c>
      <c r="C130">
        <v>3</v>
      </c>
      <c r="D130">
        <v>19</v>
      </c>
      <c r="E130">
        <v>1</v>
      </c>
      <c r="F130" t="s">
        <v>327</v>
      </c>
      <c r="H130" t="str">
        <f t="shared" si="1"/>
        <v>(NULL,"3","19","1","General Physics 2"),</v>
      </c>
      <c r="I130" t="str">
        <f>TextJoin(tblClasses[[#This Row],[STermID]:[Description]],"Value")</f>
        <v>"3","19","1","General Physics 2"</v>
      </c>
    </row>
    <row r="131" spans="2:9" x14ac:dyDescent="0.25">
      <c r="B131">
        <v>129</v>
      </c>
      <c r="C131">
        <v>3</v>
      </c>
      <c r="D131">
        <v>19</v>
      </c>
      <c r="E131">
        <v>1</v>
      </c>
      <c r="F131" t="s">
        <v>329</v>
      </c>
      <c r="H131" t="str">
        <f t="shared" si="1"/>
        <v>(NULL,"3","19","1","Data Structure &amp; Algorithm Analysis"),</v>
      </c>
      <c r="I131" t="str">
        <f>TextJoin(tblClasses[[#This Row],[STermID]:[Description]],"Value")</f>
        <v>"3","19","1","Data Structure &amp; Algorithm Analysis"</v>
      </c>
    </row>
    <row r="132" spans="2:9" x14ac:dyDescent="0.25">
      <c r="B132">
        <v>130</v>
      </c>
      <c r="C132">
        <v>3</v>
      </c>
      <c r="D132">
        <v>19</v>
      </c>
      <c r="E132">
        <v>1</v>
      </c>
      <c r="F132" t="s">
        <v>331</v>
      </c>
      <c r="H132" t="str">
        <f t="shared" ref="H132:H195" si="2">"(NULL,"&amp;I132&amp;")"&amp;IF(H133&lt;&gt;"",",",";")</f>
        <v>(NULL,"3","19","1","General Psychology"),</v>
      </c>
      <c r="I132" t="str">
        <f>TextJoin(tblClasses[[#This Row],[STermID]:[Description]],"Value")</f>
        <v>"3","19","1","General Psychology"</v>
      </c>
    </row>
    <row r="133" spans="2:9" x14ac:dyDescent="0.25">
      <c r="B133">
        <v>131</v>
      </c>
      <c r="C133">
        <v>3</v>
      </c>
      <c r="D133">
        <v>19</v>
      </c>
      <c r="E133">
        <v>1</v>
      </c>
      <c r="F133" t="s">
        <v>333</v>
      </c>
      <c r="H133" t="str">
        <f t="shared" si="2"/>
        <v>(NULL,"3","19","1","Philippine Literature"),</v>
      </c>
      <c r="I133" t="str">
        <f>TextJoin(tblClasses[[#This Row],[STermID]:[Description]],"Value")</f>
        <v>"3","19","1","Philippine Literature"</v>
      </c>
    </row>
    <row r="134" spans="2:9" x14ac:dyDescent="0.25">
      <c r="B134">
        <v>132</v>
      </c>
      <c r="C134">
        <v>3</v>
      </c>
      <c r="D134">
        <v>19</v>
      </c>
      <c r="E134">
        <v>1</v>
      </c>
      <c r="F134" t="s">
        <v>335</v>
      </c>
      <c r="H134" t="str">
        <f t="shared" si="2"/>
        <v>(NULL,"3","19","1","Group Games"),</v>
      </c>
      <c r="I134" t="str">
        <f>TextJoin(tblClasses[[#This Row],[STermID]:[Description]],"Value")</f>
        <v>"3","19","1","Group Games"</v>
      </c>
    </row>
    <row r="135" spans="2:9" x14ac:dyDescent="0.25">
      <c r="B135">
        <v>133</v>
      </c>
      <c r="C135">
        <v>3</v>
      </c>
      <c r="D135">
        <v>19</v>
      </c>
      <c r="E135">
        <v>1</v>
      </c>
      <c r="F135" t="s">
        <v>461</v>
      </c>
      <c r="H135" t="str">
        <f t="shared" si="2"/>
        <v>(NULL,"3","19","1","Database Management System"),</v>
      </c>
      <c r="I135" t="str">
        <f>TextJoin(tblClasses[[#This Row],[STermID]:[Description]],"Value")</f>
        <v>"3","19","1","Database Management System"</v>
      </c>
    </row>
    <row r="136" spans="2:9" x14ac:dyDescent="0.25">
      <c r="B136">
        <v>134</v>
      </c>
      <c r="C136">
        <v>3</v>
      </c>
      <c r="D136">
        <v>19</v>
      </c>
      <c r="E136">
        <v>1</v>
      </c>
      <c r="F136" t="s">
        <v>791</v>
      </c>
      <c r="H136" t="str">
        <f t="shared" si="2"/>
        <v>(NULL,"3","19","1","System Analysis And Design"),</v>
      </c>
      <c r="I136" t="str">
        <f>TextJoin(tblClasses[[#This Row],[STermID]:[Description]],"Value")</f>
        <v>"3","19","1","System Analysis And Design"</v>
      </c>
    </row>
    <row r="137" spans="2:9" x14ac:dyDescent="0.25">
      <c r="B137">
        <v>135</v>
      </c>
      <c r="C137">
        <v>3</v>
      </c>
      <c r="D137">
        <v>19</v>
      </c>
      <c r="E137">
        <v>1</v>
      </c>
      <c r="F137" t="s">
        <v>464</v>
      </c>
      <c r="H137" t="str">
        <f t="shared" si="2"/>
        <v>(NULL,"3","19","1","Network Management"),</v>
      </c>
      <c r="I137" t="str">
        <f>TextJoin(tblClasses[[#This Row],[STermID]:[Description]],"Value")</f>
        <v>"3","19","1","Network Management"</v>
      </c>
    </row>
    <row r="138" spans="2:9" x14ac:dyDescent="0.25">
      <c r="B138">
        <v>136</v>
      </c>
      <c r="C138">
        <v>3</v>
      </c>
      <c r="D138">
        <v>19</v>
      </c>
      <c r="E138">
        <v>1</v>
      </c>
      <c r="F138" t="s">
        <v>792</v>
      </c>
      <c r="H138" t="str">
        <f t="shared" si="2"/>
        <v>(NULL,"3","19","1","Logic Design &amp; Switching Theory"),</v>
      </c>
      <c r="I138" t="str">
        <f>TextJoin(tblClasses[[#This Row],[STermID]:[Description]],"Value")</f>
        <v>"3","19","1","Logic Design &amp; Switching Theory"</v>
      </c>
    </row>
    <row r="139" spans="2:9" x14ac:dyDescent="0.25">
      <c r="B139">
        <v>137</v>
      </c>
      <c r="C139">
        <v>3</v>
      </c>
      <c r="D139">
        <v>19</v>
      </c>
      <c r="E139">
        <v>1</v>
      </c>
      <c r="F139" t="s">
        <v>468</v>
      </c>
      <c r="H139" t="str">
        <f t="shared" si="2"/>
        <v>(NULL,"3","19","1","Free Elective (SAP)"),</v>
      </c>
      <c r="I139" t="str">
        <f>TextJoin(tblClasses[[#This Row],[STermID]:[Description]],"Value")</f>
        <v>"3","19","1","Free Elective (SAP)"</v>
      </c>
    </row>
    <row r="140" spans="2:9" x14ac:dyDescent="0.25">
      <c r="B140">
        <v>138</v>
      </c>
      <c r="C140">
        <v>3</v>
      </c>
      <c r="D140">
        <v>19</v>
      </c>
      <c r="E140">
        <v>1</v>
      </c>
      <c r="F140" t="s">
        <v>473</v>
      </c>
      <c r="H140" t="str">
        <f t="shared" si="2"/>
        <v>(NULL,"3","19","1","Philippine History"),</v>
      </c>
      <c r="I140" t="str">
        <f>TextJoin(tblClasses[[#This Row],[STermID]:[Description]],"Value")</f>
        <v>"3","19","1","Philippine History"</v>
      </c>
    </row>
    <row r="141" spans="2:9" x14ac:dyDescent="0.25">
      <c r="B141">
        <v>139</v>
      </c>
      <c r="C141">
        <v>3</v>
      </c>
      <c r="D141">
        <v>19</v>
      </c>
      <c r="E141">
        <v>1</v>
      </c>
      <c r="F141" t="s">
        <v>353</v>
      </c>
      <c r="H141" t="str">
        <f t="shared" si="2"/>
        <v>(NULL,"3","19","1","Advance Engineering Mathematics"),</v>
      </c>
      <c r="I141" t="str">
        <f>TextJoin(tblClasses[[#This Row],[STermID]:[Description]],"Value")</f>
        <v>"3","19","1","Advance Engineering Mathematics"</v>
      </c>
    </row>
    <row r="142" spans="2:9" x14ac:dyDescent="0.25">
      <c r="B142">
        <v>140</v>
      </c>
      <c r="C142">
        <v>3</v>
      </c>
      <c r="D142">
        <v>19</v>
      </c>
      <c r="E142">
        <v>1</v>
      </c>
      <c r="F142" t="s">
        <v>793</v>
      </c>
      <c r="H142" t="str">
        <f t="shared" si="2"/>
        <v>(NULL,"3","19","1","Dynamics Of Rigid Bodies"),</v>
      </c>
      <c r="I142" t="str">
        <f>TextJoin(tblClasses[[#This Row],[STermID]:[Description]],"Value")</f>
        <v>"3","19","1","Dynamics Of Rigid Bodies"</v>
      </c>
    </row>
    <row r="143" spans="2:9" x14ac:dyDescent="0.25">
      <c r="B143">
        <v>141</v>
      </c>
      <c r="C143">
        <v>3</v>
      </c>
      <c r="D143">
        <v>19</v>
      </c>
      <c r="E143">
        <v>1</v>
      </c>
      <c r="F143" t="s">
        <v>357</v>
      </c>
      <c r="H143" t="str">
        <f t="shared" si="2"/>
        <v>(NULL,"3","19","1","Engineering Materials"),</v>
      </c>
      <c r="I143" t="str">
        <f>TextJoin(tblClasses[[#This Row],[STermID]:[Description]],"Value")</f>
        <v>"3","19","1","Engineering Materials"</v>
      </c>
    </row>
    <row r="144" spans="2:9" x14ac:dyDescent="0.25">
      <c r="B144">
        <v>142</v>
      </c>
      <c r="C144">
        <v>3</v>
      </c>
      <c r="D144">
        <v>19</v>
      </c>
      <c r="E144">
        <v>1</v>
      </c>
      <c r="F144" t="s">
        <v>359</v>
      </c>
      <c r="H144" t="str">
        <f t="shared" si="2"/>
        <v>(NULL,"3","19","1","CISCO 1"),</v>
      </c>
      <c r="I144" t="str">
        <f>TextJoin(tblClasses[[#This Row],[STermID]:[Description]],"Value")</f>
        <v>"3","19","1","CISCO 1"</v>
      </c>
    </row>
    <row r="145" spans="2:9" x14ac:dyDescent="0.25">
      <c r="B145">
        <v>143</v>
      </c>
      <c r="C145">
        <v>3</v>
      </c>
      <c r="D145">
        <v>19</v>
      </c>
      <c r="E145">
        <v>1</v>
      </c>
      <c r="F145" t="s">
        <v>361</v>
      </c>
      <c r="H145" t="str">
        <f t="shared" si="2"/>
        <v>(NULL,"3","19","1","Electronics 2"),</v>
      </c>
      <c r="I145" t="str">
        <f>TextJoin(tblClasses[[#This Row],[STermID]:[Description]],"Value")</f>
        <v>"3","19","1","Electronics 2"</v>
      </c>
    </row>
    <row r="146" spans="2:9" x14ac:dyDescent="0.25">
      <c r="B146">
        <v>144</v>
      </c>
      <c r="C146">
        <v>3</v>
      </c>
      <c r="D146">
        <v>19</v>
      </c>
      <c r="E146">
        <v>1</v>
      </c>
      <c r="F146" t="s">
        <v>363</v>
      </c>
      <c r="H146" t="str">
        <f t="shared" si="2"/>
        <v>(NULL,"3","19","1","Circuit Analysis 2"),</v>
      </c>
      <c r="I146" t="str">
        <f>TextJoin(tblClasses[[#This Row],[STermID]:[Description]],"Value")</f>
        <v>"3","19","1","Circuit Analysis 2"</v>
      </c>
    </row>
    <row r="147" spans="2:9" x14ac:dyDescent="0.25">
      <c r="B147">
        <v>145</v>
      </c>
      <c r="C147">
        <v>3</v>
      </c>
      <c r="D147">
        <v>19</v>
      </c>
      <c r="E147">
        <v>1</v>
      </c>
      <c r="F147" t="s">
        <v>365</v>
      </c>
      <c r="H147" t="str">
        <f t="shared" si="2"/>
        <v>(NULL,"3","19","1","Logic Circuit &amp; Switching Theory"),</v>
      </c>
      <c r="I147" t="str">
        <f>TextJoin(tblClasses[[#This Row],[STermID]:[Description]],"Value")</f>
        <v>"3","19","1","Logic Circuit &amp; Switching Theory"</v>
      </c>
    </row>
    <row r="148" spans="2:9" x14ac:dyDescent="0.25">
      <c r="B148">
        <v>146</v>
      </c>
      <c r="C148">
        <v>3</v>
      </c>
      <c r="D148">
        <v>19</v>
      </c>
      <c r="E148">
        <v>1</v>
      </c>
      <c r="F148" t="s">
        <v>367</v>
      </c>
      <c r="H148" t="str">
        <f t="shared" si="2"/>
        <v>(NULL,"3","19","1","Operating System"),</v>
      </c>
      <c r="I148" t="str">
        <f>TextJoin(tblClasses[[#This Row],[STermID]:[Description]],"Value")</f>
        <v>"3","19","1","Operating System"</v>
      </c>
    </row>
    <row r="149" spans="2:9" x14ac:dyDescent="0.25">
      <c r="B149">
        <v>147</v>
      </c>
      <c r="C149">
        <v>3</v>
      </c>
      <c r="D149">
        <v>19</v>
      </c>
      <c r="E149">
        <v>1</v>
      </c>
      <c r="F149" t="s">
        <v>794</v>
      </c>
      <c r="H149" t="str">
        <f t="shared" si="2"/>
        <v>(NULL,"3","19","1","Software Enginnering"),</v>
      </c>
      <c r="I149" t="str">
        <f>TextJoin(tblClasses[[#This Row],[STermID]:[Description]],"Value")</f>
        <v>"3","19","1","Software Enginnering"</v>
      </c>
    </row>
    <row r="150" spans="2:9" x14ac:dyDescent="0.25">
      <c r="B150">
        <v>148</v>
      </c>
      <c r="C150">
        <v>3</v>
      </c>
      <c r="D150">
        <v>19</v>
      </c>
      <c r="E150">
        <v>1</v>
      </c>
      <c r="F150" t="s">
        <v>795</v>
      </c>
      <c r="H150" t="str">
        <f t="shared" si="2"/>
        <v>(NULL,"3","19","1","Multimedia Systems"),</v>
      </c>
      <c r="I150" t="str">
        <f>TextJoin(tblClasses[[#This Row],[STermID]:[Description]],"Value")</f>
        <v>"3","19","1","Multimedia Systems"</v>
      </c>
    </row>
    <row r="151" spans="2:9" x14ac:dyDescent="0.25">
      <c r="B151">
        <v>149</v>
      </c>
      <c r="C151">
        <v>3</v>
      </c>
      <c r="D151">
        <v>19</v>
      </c>
      <c r="E151">
        <v>1</v>
      </c>
      <c r="F151" t="s">
        <v>490</v>
      </c>
      <c r="H151" t="str">
        <f t="shared" si="2"/>
        <v>(NULL,"3","19","1","Advance Database Management Systems"),</v>
      </c>
      <c r="I151" t="str">
        <f>TextJoin(tblClasses[[#This Row],[STermID]:[Description]],"Value")</f>
        <v>"3","19","1","Advance Database Management Systems"</v>
      </c>
    </row>
    <row r="152" spans="2:9" x14ac:dyDescent="0.25">
      <c r="B152">
        <v>150</v>
      </c>
      <c r="C152">
        <v>3</v>
      </c>
      <c r="D152">
        <v>19</v>
      </c>
      <c r="E152">
        <v>1</v>
      </c>
      <c r="F152" t="s">
        <v>492</v>
      </c>
      <c r="H152" t="str">
        <f t="shared" si="2"/>
        <v>(NULL,"3","19","1","Technopreneurship"),</v>
      </c>
      <c r="I152" t="str">
        <f>TextJoin(tblClasses[[#This Row],[STermID]:[Description]],"Value")</f>
        <v>"3","19","1","Technopreneurship"</v>
      </c>
    </row>
    <row r="153" spans="2:9" x14ac:dyDescent="0.25">
      <c r="B153">
        <v>151</v>
      </c>
      <c r="C153">
        <v>3</v>
      </c>
      <c r="D153">
        <v>19</v>
      </c>
      <c r="E153">
        <v>1</v>
      </c>
      <c r="F153" t="s">
        <v>371</v>
      </c>
      <c r="H153" t="str">
        <f t="shared" si="2"/>
        <v>(NULL,"3","19","1","CISCO 2"),</v>
      </c>
      <c r="I153" t="str">
        <f>TextJoin(tblClasses[[#This Row],[STermID]:[Description]],"Value")</f>
        <v>"3","19","1","CISCO 2"</v>
      </c>
    </row>
    <row r="154" spans="2:9" x14ac:dyDescent="0.25">
      <c r="B154">
        <v>152</v>
      </c>
      <c r="C154">
        <v>3</v>
      </c>
      <c r="D154">
        <v>19</v>
      </c>
      <c r="E154">
        <v>1</v>
      </c>
      <c r="F154" t="s">
        <v>796</v>
      </c>
      <c r="H154" t="str">
        <f t="shared" si="2"/>
        <v>(NULL,"3","19","1","Society &amp; Culture W/ Hiv Aids Education"),</v>
      </c>
      <c r="I154" t="str">
        <f>TextJoin(tblClasses[[#This Row],[STermID]:[Description]],"Value")</f>
        <v>"3","19","1","Society &amp; Culture W/ Hiv Aids Education"</v>
      </c>
    </row>
    <row r="155" spans="2:9" x14ac:dyDescent="0.25">
      <c r="B155">
        <v>153</v>
      </c>
      <c r="C155">
        <v>3</v>
      </c>
      <c r="D155">
        <v>19</v>
      </c>
      <c r="E155">
        <v>1</v>
      </c>
      <c r="F155" t="s">
        <v>797</v>
      </c>
      <c r="H155" t="str">
        <f t="shared" si="2"/>
        <v>(NULL,"3","19","1","It Elective 2 (Network Administration)"),</v>
      </c>
      <c r="I155" t="str">
        <f>TextJoin(tblClasses[[#This Row],[STermID]:[Description]],"Value")</f>
        <v>"3","19","1","It Elective 2 (Network Administration)"</v>
      </c>
    </row>
    <row r="156" spans="2:9" x14ac:dyDescent="0.25">
      <c r="B156">
        <v>154</v>
      </c>
      <c r="C156">
        <v>3</v>
      </c>
      <c r="D156">
        <v>19</v>
      </c>
      <c r="E156">
        <v>1</v>
      </c>
      <c r="F156" t="s">
        <v>796</v>
      </c>
      <c r="H156" t="str">
        <f t="shared" si="2"/>
        <v>(NULL,"3","19","1","Society &amp; Culture W/ Hiv Aids Education"),</v>
      </c>
      <c r="I156" t="str">
        <f>TextJoin(tblClasses[[#This Row],[STermID]:[Description]],"Value")</f>
        <v>"3","19","1","Society &amp; Culture W/ Hiv Aids Education"</v>
      </c>
    </row>
    <row r="157" spans="2:9" x14ac:dyDescent="0.25">
      <c r="B157">
        <v>155</v>
      </c>
      <c r="C157">
        <v>3</v>
      </c>
      <c r="D157">
        <v>19</v>
      </c>
      <c r="E157">
        <v>1</v>
      </c>
      <c r="F157" t="s">
        <v>387</v>
      </c>
      <c r="H157" t="str">
        <f t="shared" si="2"/>
        <v>(NULL,"3","19","1","Microprocessor &amp; Microcontroller Systems"),</v>
      </c>
      <c r="I157" t="str">
        <f>TextJoin(tblClasses[[#This Row],[STermID]:[Description]],"Value")</f>
        <v>"3","19","1","Microprocessor &amp; Microcontroller Systems"</v>
      </c>
    </row>
    <row r="158" spans="2:9" x14ac:dyDescent="0.25">
      <c r="B158">
        <v>156</v>
      </c>
      <c r="C158">
        <v>3</v>
      </c>
      <c r="D158">
        <v>19</v>
      </c>
      <c r="E158">
        <v>1</v>
      </c>
      <c r="F158" t="s">
        <v>389</v>
      </c>
      <c r="H158" t="str">
        <f t="shared" si="2"/>
        <v>(NULL,"3","19","1","Data Communications"),</v>
      </c>
      <c r="I158" t="str">
        <f>TextJoin(tblClasses[[#This Row],[STermID]:[Description]],"Value")</f>
        <v>"3","19","1","Data Communications"</v>
      </c>
    </row>
    <row r="159" spans="2:9" x14ac:dyDescent="0.25">
      <c r="B159">
        <v>157</v>
      </c>
      <c r="C159">
        <v>3</v>
      </c>
      <c r="D159">
        <v>19</v>
      </c>
      <c r="E159">
        <v>1</v>
      </c>
      <c r="F159" t="s">
        <v>391</v>
      </c>
      <c r="H159" t="str">
        <f t="shared" si="2"/>
        <v>(NULL,"3","19","1","Computer System Architecture"),</v>
      </c>
      <c r="I159" t="str">
        <f>TextJoin(tblClasses[[#This Row],[STermID]:[Description]],"Value")</f>
        <v>"3","19","1","Computer System Architecture"</v>
      </c>
    </row>
    <row r="160" spans="2:9" x14ac:dyDescent="0.25">
      <c r="B160">
        <v>158</v>
      </c>
      <c r="C160">
        <v>3</v>
      </c>
      <c r="D160">
        <v>19</v>
      </c>
      <c r="E160">
        <v>1</v>
      </c>
      <c r="F160" t="s">
        <v>393</v>
      </c>
      <c r="H160" t="str">
        <f t="shared" si="2"/>
        <v>(NULL,"3","19","1","Environmental Engineering"),</v>
      </c>
      <c r="I160" t="str">
        <f>TextJoin(tblClasses[[#This Row],[STermID]:[Description]],"Value")</f>
        <v>"3","19","1","Environmental Engineering"</v>
      </c>
    </row>
    <row r="161" spans="2:9" x14ac:dyDescent="0.25">
      <c r="B161">
        <v>159</v>
      </c>
      <c r="C161">
        <v>3</v>
      </c>
      <c r="D161">
        <v>19</v>
      </c>
      <c r="E161">
        <v>1</v>
      </c>
      <c r="F161" t="s">
        <v>415</v>
      </c>
      <c r="H161" t="str">
        <f t="shared" si="2"/>
        <v>(NULL,"3","19","1","CISCO 3"),</v>
      </c>
      <c r="I161" t="str">
        <f>TextJoin(tblClasses[[#This Row],[STermID]:[Description]],"Value")</f>
        <v>"3","19","1","CISCO 3"</v>
      </c>
    </row>
    <row r="162" spans="2:9" x14ac:dyDescent="0.25">
      <c r="B162">
        <v>160</v>
      </c>
      <c r="C162">
        <v>3</v>
      </c>
      <c r="D162">
        <v>19</v>
      </c>
      <c r="E162">
        <v>1</v>
      </c>
      <c r="F162" t="s">
        <v>396</v>
      </c>
      <c r="H162" t="str">
        <f t="shared" si="2"/>
        <v>(NULL,"3","19","1","Elective 1"),</v>
      </c>
      <c r="I162" t="str">
        <f>TextJoin(tblClasses[[#This Row],[STermID]:[Description]],"Value")</f>
        <v>"3","19","1","Elective 1"</v>
      </c>
    </row>
    <row r="163" spans="2:9" x14ac:dyDescent="0.25">
      <c r="B163">
        <v>161</v>
      </c>
      <c r="C163">
        <v>3</v>
      </c>
      <c r="D163">
        <v>19</v>
      </c>
      <c r="E163">
        <v>1</v>
      </c>
      <c r="F163" t="s">
        <v>798</v>
      </c>
      <c r="H163" t="str">
        <f t="shared" si="2"/>
        <v>(NULL,"3","19","1","Information Technology Design 2"),</v>
      </c>
      <c r="I163" t="str">
        <f>TextJoin(tblClasses[[#This Row],[STermID]:[Description]],"Value")</f>
        <v>"3","19","1","Information Technology Design 2"</v>
      </c>
    </row>
    <row r="164" spans="2:9" x14ac:dyDescent="0.25">
      <c r="B164">
        <v>162</v>
      </c>
      <c r="C164">
        <v>3</v>
      </c>
      <c r="D164">
        <v>19</v>
      </c>
      <c r="E164">
        <v>1</v>
      </c>
      <c r="F164" t="s">
        <v>799</v>
      </c>
      <c r="H164" t="str">
        <f t="shared" si="2"/>
        <v>(NULL,"3","19","1","It Elective 4 (It Project Management)"),</v>
      </c>
      <c r="I164" t="str">
        <f>TextJoin(tblClasses[[#This Row],[STermID]:[Description]],"Value")</f>
        <v>"3","19","1","It Elective 4 (It Project Management)"</v>
      </c>
    </row>
    <row r="165" spans="2:9" x14ac:dyDescent="0.25">
      <c r="B165">
        <v>163</v>
      </c>
      <c r="C165">
        <v>3</v>
      </c>
      <c r="D165">
        <v>19</v>
      </c>
      <c r="E165">
        <v>1</v>
      </c>
      <c r="F165" t="s">
        <v>514</v>
      </c>
      <c r="H165" t="str">
        <f t="shared" si="2"/>
        <v>(NULL,"3","19","1","Contact Center"),</v>
      </c>
      <c r="I165" t="str">
        <f>TextJoin(tblClasses[[#This Row],[STermID]:[Description]],"Value")</f>
        <v>"3","19","1","Contact Center"</v>
      </c>
    </row>
    <row r="166" spans="2:9" x14ac:dyDescent="0.25">
      <c r="B166">
        <v>164</v>
      </c>
      <c r="C166">
        <v>3</v>
      </c>
      <c r="D166">
        <v>19</v>
      </c>
      <c r="E166">
        <v>1</v>
      </c>
      <c r="F166" t="s">
        <v>508</v>
      </c>
      <c r="H166" t="str">
        <f t="shared" si="2"/>
        <v>(NULL,"3","19","1","CISCO 4"),</v>
      </c>
      <c r="I166" t="str">
        <f>TextJoin(tblClasses[[#This Row],[STermID]:[Description]],"Value")</f>
        <v>"3","19","1","CISCO 4"</v>
      </c>
    </row>
    <row r="167" spans="2:9" x14ac:dyDescent="0.25">
      <c r="B167">
        <v>165</v>
      </c>
      <c r="C167">
        <v>3</v>
      </c>
      <c r="D167">
        <v>19</v>
      </c>
      <c r="E167">
        <v>1</v>
      </c>
      <c r="F167" t="s">
        <v>800</v>
      </c>
      <c r="H167" t="str">
        <f t="shared" si="2"/>
        <v>(NULL,"3","19","1","Seminar And Fieldtrip"),</v>
      </c>
      <c r="I167" t="str">
        <f>TextJoin(tblClasses[[#This Row],[STermID]:[Description]],"Value")</f>
        <v>"3","19","1","Seminar And Fieldtrip"</v>
      </c>
    </row>
    <row r="168" spans="2:9" x14ac:dyDescent="0.25">
      <c r="B168">
        <v>166</v>
      </c>
      <c r="C168">
        <v>3</v>
      </c>
      <c r="D168">
        <v>19</v>
      </c>
      <c r="E168">
        <v>1</v>
      </c>
      <c r="F168" t="s">
        <v>417</v>
      </c>
      <c r="H168" t="str">
        <f t="shared" si="2"/>
        <v>(NULL,"3","19","1","Engineering Management"),</v>
      </c>
      <c r="I168" t="str">
        <f>TextJoin(tblClasses[[#This Row],[STermID]:[Description]],"Value")</f>
        <v>"3","19","1","Engineering Management"</v>
      </c>
    </row>
    <row r="169" spans="2:9" x14ac:dyDescent="0.25">
      <c r="B169">
        <v>167</v>
      </c>
      <c r="C169">
        <v>3</v>
      </c>
      <c r="D169">
        <v>19</v>
      </c>
      <c r="E169">
        <v>1</v>
      </c>
      <c r="F169" t="s">
        <v>419</v>
      </c>
      <c r="H169" t="str">
        <f t="shared" si="2"/>
        <v>(NULL,"3","19","1","Software Engineering"),</v>
      </c>
      <c r="I169" t="str">
        <f>TextJoin(tblClasses[[#This Row],[STermID]:[Description]],"Value")</f>
        <v>"3","19","1","Software Engineering"</v>
      </c>
    </row>
    <row r="170" spans="2:9" x14ac:dyDescent="0.25">
      <c r="B170">
        <v>168</v>
      </c>
      <c r="C170">
        <v>3</v>
      </c>
      <c r="D170">
        <v>19</v>
      </c>
      <c r="E170">
        <v>1</v>
      </c>
      <c r="F170" t="s">
        <v>801</v>
      </c>
      <c r="H170" t="str">
        <f t="shared" si="2"/>
        <v>(NULL,"3","19","1","Entreperneurship"),</v>
      </c>
      <c r="I170" t="str">
        <f>TextJoin(tblClasses[[#This Row],[STermID]:[Description]],"Value")</f>
        <v>"3","19","1","Entreperneurship"</v>
      </c>
    </row>
    <row r="171" spans="2:9" x14ac:dyDescent="0.25">
      <c r="B171">
        <v>169</v>
      </c>
      <c r="C171">
        <v>3</v>
      </c>
      <c r="D171">
        <v>19</v>
      </c>
      <c r="E171">
        <v>1</v>
      </c>
      <c r="F171" t="s">
        <v>802</v>
      </c>
      <c r="H171" t="str">
        <f t="shared" si="2"/>
        <v>(NULL,"3","19","1","Eng'G Design, Research &amp; Dev'T"),</v>
      </c>
      <c r="I171" t="str">
        <f>TextJoin(tblClasses[[#This Row],[STermID]:[Description]],"Value")</f>
        <v>"3","19","1","Eng'G Design, Research &amp; Dev'T"</v>
      </c>
    </row>
    <row r="172" spans="2:9" x14ac:dyDescent="0.25">
      <c r="B172">
        <v>170</v>
      </c>
      <c r="C172">
        <v>3</v>
      </c>
      <c r="D172">
        <v>19</v>
      </c>
      <c r="E172">
        <v>1</v>
      </c>
      <c r="F172" t="s">
        <v>425</v>
      </c>
      <c r="H172" t="str">
        <f t="shared" si="2"/>
        <v>(NULL,"3","19","1","Elective 3"),</v>
      </c>
      <c r="I172" t="str">
        <f>TextJoin(tblClasses[[#This Row],[STermID]:[Description]],"Value")</f>
        <v>"3","19","1","Elective 3"</v>
      </c>
    </row>
    <row r="173" spans="2:9" x14ac:dyDescent="0.25">
      <c r="B173">
        <v>171</v>
      </c>
      <c r="C173">
        <v>3</v>
      </c>
      <c r="D173">
        <v>19</v>
      </c>
      <c r="E173">
        <v>1</v>
      </c>
      <c r="F173" t="s">
        <v>803</v>
      </c>
      <c r="H173" t="str">
        <f t="shared" si="2"/>
        <v>(NULL,"3","19","1","Seminar &amp; Field Trip"),</v>
      </c>
      <c r="I173" t="str">
        <f>TextJoin(tblClasses[[#This Row],[STermID]:[Description]],"Value")</f>
        <v>"3","19","1","Seminar &amp; Field Trip"</v>
      </c>
    </row>
    <row r="174" spans="2:9" x14ac:dyDescent="0.25">
      <c r="B174">
        <v>172</v>
      </c>
      <c r="C174">
        <v>4</v>
      </c>
      <c r="D174">
        <v>19</v>
      </c>
      <c r="E174">
        <v>1</v>
      </c>
      <c r="F174" t="s">
        <v>270</v>
      </c>
      <c r="H174" t="str">
        <f t="shared" si="2"/>
        <v>(NULL,"4","19","1","Communication Skills 1"),</v>
      </c>
      <c r="I174" t="str">
        <f>TextJoin(tblClasses[[#This Row],[STermID]:[Description]],"Value")</f>
        <v>"4","19","1","Communication Skills 1"</v>
      </c>
    </row>
    <row r="175" spans="2:9" x14ac:dyDescent="0.25">
      <c r="B175">
        <v>173</v>
      </c>
      <c r="C175">
        <v>4</v>
      </c>
      <c r="D175">
        <v>19</v>
      </c>
      <c r="E175">
        <v>1</v>
      </c>
      <c r="F175" t="s">
        <v>272</v>
      </c>
      <c r="H175" t="str">
        <f t="shared" si="2"/>
        <v>(NULL,"4","19","1","College Algebra"),</v>
      </c>
      <c r="I175" t="str">
        <f>TextJoin(tblClasses[[#This Row],[STermID]:[Description]],"Value")</f>
        <v>"4","19","1","College Algebra"</v>
      </c>
    </row>
    <row r="176" spans="2:9" x14ac:dyDescent="0.25">
      <c r="B176">
        <v>174</v>
      </c>
      <c r="C176">
        <v>4</v>
      </c>
      <c r="D176">
        <v>19</v>
      </c>
      <c r="E176">
        <v>1</v>
      </c>
      <c r="F176" t="s">
        <v>804</v>
      </c>
      <c r="H176" t="str">
        <f t="shared" si="2"/>
        <v>(NULL,"4","19","1","Plane And Sperical Trigonometry"),</v>
      </c>
      <c r="I176" t="str">
        <f>TextJoin(tblClasses[[#This Row],[STermID]:[Description]],"Value")</f>
        <v>"4","19","1","Plane And Sperical Trigonometry"</v>
      </c>
    </row>
    <row r="177" spans="2:9" x14ac:dyDescent="0.25">
      <c r="B177">
        <v>175</v>
      </c>
      <c r="C177">
        <v>4</v>
      </c>
      <c r="D177">
        <v>19</v>
      </c>
      <c r="E177">
        <v>1</v>
      </c>
      <c r="F177" t="s">
        <v>276</v>
      </c>
      <c r="H177" t="str">
        <f t="shared" si="2"/>
        <v>(NULL,"4","19","1","General Inorganic Chemistry"),</v>
      </c>
      <c r="I177" t="str">
        <f>TextJoin(tblClasses[[#This Row],[STermID]:[Description]],"Value")</f>
        <v>"4","19","1","General Inorganic Chemistry"</v>
      </c>
    </row>
    <row r="178" spans="2:9" x14ac:dyDescent="0.25">
      <c r="B178">
        <v>176</v>
      </c>
      <c r="C178">
        <v>4</v>
      </c>
      <c r="D178">
        <v>19</v>
      </c>
      <c r="E178">
        <v>1</v>
      </c>
      <c r="F178" t="s">
        <v>278</v>
      </c>
      <c r="H178" t="str">
        <f t="shared" si="2"/>
        <v>(NULL,"4","19","1","Engineering Drawing 1"),</v>
      </c>
      <c r="I178" t="str">
        <f>TextJoin(tblClasses[[#This Row],[STermID]:[Description]],"Value")</f>
        <v>"4","19","1","Engineering Drawing 1"</v>
      </c>
    </row>
    <row r="179" spans="2:9" x14ac:dyDescent="0.25">
      <c r="B179">
        <v>177</v>
      </c>
      <c r="C179">
        <v>4</v>
      </c>
      <c r="D179">
        <v>19</v>
      </c>
      <c r="E179">
        <v>1</v>
      </c>
      <c r="F179" t="s">
        <v>280</v>
      </c>
      <c r="H179" t="str">
        <f t="shared" si="2"/>
        <v>(NULL,"4","19","1","Computer Fundamentals &amp; Programming"),</v>
      </c>
      <c r="I179" t="str">
        <f>TextJoin(tblClasses[[#This Row],[STermID]:[Description]],"Value")</f>
        <v>"4","19","1","Computer Fundamentals &amp; Programming"</v>
      </c>
    </row>
    <row r="180" spans="2:9" x14ac:dyDescent="0.25">
      <c r="B180">
        <v>178</v>
      </c>
      <c r="C180">
        <v>4</v>
      </c>
      <c r="D180">
        <v>19</v>
      </c>
      <c r="E180">
        <v>1</v>
      </c>
      <c r="F180" t="s">
        <v>805</v>
      </c>
      <c r="H180" t="str">
        <f t="shared" si="2"/>
        <v>(NULL,"4","19","1","Sining Ng Pakikipagtalastasan"),</v>
      </c>
      <c r="I180" t="str">
        <f>TextJoin(tblClasses[[#This Row],[STermID]:[Description]],"Value")</f>
        <v>"4","19","1","Sining Ng Pakikipagtalastasan"</v>
      </c>
    </row>
    <row r="181" spans="2:9" x14ac:dyDescent="0.25">
      <c r="B181">
        <v>179</v>
      </c>
      <c r="C181">
        <v>4</v>
      </c>
      <c r="D181">
        <v>19</v>
      </c>
      <c r="E181">
        <v>1</v>
      </c>
      <c r="F181" t="s">
        <v>806</v>
      </c>
      <c r="H181" t="str">
        <f t="shared" si="2"/>
        <v>(NULL,"4","19","1","Physical Fitness/ Gymnastics"),</v>
      </c>
      <c r="I181" t="str">
        <f>TextJoin(tblClasses[[#This Row],[STermID]:[Description]],"Value")</f>
        <v>"4","19","1","Physical Fitness/ Gymnastics"</v>
      </c>
    </row>
    <row r="182" spans="2:9" x14ac:dyDescent="0.25">
      <c r="B182">
        <v>180</v>
      </c>
      <c r="C182">
        <v>4</v>
      </c>
      <c r="D182">
        <v>19</v>
      </c>
      <c r="E182">
        <v>1</v>
      </c>
      <c r="F182" t="s">
        <v>807</v>
      </c>
      <c r="H182" t="str">
        <f t="shared" si="2"/>
        <v>(NULL,"4","19","1","National Service Traning Program 1"),</v>
      </c>
      <c r="I182" t="str">
        <f>TextJoin(tblClasses[[#This Row],[STermID]:[Description]],"Value")</f>
        <v>"4","19","1","National Service Traning Program 1"</v>
      </c>
    </row>
    <row r="183" spans="2:9" x14ac:dyDescent="0.25">
      <c r="B183">
        <v>181</v>
      </c>
      <c r="C183">
        <v>4</v>
      </c>
      <c r="D183">
        <v>19</v>
      </c>
      <c r="E183">
        <v>1</v>
      </c>
      <c r="F183" t="s">
        <v>808</v>
      </c>
      <c r="H183" t="str">
        <f t="shared" si="2"/>
        <v>(NULL,"4","19","1","It Fundamentals"),</v>
      </c>
      <c r="I183" t="str">
        <f>TextJoin(tblClasses[[#This Row],[STermID]:[Description]],"Value")</f>
        <v>"4","19","1","It Fundamentals"</v>
      </c>
    </row>
    <row r="184" spans="2:9" x14ac:dyDescent="0.25">
      <c r="B184">
        <v>182</v>
      </c>
      <c r="C184">
        <v>4</v>
      </c>
      <c r="D184">
        <v>19</v>
      </c>
      <c r="E184">
        <v>1</v>
      </c>
      <c r="F184" t="s">
        <v>432</v>
      </c>
      <c r="H184" t="str">
        <f t="shared" si="2"/>
        <v>(NULL,"4","19","1","Programming 1 (C+)"),</v>
      </c>
      <c r="I184" t="str">
        <f>TextJoin(tblClasses[[#This Row],[STermID]:[Description]],"Value")</f>
        <v>"4","19","1","Programming 1 (C+)"</v>
      </c>
    </row>
    <row r="185" spans="2:9" x14ac:dyDescent="0.25">
      <c r="B185">
        <v>183</v>
      </c>
      <c r="C185">
        <v>4</v>
      </c>
      <c r="D185">
        <v>19</v>
      </c>
      <c r="E185">
        <v>1</v>
      </c>
      <c r="F185" t="s">
        <v>434</v>
      </c>
      <c r="H185" t="str">
        <f t="shared" si="2"/>
        <v>(NULL,"4","19","1","Office Productivity"),</v>
      </c>
      <c r="I185" t="str">
        <f>TextJoin(tblClasses[[#This Row],[STermID]:[Description]],"Value")</f>
        <v>"4","19","1","Office Productivity"</v>
      </c>
    </row>
    <row r="186" spans="2:9" x14ac:dyDescent="0.25">
      <c r="B186">
        <v>184</v>
      </c>
      <c r="C186">
        <v>4</v>
      </c>
      <c r="D186">
        <v>19</v>
      </c>
      <c r="E186">
        <v>1</v>
      </c>
      <c r="F186" t="s">
        <v>331</v>
      </c>
      <c r="H186" t="str">
        <f t="shared" si="2"/>
        <v>(NULL,"4","19","1","General Psychology"),</v>
      </c>
      <c r="I186" t="str">
        <f>TextJoin(tblClasses[[#This Row],[STermID]:[Description]],"Value")</f>
        <v>"4","19","1","General Psychology"</v>
      </c>
    </row>
    <row r="187" spans="2:9" x14ac:dyDescent="0.25">
      <c r="B187">
        <v>185</v>
      </c>
      <c r="C187">
        <v>4</v>
      </c>
      <c r="D187">
        <v>19</v>
      </c>
      <c r="E187">
        <v>1</v>
      </c>
      <c r="F187" s="11" t="s">
        <v>307</v>
      </c>
      <c r="H187" t="str">
        <f t="shared" si="2"/>
        <v>(NULL,"4","19","1","Technical Communications"),</v>
      </c>
      <c r="I187" t="str">
        <f>TextJoin(tblClasses[[#This Row],[STermID]:[Description]],"Value")</f>
        <v>"4","19","1","Technical Communications"</v>
      </c>
    </row>
    <row r="188" spans="2:9" x14ac:dyDescent="0.25">
      <c r="B188">
        <v>186</v>
      </c>
      <c r="C188">
        <v>4</v>
      </c>
      <c r="D188">
        <v>19</v>
      </c>
      <c r="E188">
        <v>1</v>
      </c>
      <c r="F188" s="11" t="s">
        <v>309</v>
      </c>
      <c r="H188" t="str">
        <f t="shared" si="2"/>
        <v>(NULL,"4","19","1","Differential Calculus"),</v>
      </c>
      <c r="I188" t="str">
        <f>TextJoin(tblClasses[[#This Row],[STermID]:[Description]],"Value")</f>
        <v>"4","19","1","Differential Calculus"</v>
      </c>
    </row>
    <row r="189" spans="2:9" x14ac:dyDescent="0.25">
      <c r="B189">
        <v>187</v>
      </c>
      <c r="C189">
        <v>4</v>
      </c>
      <c r="D189">
        <v>19</v>
      </c>
      <c r="E189">
        <v>1</v>
      </c>
      <c r="F189" s="11" t="s">
        <v>311</v>
      </c>
      <c r="H189" t="str">
        <f t="shared" si="2"/>
        <v>(NULL,"4","19","1","General Physics 1"),</v>
      </c>
      <c r="I189" t="str">
        <f>TextJoin(tblClasses[[#This Row],[STermID]:[Description]],"Value")</f>
        <v>"4","19","1","General Physics 1"</v>
      </c>
    </row>
    <row r="190" spans="2:9" x14ac:dyDescent="0.25">
      <c r="B190">
        <v>188</v>
      </c>
      <c r="C190">
        <v>4</v>
      </c>
      <c r="D190">
        <v>19</v>
      </c>
      <c r="E190">
        <v>1</v>
      </c>
      <c r="F190" s="11" t="s">
        <v>752</v>
      </c>
      <c r="H190" t="str">
        <f t="shared" si="2"/>
        <v>(NULL,"4","19","1","Economics W/ Land Reform &amp; Taxation"),</v>
      </c>
      <c r="I190" t="str">
        <f>TextJoin(tblClasses[[#This Row],[STermID]:[Description]],"Value")</f>
        <v>"4","19","1","Economics W/ Land Reform &amp; Taxation"</v>
      </c>
    </row>
    <row r="191" spans="2:9" x14ac:dyDescent="0.25">
      <c r="B191">
        <v>189</v>
      </c>
      <c r="C191">
        <v>4</v>
      </c>
      <c r="D191">
        <v>19</v>
      </c>
      <c r="E191">
        <v>1</v>
      </c>
      <c r="F191" s="12" t="s">
        <v>315</v>
      </c>
      <c r="H191" t="str">
        <f t="shared" si="2"/>
        <v>(NULL,"4","19","1","Philippine History &amp; Culture"),</v>
      </c>
      <c r="I191" t="str">
        <f>TextJoin(tblClasses[[#This Row],[STermID]:[Description]],"Value")</f>
        <v>"4","19","1","Philippine History &amp; Culture"</v>
      </c>
    </row>
    <row r="192" spans="2:9" x14ac:dyDescent="0.25">
      <c r="B192">
        <v>190</v>
      </c>
      <c r="C192">
        <v>4</v>
      </c>
      <c r="D192">
        <v>19</v>
      </c>
      <c r="E192">
        <v>1</v>
      </c>
      <c r="F192" s="12" t="s">
        <v>317</v>
      </c>
      <c r="H192" t="str">
        <f t="shared" si="2"/>
        <v>(NULL,"4","19","1","Computer Hardware Fundamentals"),</v>
      </c>
      <c r="I192" t="str">
        <f>TextJoin(tblClasses[[#This Row],[STermID]:[Description]],"Value")</f>
        <v>"4","19","1","Computer Hardware Fundamentals"</v>
      </c>
    </row>
    <row r="193" spans="2:9" x14ac:dyDescent="0.25">
      <c r="B193">
        <v>191</v>
      </c>
      <c r="C193">
        <v>4</v>
      </c>
      <c r="D193">
        <v>19</v>
      </c>
      <c r="E193">
        <v>1</v>
      </c>
      <c r="F193" s="12" t="s">
        <v>319</v>
      </c>
      <c r="H193" t="str">
        <f t="shared" si="2"/>
        <v>(NULL,"4","19","1","Specialized Athletics"),</v>
      </c>
      <c r="I193" t="str">
        <f>TextJoin(tblClasses[[#This Row],[STermID]:[Description]],"Value")</f>
        <v>"4","19","1","Specialized Athletics"</v>
      </c>
    </row>
    <row r="194" spans="2:9" x14ac:dyDescent="0.25">
      <c r="B194">
        <v>192</v>
      </c>
      <c r="C194">
        <v>4</v>
      </c>
      <c r="D194">
        <v>19</v>
      </c>
      <c r="E194">
        <v>1</v>
      </c>
      <c r="F194" s="27" t="s">
        <v>608</v>
      </c>
      <c r="H194" t="str">
        <f t="shared" si="2"/>
        <v>(NULL,"4","19","1","Arts Appreciation"),</v>
      </c>
      <c r="I194" t="str">
        <f>TextJoin(tblClasses[[#This Row],[STermID]:[Description]],"Value")</f>
        <v>"4","19","1","Arts Appreciation"</v>
      </c>
    </row>
    <row r="195" spans="2:9" x14ac:dyDescent="0.25">
      <c r="B195">
        <v>193</v>
      </c>
      <c r="C195">
        <v>4</v>
      </c>
      <c r="D195">
        <v>19</v>
      </c>
      <c r="E195">
        <v>1</v>
      </c>
      <c r="F195" s="6" t="s">
        <v>753</v>
      </c>
      <c r="H195" t="str">
        <f t="shared" si="2"/>
        <v>(NULL,"4","19","1","Masining Na Pagpapahayag"),</v>
      </c>
      <c r="I195" t="str">
        <f>TextJoin(tblClasses[[#This Row],[STermID]:[Description]],"Value")</f>
        <v>"4","19","1","Masining Na Pagpapahayag"</v>
      </c>
    </row>
    <row r="196" spans="2:9" x14ac:dyDescent="0.25">
      <c r="B196">
        <v>194</v>
      </c>
      <c r="C196">
        <v>4</v>
      </c>
      <c r="D196">
        <v>19</v>
      </c>
      <c r="E196">
        <v>1</v>
      </c>
      <c r="F196" s="6" t="s">
        <v>754</v>
      </c>
      <c r="H196" t="str">
        <f t="shared" ref="H196:H259" si="3">"(NULL,"&amp;I196&amp;")"&amp;IF(H197&lt;&gt;"",",",";")</f>
        <v>(NULL,"4","19","1","Computer System Osrganization"),</v>
      </c>
      <c r="I196" t="str">
        <f>TextJoin(tblClasses[[#This Row],[STermID]:[Description]],"Value")</f>
        <v>"4","19","1","Computer System Osrganization"</v>
      </c>
    </row>
    <row r="197" spans="2:9" x14ac:dyDescent="0.25">
      <c r="B197">
        <v>195</v>
      </c>
      <c r="C197">
        <v>4</v>
      </c>
      <c r="D197">
        <v>19</v>
      </c>
      <c r="E197">
        <v>1</v>
      </c>
      <c r="F197" s="7" t="s">
        <v>455</v>
      </c>
      <c r="H197" t="str">
        <f t="shared" si="3"/>
        <v>(NULL,"4","19","1","Object Oriented Programming (Visual Basic)"),</v>
      </c>
      <c r="I197" t="str">
        <f>TextJoin(tblClasses[[#This Row],[STermID]:[Description]],"Value")</f>
        <v>"4","19","1","Object Oriented Programming (Visual Basic)"</v>
      </c>
    </row>
    <row r="198" spans="2:9" x14ac:dyDescent="0.25">
      <c r="B198">
        <v>196</v>
      </c>
      <c r="C198">
        <v>4</v>
      </c>
      <c r="D198">
        <v>19</v>
      </c>
      <c r="E198">
        <v>1</v>
      </c>
      <c r="F198" s="7" t="s">
        <v>755</v>
      </c>
      <c r="H198" t="str">
        <f t="shared" si="3"/>
        <v>(NULL,"4","19","1","Data Structures &amp; Algorithm Analysis"),</v>
      </c>
      <c r="I198" t="str">
        <f>TextJoin(tblClasses[[#This Row],[STermID]:[Description]],"Value")</f>
        <v>"4","19","1","Data Structures &amp; Algorithm Analysis"</v>
      </c>
    </row>
    <row r="199" spans="2:9" x14ac:dyDescent="0.25">
      <c r="B199">
        <v>197</v>
      </c>
      <c r="C199">
        <v>4</v>
      </c>
      <c r="D199">
        <v>19</v>
      </c>
      <c r="E199">
        <v>1</v>
      </c>
      <c r="F199" s="7" t="s">
        <v>756</v>
      </c>
      <c r="H199" t="str">
        <f t="shared" si="3"/>
        <v>(NULL,"4","19","1","Fundamentals Of Accounting"),</v>
      </c>
      <c r="I199" t="str">
        <f>TextJoin(tblClasses[[#This Row],[STermID]:[Description]],"Value")</f>
        <v>"4","19","1","Fundamentals Of Accounting"</v>
      </c>
    </row>
    <row r="200" spans="2:9" x14ac:dyDescent="0.25">
      <c r="B200">
        <v>198</v>
      </c>
      <c r="C200">
        <v>4</v>
      </c>
      <c r="D200">
        <v>19</v>
      </c>
      <c r="E200">
        <v>1</v>
      </c>
      <c r="F200" s="11" t="s">
        <v>757</v>
      </c>
      <c r="H200" t="str">
        <f t="shared" si="3"/>
        <v>(NULL,"4","19","1","Engineering Economy "),</v>
      </c>
      <c r="I200" t="str">
        <f>TextJoin(tblClasses[[#This Row],[STermID]:[Description]],"Value")</f>
        <v>"4","19","1","Engineering Economy "</v>
      </c>
    </row>
    <row r="201" spans="2:9" x14ac:dyDescent="0.25">
      <c r="B201">
        <v>199</v>
      </c>
      <c r="C201">
        <v>4</v>
      </c>
      <c r="D201">
        <v>19</v>
      </c>
      <c r="E201">
        <v>1</v>
      </c>
      <c r="F201" s="11" t="s">
        <v>616</v>
      </c>
      <c r="H201" t="str">
        <f t="shared" si="3"/>
        <v>(NULL,"4","19","1","Differential Equations"),</v>
      </c>
      <c r="I201" t="str">
        <f>TextJoin(tblClasses[[#This Row],[STermID]:[Description]],"Value")</f>
        <v>"4","19","1","Differential Equations"</v>
      </c>
    </row>
    <row r="202" spans="2:9" x14ac:dyDescent="0.25">
      <c r="B202">
        <v>200</v>
      </c>
      <c r="C202">
        <v>4</v>
      </c>
      <c r="D202">
        <v>19</v>
      </c>
      <c r="E202">
        <v>1</v>
      </c>
      <c r="F202" s="11" t="s">
        <v>758</v>
      </c>
      <c r="H202" t="str">
        <f t="shared" si="3"/>
        <v>(NULL,"4","19","1","Statics Of Rgid Bodies"),</v>
      </c>
      <c r="I202" t="str">
        <f>TextJoin(tblClasses[[#This Row],[STermID]:[Description]],"Value")</f>
        <v>"4","19","1","Statics Of Rgid Bodies"</v>
      </c>
    </row>
    <row r="203" spans="2:9" x14ac:dyDescent="0.25">
      <c r="B203">
        <v>201</v>
      </c>
      <c r="C203">
        <v>4</v>
      </c>
      <c r="D203">
        <v>19</v>
      </c>
      <c r="E203">
        <v>1</v>
      </c>
      <c r="F203" s="11" t="s">
        <v>344</v>
      </c>
      <c r="H203" t="str">
        <f t="shared" si="3"/>
        <v>(NULL,"4","19","1","Circuit Analysis 1"),</v>
      </c>
      <c r="I203" t="str">
        <f>TextJoin(tblClasses[[#This Row],[STermID]:[Description]],"Value")</f>
        <v>"4","19","1","Circuit Analysis 1"</v>
      </c>
    </row>
    <row r="204" spans="2:9" x14ac:dyDescent="0.25">
      <c r="B204">
        <v>202</v>
      </c>
      <c r="C204">
        <v>4</v>
      </c>
      <c r="D204">
        <v>19</v>
      </c>
      <c r="E204">
        <v>1</v>
      </c>
      <c r="F204" s="12" t="s">
        <v>346</v>
      </c>
      <c r="H204" t="str">
        <f t="shared" si="3"/>
        <v>(NULL,"4","19","1","Electromagnetics"),</v>
      </c>
      <c r="I204" t="str">
        <f>TextJoin(tblClasses[[#This Row],[STermID]:[Description]],"Value")</f>
        <v>"4","19","1","Electromagnetics"</v>
      </c>
    </row>
    <row r="205" spans="2:9" x14ac:dyDescent="0.25">
      <c r="B205">
        <v>203</v>
      </c>
      <c r="C205">
        <v>4</v>
      </c>
      <c r="D205">
        <v>19</v>
      </c>
      <c r="E205">
        <v>1</v>
      </c>
      <c r="F205" s="12" t="s">
        <v>348</v>
      </c>
      <c r="H205" t="str">
        <f t="shared" si="3"/>
        <v>(NULL,"4","19","1","Electronics 1"),</v>
      </c>
      <c r="I205" t="str">
        <f>TextJoin(tblClasses[[#This Row],[STermID]:[Description]],"Value")</f>
        <v>"4","19","1","Electronics 1"</v>
      </c>
    </row>
    <row r="206" spans="2:9" x14ac:dyDescent="0.25">
      <c r="B206">
        <v>204</v>
      </c>
      <c r="C206">
        <v>4</v>
      </c>
      <c r="D206">
        <v>19</v>
      </c>
      <c r="E206">
        <v>1</v>
      </c>
      <c r="F206" s="12" t="s">
        <v>759</v>
      </c>
      <c r="H206" t="str">
        <f t="shared" si="3"/>
        <v>(NULL,"4","19","1","Computer Systems Organization W/ Assembly Lang."),</v>
      </c>
      <c r="I206" t="str">
        <f>TextJoin(tblClasses[[#This Row],[STermID]:[Description]],"Value")</f>
        <v>"4","19","1","Computer Systems Organization W/ Assembly Lang."</v>
      </c>
    </row>
    <row r="207" spans="2:9" x14ac:dyDescent="0.25">
      <c r="B207">
        <v>205</v>
      </c>
      <c r="C207">
        <v>4</v>
      </c>
      <c r="D207">
        <v>19</v>
      </c>
      <c r="E207">
        <v>1</v>
      </c>
      <c r="F207" s="27" t="s">
        <v>610</v>
      </c>
      <c r="H207" t="str">
        <f t="shared" si="3"/>
        <v>(NULL,"4","19","1","Discrete Mathematics"),</v>
      </c>
      <c r="I207" t="str">
        <f>TextJoin(tblClasses[[#This Row],[STermID]:[Description]],"Value")</f>
        <v>"4","19","1","Discrete Mathematics"</v>
      </c>
    </row>
    <row r="208" spans="2:9" x14ac:dyDescent="0.25">
      <c r="B208">
        <v>206</v>
      </c>
      <c r="C208">
        <v>4</v>
      </c>
      <c r="D208">
        <v>19</v>
      </c>
      <c r="E208">
        <v>1</v>
      </c>
      <c r="F208" s="6" t="s">
        <v>476</v>
      </c>
      <c r="H208" t="str">
        <f t="shared" si="3"/>
        <v>(NULL,"4","19","1","Web Development"),</v>
      </c>
      <c r="I208" t="str">
        <f>TextJoin(tblClasses[[#This Row],[STermID]:[Description]],"Value")</f>
        <v>"4","19","1","Web Development"</v>
      </c>
    </row>
    <row r="209" spans="2:9" x14ac:dyDescent="0.25">
      <c r="B209">
        <v>207</v>
      </c>
      <c r="C209">
        <v>4</v>
      </c>
      <c r="D209">
        <v>19</v>
      </c>
      <c r="E209">
        <v>1</v>
      </c>
      <c r="F209" s="6" t="s">
        <v>389</v>
      </c>
      <c r="H209" t="str">
        <f t="shared" si="3"/>
        <v>(NULL,"4","19","1","Data Communications"),</v>
      </c>
      <c r="I209" t="str">
        <f>TextJoin(tblClasses[[#This Row],[STermID]:[Description]],"Value")</f>
        <v>"4","19","1","Data Communications"</v>
      </c>
    </row>
    <row r="210" spans="2:9" x14ac:dyDescent="0.25">
      <c r="B210">
        <v>208</v>
      </c>
      <c r="C210">
        <v>4</v>
      </c>
      <c r="D210">
        <v>19</v>
      </c>
      <c r="E210">
        <v>1</v>
      </c>
      <c r="F210" s="6" t="s">
        <v>760</v>
      </c>
      <c r="H210" t="str">
        <f t="shared" si="3"/>
        <v>(NULL,"4","19","1","It Elective 1 (Mis)"),</v>
      </c>
      <c r="I210" t="str">
        <f>TextJoin(tblClasses[[#This Row],[STermID]:[Description]],"Value")</f>
        <v>"4","19","1","It Elective 1 (Mis)"</v>
      </c>
    </row>
    <row r="211" spans="2:9" x14ac:dyDescent="0.25">
      <c r="B211">
        <v>209</v>
      </c>
      <c r="C211">
        <v>4</v>
      </c>
      <c r="D211">
        <v>19</v>
      </c>
      <c r="E211">
        <v>1</v>
      </c>
      <c r="F211" s="7" t="s">
        <v>359</v>
      </c>
      <c r="H211" t="str">
        <f t="shared" si="3"/>
        <v>(NULL,"4","19","1","CISCO 1"),</v>
      </c>
      <c r="I211" t="str">
        <f>TextJoin(tblClasses[[#This Row],[STermID]:[Description]],"Value")</f>
        <v>"4","19","1","CISCO 1"</v>
      </c>
    </row>
    <row r="212" spans="2:9" x14ac:dyDescent="0.25">
      <c r="B212">
        <v>210</v>
      </c>
      <c r="C212">
        <v>4</v>
      </c>
      <c r="D212">
        <v>19</v>
      </c>
      <c r="E212">
        <v>1</v>
      </c>
      <c r="F212" s="7" t="s">
        <v>613</v>
      </c>
      <c r="H212" t="str">
        <f t="shared" si="3"/>
        <v>(NULL,"4","19","1","Rizal'S Life, Works And Writing"),</v>
      </c>
      <c r="I212" t="str">
        <f>TextJoin(tblClasses[[#This Row],[STermID]:[Description]],"Value")</f>
        <v>"4","19","1","Rizal'S Life, Works And Writing"</v>
      </c>
    </row>
    <row r="213" spans="2:9" x14ac:dyDescent="0.25">
      <c r="B213">
        <v>211</v>
      </c>
      <c r="C213">
        <v>4</v>
      </c>
      <c r="D213">
        <v>19</v>
      </c>
      <c r="E213">
        <v>1</v>
      </c>
      <c r="F213" s="7" t="s">
        <v>483</v>
      </c>
      <c r="H213" t="str">
        <f t="shared" si="3"/>
        <v>(NULL,"4","19","1","Philippine Government &amp; Constitution"),</v>
      </c>
      <c r="I213" t="str">
        <f>TextJoin(tblClasses[[#This Row],[STermID]:[Description]],"Value")</f>
        <v>"4","19","1","Philippine Government &amp; Constitution"</v>
      </c>
    </row>
    <row r="214" spans="2:9" x14ac:dyDescent="0.25">
      <c r="B214">
        <v>212</v>
      </c>
      <c r="C214">
        <v>4</v>
      </c>
      <c r="D214">
        <v>19</v>
      </c>
      <c r="E214">
        <v>1</v>
      </c>
      <c r="F214" s="8" t="s">
        <v>333</v>
      </c>
      <c r="H214" t="str">
        <f t="shared" si="3"/>
        <v>(NULL,"4","19","1","Philippine Literature"),</v>
      </c>
      <c r="I214" t="str">
        <f>TextJoin(tblClasses[[#This Row],[STermID]:[Description]],"Value")</f>
        <v>"4","19","1","Philippine Literature"</v>
      </c>
    </row>
    <row r="215" spans="2:9" x14ac:dyDescent="0.25">
      <c r="B215">
        <v>213</v>
      </c>
      <c r="C215">
        <v>4</v>
      </c>
      <c r="D215">
        <v>19</v>
      </c>
      <c r="E215">
        <v>1</v>
      </c>
      <c r="F215" s="11" t="s">
        <v>761</v>
      </c>
      <c r="H215" t="str">
        <f t="shared" si="3"/>
        <v>(NULL,"4","19","1","Numerical Anaysis W/ Computer Pp."),</v>
      </c>
      <c r="I215" t="str">
        <f>TextJoin(tblClasses[[#This Row],[STermID]:[Description]],"Value")</f>
        <v>"4","19","1","Numerical Anaysis W/ Computer Pp."</v>
      </c>
    </row>
    <row r="216" spans="2:9" x14ac:dyDescent="0.25">
      <c r="B216">
        <v>214</v>
      </c>
      <c r="C216">
        <v>4</v>
      </c>
      <c r="D216">
        <v>19</v>
      </c>
      <c r="E216">
        <v>1</v>
      </c>
      <c r="F216" s="11" t="s">
        <v>371</v>
      </c>
      <c r="H216" t="str">
        <f t="shared" si="3"/>
        <v>(NULL,"4","19","1","CISCO 2"),</v>
      </c>
      <c r="I216" t="str">
        <f>TextJoin(tblClasses[[#This Row],[STermID]:[Description]],"Value")</f>
        <v>"4","19","1","CISCO 2"</v>
      </c>
    </row>
    <row r="217" spans="2:9" x14ac:dyDescent="0.25">
      <c r="B217">
        <v>215</v>
      </c>
      <c r="C217">
        <v>4</v>
      </c>
      <c r="D217">
        <v>19</v>
      </c>
      <c r="E217">
        <v>1</v>
      </c>
      <c r="F217" s="11" t="s">
        <v>762</v>
      </c>
      <c r="H217" t="str">
        <f t="shared" si="3"/>
        <v>(NULL,"4","19","1","Principles Of Communication "),</v>
      </c>
      <c r="I217" t="str">
        <f>TextJoin(tblClasses[[#This Row],[STermID]:[Description]],"Value")</f>
        <v>"4","19","1","Principles Of Communication "</v>
      </c>
    </row>
    <row r="218" spans="2:9" x14ac:dyDescent="0.25">
      <c r="B218">
        <v>216</v>
      </c>
      <c r="C218">
        <v>4</v>
      </c>
      <c r="D218">
        <v>19</v>
      </c>
      <c r="E218">
        <v>1</v>
      </c>
      <c r="F218" s="11" t="s">
        <v>763</v>
      </c>
      <c r="H218" t="str">
        <f t="shared" si="3"/>
        <v>(NULL,"4","19","1","Advanced Logic Design &amp; Switching Theory"),</v>
      </c>
      <c r="I218" t="str">
        <f>TextJoin(tblClasses[[#This Row],[STermID]:[Description]],"Value")</f>
        <v>"4","19","1","Advanced Logic Design &amp; Switching Theory"</v>
      </c>
    </row>
    <row r="219" spans="2:9" x14ac:dyDescent="0.25">
      <c r="B219">
        <v>217</v>
      </c>
      <c r="C219">
        <v>4</v>
      </c>
      <c r="D219">
        <v>19</v>
      </c>
      <c r="E219">
        <v>1</v>
      </c>
      <c r="F219" s="12" t="s">
        <v>377</v>
      </c>
      <c r="H219" t="str">
        <f t="shared" si="3"/>
        <v>(NULL,"4","19","1","Control Systems"),</v>
      </c>
      <c r="I219" t="str">
        <f>TextJoin(tblClasses[[#This Row],[STermID]:[Description]],"Value")</f>
        <v>"4","19","1","Control Systems"</v>
      </c>
    </row>
    <row r="220" spans="2:9" x14ac:dyDescent="0.25">
      <c r="B220">
        <v>218</v>
      </c>
      <c r="C220">
        <v>4</v>
      </c>
      <c r="D220">
        <v>19</v>
      </c>
      <c r="E220">
        <v>1</v>
      </c>
      <c r="F220" s="12" t="s">
        <v>764</v>
      </c>
      <c r="H220" t="str">
        <f t="shared" si="3"/>
        <v>(NULL,"4","19","1","Mechanics Deformable Bodies"),</v>
      </c>
      <c r="I220" t="str">
        <f>TextJoin(tblClasses[[#This Row],[STermID]:[Description]],"Value")</f>
        <v>"4","19","1","Mechanics Deformable Bodies"</v>
      </c>
    </row>
    <row r="221" spans="2:9" x14ac:dyDescent="0.25">
      <c r="B221">
        <v>219</v>
      </c>
      <c r="C221">
        <v>4</v>
      </c>
      <c r="D221">
        <v>19</v>
      </c>
      <c r="E221">
        <v>1</v>
      </c>
      <c r="F221" s="12" t="s">
        <v>765</v>
      </c>
      <c r="H221" t="str">
        <f t="shared" si="3"/>
        <v>(NULL,"4","19","1","Digital Signal Processing "),</v>
      </c>
      <c r="I221" t="str">
        <f>TextJoin(tblClasses[[#This Row],[STermID]:[Description]],"Value")</f>
        <v>"4","19","1","Digital Signal Processing "</v>
      </c>
    </row>
    <row r="222" spans="2:9" x14ac:dyDescent="0.25">
      <c r="B222">
        <v>220</v>
      </c>
      <c r="C222">
        <v>4</v>
      </c>
      <c r="D222">
        <v>19</v>
      </c>
      <c r="E222">
        <v>1</v>
      </c>
      <c r="F222" s="27" t="s">
        <v>766</v>
      </c>
      <c r="H222" t="str">
        <f t="shared" si="3"/>
        <v>(NULL,"4","19","1","Computer Engineering Drafting And Design"),</v>
      </c>
      <c r="I222" t="str">
        <f>TextJoin(tblClasses[[#This Row],[STermID]:[Description]],"Value")</f>
        <v>"4","19","1","Computer Engineering Drafting And Design"</v>
      </c>
    </row>
    <row r="223" spans="2:9" x14ac:dyDescent="0.25">
      <c r="B223">
        <v>221</v>
      </c>
      <c r="C223">
        <v>4</v>
      </c>
      <c r="D223">
        <v>19</v>
      </c>
      <c r="E223">
        <v>1</v>
      </c>
      <c r="F223" s="11" t="s">
        <v>767</v>
      </c>
      <c r="H223" t="str">
        <f t="shared" si="3"/>
        <v>(NULL,"4","19","1","Professional Ethics In It"),</v>
      </c>
      <c r="I223" t="str">
        <f>TextJoin(tblClasses[[#This Row],[STermID]:[Description]],"Value")</f>
        <v>"4","19","1","Professional Ethics In It"</v>
      </c>
    </row>
    <row r="224" spans="2:9" x14ac:dyDescent="0.25">
      <c r="B224">
        <v>222</v>
      </c>
      <c r="C224">
        <v>4</v>
      </c>
      <c r="D224">
        <v>19</v>
      </c>
      <c r="E224">
        <v>1</v>
      </c>
      <c r="F224" s="11" t="s">
        <v>501</v>
      </c>
      <c r="H224" t="str">
        <f t="shared" si="3"/>
        <v>(NULL,"4","19","1","Database Administration"),</v>
      </c>
      <c r="I224" t="str">
        <f>TextJoin(tblClasses[[#This Row],[STermID]:[Description]],"Value")</f>
        <v>"4","19","1","Database Administration"</v>
      </c>
    </row>
    <row r="225" spans="2:9" x14ac:dyDescent="0.25">
      <c r="B225">
        <v>223</v>
      </c>
      <c r="C225">
        <v>4</v>
      </c>
      <c r="D225">
        <v>19</v>
      </c>
      <c r="E225">
        <v>1</v>
      </c>
      <c r="F225" s="11" t="s">
        <v>391</v>
      </c>
      <c r="H225" t="str">
        <f t="shared" si="3"/>
        <v>(NULL,"4","19","1","Computer System Architecture"),</v>
      </c>
      <c r="I225" t="str">
        <f>TextJoin(tblClasses[[#This Row],[STermID]:[Description]],"Value")</f>
        <v>"4","19","1","Computer System Architecture"</v>
      </c>
    </row>
    <row r="226" spans="2:9" x14ac:dyDescent="0.25">
      <c r="B226">
        <v>224</v>
      </c>
      <c r="C226">
        <v>4</v>
      </c>
      <c r="D226">
        <v>19</v>
      </c>
      <c r="E226">
        <v>1</v>
      </c>
      <c r="F226" s="11" t="s">
        <v>768</v>
      </c>
      <c r="H226" t="str">
        <f t="shared" si="3"/>
        <v>(NULL,"4","19","1","Information Technology Design 1"),</v>
      </c>
      <c r="I226" t="str">
        <f>TextJoin(tblClasses[[#This Row],[STermID]:[Description]],"Value")</f>
        <v>"4","19","1","Information Technology Design 1"</v>
      </c>
    </row>
    <row r="227" spans="2:9" x14ac:dyDescent="0.25">
      <c r="B227">
        <v>225</v>
      </c>
      <c r="C227">
        <v>4</v>
      </c>
      <c r="D227">
        <v>19</v>
      </c>
      <c r="E227">
        <v>1</v>
      </c>
      <c r="F227" s="12" t="s">
        <v>769</v>
      </c>
      <c r="H227" t="str">
        <f t="shared" si="3"/>
        <v>(NULL,"4","19","1","It Elective 3(E-Business)"),</v>
      </c>
      <c r="I227" t="str">
        <f>TextJoin(tblClasses[[#This Row],[STermID]:[Description]],"Value")</f>
        <v>"4","19","1","It Elective 3(E-Business)"</v>
      </c>
    </row>
    <row r="228" spans="2:9" x14ac:dyDescent="0.25">
      <c r="B228">
        <v>226</v>
      </c>
      <c r="C228">
        <v>4</v>
      </c>
      <c r="D228">
        <v>19</v>
      </c>
      <c r="E228">
        <v>1</v>
      </c>
      <c r="F228" s="11" t="s">
        <v>415</v>
      </c>
      <c r="H228" t="str">
        <f t="shared" si="3"/>
        <v>(NULL,"4","19","1","CISCO 3"),</v>
      </c>
      <c r="I228" t="str">
        <f>TextJoin(tblClasses[[#This Row],[STermID]:[Description]],"Value")</f>
        <v>"4","19","1","CISCO 3"</v>
      </c>
    </row>
    <row r="229" spans="2:9" x14ac:dyDescent="0.25">
      <c r="B229">
        <v>227</v>
      </c>
      <c r="C229">
        <v>4</v>
      </c>
      <c r="D229">
        <v>19</v>
      </c>
      <c r="E229">
        <v>1</v>
      </c>
      <c r="F229" s="11" t="s">
        <v>401</v>
      </c>
      <c r="H229" t="str">
        <f t="shared" si="3"/>
        <v>(NULL,"4","19","1","System Analysis &amp; Design"),</v>
      </c>
      <c r="I229" t="str">
        <f>TextJoin(tblClasses[[#This Row],[STermID]:[Description]],"Value")</f>
        <v>"4","19","1","System Analysis &amp; Design"</v>
      </c>
    </row>
    <row r="230" spans="2:9" x14ac:dyDescent="0.25">
      <c r="B230">
        <v>228</v>
      </c>
      <c r="C230">
        <v>4</v>
      </c>
      <c r="D230">
        <v>19</v>
      </c>
      <c r="E230">
        <v>1</v>
      </c>
      <c r="F230" s="11" t="s">
        <v>770</v>
      </c>
      <c r="H230" t="str">
        <f t="shared" si="3"/>
        <v>(NULL,"4","19","1","Object Orriented Programming"),</v>
      </c>
      <c r="I230" t="str">
        <f>TextJoin(tblClasses[[#This Row],[STermID]:[Description]],"Value")</f>
        <v>"4","19","1","Object Orriented Programming"</v>
      </c>
    </row>
    <row r="231" spans="2:9" x14ac:dyDescent="0.25">
      <c r="B231">
        <v>229</v>
      </c>
      <c r="C231">
        <v>4</v>
      </c>
      <c r="D231">
        <v>19</v>
      </c>
      <c r="E231">
        <v>1</v>
      </c>
      <c r="F231" s="11" t="s">
        <v>771</v>
      </c>
      <c r="H231" t="str">
        <f t="shared" si="3"/>
        <v>(NULL,"4","19","1","Engineering Ethics And Computer Laws"),</v>
      </c>
      <c r="I231" t="str">
        <f>TextJoin(tblClasses[[#This Row],[STermID]:[Description]],"Value")</f>
        <v>"4","19","1","Engineering Ethics And Computer Laws"</v>
      </c>
    </row>
    <row r="232" spans="2:9" x14ac:dyDescent="0.25">
      <c r="B232">
        <v>230</v>
      </c>
      <c r="C232">
        <v>4</v>
      </c>
      <c r="D232">
        <v>19</v>
      </c>
      <c r="E232">
        <v>1</v>
      </c>
      <c r="F232" s="11" t="s">
        <v>407</v>
      </c>
      <c r="H232" t="str">
        <f t="shared" si="3"/>
        <v>(NULL,"4","19","1","Computer Networks"),</v>
      </c>
      <c r="I232" t="str">
        <f>TextJoin(tblClasses[[#This Row],[STermID]:[Description]],"Value")</f>
        <v>"4","19","1","Computer Networks"</v>
      </c>
    </row>
    <row r="233" spans="2:9" x14ac:dyDescent="0.25">
      <c r="B233">
        <v>231</v>
      </c>
      <c r="C233">
        <v>4</v>
      </c>
      <c r="D233">
        <v>19</v>
      </c>
      <c r="E233">
        <v>1</v>
      </c>
      <c r="F233" s="12" t="s">
        <v>409</v>
      </c>
      <c r="H233" t="str">
        <f t="shared" si="3"/>
        <v>(NULL,"4","19","1","Elective 2"),</v>
      </c>
      <c r="I233" t="str">
        <f>TextJoin(tblClasses[[#This Row],[STermID]:[Description]],"Value")</f>
        <v>"4","19","1","Elective 2"</v>
      </c>
    </row>
    <row r="234" spans="2:9" x14ac:dyDescent="0.25">
      <c r="B234">
        <v>232</v>
      </c>
      <c r="C234">
        <v>4</v>
      </c>
      <c r="D234">
        <v>19</v>
      </c>
      <c r="E234">
        <v>1</v>
      </c>
      <c r="F234" s="12" t="s">
        <v>411</v>
      </c>
      <c r="H234" t="str">
        <f t="shared" si="3"/>
        <v>(NULL,"4","19","1","Safety Engineering"),</v>
      </c>
      <c r="I234" t="str">
        <f>TextJoin(tblClasses[[#This Row],[STermID]:[Description]],"Value")</f>
        <v>"4","19","1","Safety Engineering"</v>
      </c>
    </row>
    <row r="235" spans="2:9" x14ac:dyDescent="0.25">
      <c r="B235">
        <v>233</v>
      </c>
      <c r="C235">
        <v>4</v>
      </c>
      <c r="D235">
        <v>19</v>
      </c>
      <c r="E235">
        <v>1</v>
      </c>
      <c r="F235" s="12" t="s">
        <v>773</v>
      </c>
      <c r="H235" t="str">
        <f t="shared" si="3"/>
        <v>(NULL,"4","19","1","Eng'G Design, Research &amp; Dev'T 1"),</v>
      </c>
      <c r="I235" t="str">
        <f>TextJoin(tblClasses[[#This Row],[STermID]:[Description]],"Value")</f>
        <v>"4","19","1","Eng'G Design, Research &amp; Dev'T 1"</v>
      </c>
    </row>
    <row r="236" spans="2:9" x14ac:dyDescent="0.25">
      <c r="B236">
        <v>234</v>
      </c>
      <c r="C236">
        <v>4</v>
      </c>
      <c r="D236">
        <v>19</v>
      </c>
      <c r="E236">
        <v>1</v>
      </c>
      <c r="F236" s="27" t="s">
        <v>508</v>
      </c>
      <c r="H236" t="str">
        <f t="shared" si="3"/>
        <v>(NULL,"4","19","1","CISCO 4"),</v>
      </c>
      <c r="I236" t="str">
        <f>TextJoin(tblClasses[[#This Row],[STermID]:[Description]],"Value")</f>
        <v>"4","19","1","CISCO 4"</v>
      </c>
    </row>
    <row r="237" spans="2:9" x14ac:dyDescent="0.25">
      <c r="B237">
        <v>235</v>
      </c>
      <c r="C237">
        <v>5</v>
      </c>
      <c r="D237">
        <v>19</v>
      </c>
      <c r="E237">
        <v>1</v>
      </c>
      <c r="F237" t="s">
        <v>288</v>
      </c>
      <c r="H237" t="str">
        <f t="shared" si="3"/>
        <v>(NULL,"5","19","1","Communication Skills 2"),</v>
      </c>
      <c r="I237" t="str">
        <f>TextJoin(tblClasses[[#This Row],[STermID]:[Description]],"Value")</f>
        <v>"5","19","1","Communication Skills 2"</v>
      </c>
    </row>
    <row r="238" spans="2:9" x14ac:dyDescent="0.25">
      <c r="B238">
        <v>236</v>
      </c>
      <c r="C238">
        <v>5</v>
      </c>
      <c r="D238">
        <v>19</v>
      </c>
      <c r="E238">
        <v>1</v>
      </c>
      <c r="F238" t="s">
        <v>290</v>
      </c>
      <c r="H238" t="str">
        <f t="shared" si="3"/>
        <v>(NULL,"5","19","1","Analytic Geometry"),</v>
      </c>
      <c r="I238" t="str">
        <f>TextJoin(tblClasses[[#This Row],[STermID]:[Description]],"Value")</f>
        <v>"5","19","1","Analytic Geometry"</v>
      </c>
    </row>
    <row r="239" spans="2:9" x14ac:dyDescent="0.25">
      <c r="B239">
        <v>237</v>
      </c>
      <c r="C239">
        <v>5</v>
      </c>
      <c r="D239">
        <v>19</v>
      </c>
      <c r="E239">
        <v>1</v>
      </c>
      <c r="F239" t="s">
        <v>292</v>
      </c>
      <c r="H239" t="str">
        <f t="shared" si="3"/>
        <v>(NULL,"5","19","1","Gamiting Filipino"),</v>
      </c>
      <c r="I239" t="str">
        <f>TextJoin(tblClasses[[#This Row],[STermID]:[Description]],"Value")</f>
        <v>"5","19","1","Gamiting Filipino"</v>
      </c>
    </row>
    <row r="240" spans="2:9" x14ac:dyDescent="0.25">
      <c r="B240">
        <v>238</v>
      </c>
      <c r="C240">
        <v>5</v>
      </c>
      <c r="D240">
        <v>19</v>
      </c>
      <c r="E240">
        <v>1</v>
      </c>
      <c r="F240" t="s">
        <v>785</v>
      </c>
      <c r="H240" t="str">
        <f t="shared" si="3"/>
        <v>(NULL,"5","19","1","Advanced Algebra"),</v>
      </c>
      <c r="I240" t="str">
        <f>TextJoin(tblClasses[[#This Row],[STermID]:[Description]],"Value")</f>
        <v>"5","19","1","Advanced Algebra"</v>
      </c>
    </row>
    <row r="241" spans="2:9" x14ac:dyDescent="0.25">
      <c r="B241">
        <v>239</v>
      </c>
      <c r="C241">
        <v>5</v>
      </c>
      <c r="D241">
        <v>19</v>
      </c>
      <c r="E241">
        <v>1</v>
      </c>
      <c r="F241" t="s">
        <v>296</v>
      </c>
      <c r="H241" t="str">
        <f t="shared" si="3"/>
        <v>(NULL,"5","19","1","Solid Mensuration"),</v>
      </c>
      <c r="I241" t="str">
        <f>TextJoin(tblClasses[[#This Row],[STermID]:[Description]],"Value")</f>
        <v>"5","19","1","Solid Mensuration"</v>
      </c>
    </row>
    <row r="242" spans="2:9" x14ac:dyDescent="0.25">
      <c r="B242">
        <v>240</v>
      </c>
      <c r="C242">
        <v>5</v>
      </c>
      <c r="D242">
        <v>19</v>
      </c>
      <c r="E242">
        <v>1</v>
      </c>
      <c r="F242" t="s">
        <v>613</v>
      </c>
      <c r="H242" t="str">
        <f t="shared" si="3"/>
        <v>(NULL,"5","19","1","Rizal'S Life, Works And Writing"),</v>
      </c>
      <c r="I242" t="str">
        <f>TextJoin(tblClasses[[#This Row],[STermID]:[Description]],"Value")</f>
        <v>"5","19","1","Rizal'S Life, Works And Writing"</v>
      </c>
    </row>
    <row r="243" spans="2:9" x14ac:dyDescent="0.25">
      <c r="B243">
        <v>241</v>
      </c>
      <c r="C243">
        <v>5</v>
      </c>
      <c r="D243">
        <v>19</v>
      </c>
      <c r="E243">
        <v>1</v>
      </c>
      <c r="F243" t="s">
        <v>299</v>
      </c>
      <c r="H243" t="str">
        <f t="shared" si="3"/>
        <v>(NULL,"5","19","1","Computer Aided Drafting"),</v>
      </c>
      <c r="I243" t="str">
        <f>TextJoin(tblClasses[[#This Row],[STermID]:[Description]],"Value")</f>
        <v>"5","19","1","Computer Aided Drafting"</v>
      </c>
    </row>
    <row r="244" spans="2:9" x14ac:dyDescent="0.25">
      <c r="B244">
        <v>242</v>
      </c>
      <c r="C244">
        <v>5</v>
      </c>
      <c r="D244">
        <v>19</v>
      </c>
      <c r="E244">
        <v>1</v>
      </c>
      <c r="F244" t="s">
        <v>786</v>
      </c>
      <c r="H244" t="str">
        <f t="shared" si="3"/>
        <v>(NULL,"5","19","1","Rhytmic Activities (Dances)"),</v>
      </c>
      <c r="I244" t="str">
        <f>TextJoin(tblClasses[[#This Row],[STermID]:[Description]],"Value")</f>
        <v>"5","19","1","Rhytmic Activities (Dances)"</v>
      </c>
    </row>
    <row r="245" spans="2:9" x14ac:dyDescent="0.25">
      <c r="B245">
        <v>243</v>
      </c>
      <c r="C245">
        <v>5</v>
      </c>
      <c r="D245">
        <v>19</v>
      </c>
      <c r="E245">
        <v>1</v>
      </c>
      <c r="F245" t="s">
        <v>303</v>
      </c>
      <c r="H245" t="str">
        <f t="shared" si="3"/>
        <v>(NULL,"5","19","1","National Service Training Program 2"),</v>
      </c>
      <c r="I245" t="str">
        <f>TextJoin(tblClasses[[#This Row],[STermID]:[Description]],"Value")</f>
        <v>"5","19","1","National Service Training Program 2"</v>
      </c>
    </row>
    <row r="246" spans="2:9" x14ac:dyDescent="0.25">
      <c r="B246">
        <v>244</v>
      </c>
      <c r="C246">
        <v>5</v>
      </c>
      <c r="D246">
        <v>19</v>
      </c>
      <c r="E246">
        <v>1</v>
      </c>
      <c r="F246" t="s">
        <v>787</v>
      </c>
      <c r="H246" t="str">
        <f t="shared" si="3"/>
        <v>(NULL,"5","19","1","Philosophy Of Man"),</v>
      </c>
      <c r="I246" t="str">
        <f>TextJoin(tblClasses[[#This Row],[STermID]:[Description]],"Value")</f>
        <v>"5","19","1","Philosophy Of Man"</v>
      </c>
    </row>
    <row r="247" spans="2:9" x14ac:dyDescent="0.25">
      <c r="B247">
        <v>245</v>
      </c>
      <c r="C247">
        <v>5</v>
      </c>
      <c r="D247">
        <v>19</v>
      </c>
      <c r="E247">
        <v>1</v>
      </c>
      <c r="F247" t="s">
        <v>788</v>
      </c>
      <c r="H247" t="str">
        <f t="shared" si="3"/>
        <v>(NULL,"5","19","1","Pagbasa At Pagsulat Tungo Sa Pananaliksik"),</v>
      </c>
      <c r="I247" t="str">
        <f>TextJoin(tblClasses[[#This Row],[STermID]:[Description]],"Value")</f>
        <v>"5","19","1","Pagbasa At Pagsulat Tungo Sa Pananaliksik"</v>
      </c>
    </row>
    <row r="248" spans="2:9" x14ac:dyDescent="0.25">
      <c r="B248">
        <v>246</v>
      </c>
      <c r="C248">
        <v>5</v>
      </c>
      <c r="D248">
        <v>19</v>
      </c>
      <c r="E248">
        <v>1</v>
      </c>
      <c r="F248" t="s">
        <v>440</v>
      </c>
      <c r="H248" t="str">
        <f t="shared" si="3"/>
        <v>(NULL,"5","19","1","Trigonometry"),</v>
      </c>
      <c r="I248" t="str">
        <f>TextJoin(tblClasses[[#This Row],[STermID]:[Description]],"Value")</f>
        <v>"5","19","1","Trigonometry"</v>
      </c>
    </row>
    <row r="249" spans="2:9" x14ac:dyDescent="0.25">
      <c r="B249">
        <v>247</v>
      </c>
      <c r="C249">
        <v>5</v>
      </c>
      <c r="D249">
        <v>19</v>
      </c>
      <c r="E249">
        <v>1</v>
      </c>
      <c r="F249" t="s">
        <v>442</v>
      </c>
      <c r="H249" t="str">
        <f t="shared" si="3"/>
        <v>(NULL,"5","19","1","Programming 2 (C++)"),</v>
      </c>
      <c r="I249" t="str">
        <f>TextJoin(tblClasses[[#This Row],[STermID]:[Description]],"Value")</f>
        <v>"5","19","1","Programming 2 (C++)"</v>
      </c>
    </row>
    <row r="250" spans="2:9" x14ac:dyDescent="0.25">
      <c r="B250">
        <v>248</v>
      </c>
      <c r="C250">
        <v>5</v>
      </c>
      <c r="D250">
        <v>19</v>
      </c>
      <c r="E250">
        <v>1</v>
      </c>
      <c r="F250" t="s">
        <v>444</v>
      </c>
      <c r="H250" t="str">
        <f t="shared" si="3"/>
        <v>(NULL,"5","19","1","Applied Operating System"),</v>
      </c>
      <c r="I250" t="str">
        <f>TextJoin(tblClasses[[#This Row],[STermID]:[Description]],"Value")</f>
        <v>"5","19","1","Applied Operating System"</v>
      </c>
    </row>
    <row r="251" spans="2:9" x14ac:dyDescent="0.25">
      <c r="B251">
        <v>249</v>
      </c>
      <c r="C251">
        <v>5</v>
      </c>
      <c r="D251">
        <v>19</v>
      </c>
      <c r="E251">
        <v>1</v>
      </c>
      <c r="F251" t="s">
        <v>789</v>
      </c>
      <c r="H251" t="str">
        <f t="shared" si="3"/>
        <v>(NULL,"5","19","1","Quality, Conciousness, Habits And Processes"),</v>
      </c>
      <c r="I251" t="str">
        <f>TextJoin(tblClasses[[#This Row],[STermID]:[Description]],"Value")</f>
        <v>"5","19","1","Quality, Conciousness, Habits And Processes"</v>
      </c>
    </row>
    <row r="252" spans="2:9" x14ac:dyDescent="0.25">
      <c r="B252">
        <v>250</v>
      </c>
      <c r="C252">
        <v>5</v>
      </c>
      <c r="D252">
        <v>19</v>
      </c>
      <c r="E252">
        <v>1</v>
      </c>
      <c r="F252" t="s">
        <v>787</v>
      </c>
      <c r="H252" t="str">
        <f t="shared" si="3"/>
        <v>(NULL,"5","19","1","Philosophy Of Man"),</v>
      </c>
      <c r="I252" t="str">
        <f>TextJoin(tblClasses[[#This Row],[STermID]:[Description]],"Value")</f>
        <v>"5","19","1","Philosophy Of Man"</v>
      </c>
    </row>
    <row r="253" spans="2:9" x14ac:dyDescent="0.25">
      <c r="B253">
        <v>251</v>
      </c>
      <c r="C253">
        <v>5</v>
      </c>
      <c r="D253">
        <v>19</v>
      </c>
      <c r="E253">
        <v>1</v>
      </c>
      <c r="F253" t="s">
        <v>311</v>
      </c>
      <c r="H253" t="str">
        <f t="shared" si="3"/>
        <v>(NULL,"5","19","1","General Physics 1"),</v>
      </c>
      <c r="I253" t="str">
        <f>TextJoin(tblClasses[[#This Row],[STermID]:[Description]],"Value")</f>
        <v>"5","19","1","General Physics 1"</v>
      </c>
    </row>
    <row r="254" spans="2:9" x14ac:dyDescent="0.25">
      <c r="B254">
        <v>252</v>
      </c>
      <c r="C254">
        <v>5</v>
      </c>
      <c r="D254">
        <v>19</v>
      </c>
      <c r="E254">
        <v>1</v>
      </c>
      <c r="F254" t="s">
        <v>790</v>
      </c>
      <c r="H254" t="str">
        <f t="shared" si="3"/>
        <v>(NULL,"5","19","1","Statistics And Probabilities"),</v>
      </c>
      <c r="I254" t="str">
        <f>TextJoin(tblClasses[[#This Row],[STermID]:[Description]],"Value")</f>
        <v>"5","19","1","Statistics And Probabilities"</v>
      </c>
    </row>
    <row r="255" spans="2:9" x14ac:dyDescent="0.25">
      <c r="B255">
        <v>253</v>
      </c>
      <c r="C255">
        <v>5</v>
      </c>
      <c r="D255">
        <v>19</v>
      </c>
      <c r="E255">
        <v>1</v>
      </c>
      <c r="F255" t="s">
        <v>325</v>
      </c>
      <c r="H255" t="str">
        <f t="shared" si="3"/>
        <v>(NULL,"5","19","1","Integral Calculus"),</v>
      </c>
      <c r="I255" t="str">
        <f>TextJoin(tblClasses[[#This Row],[STermID]:[Description]],"Value")</f>
        <v>"5","19","1","Integral Calculus"</v>
      </c>
    </row>
    <row r="256" spans="2:9" x14ac:dyDescent="0.25">
      <c r="B256">
        <v>254</v>
      </c>
      <c r="C256">
        <v>5</v>
      </c>
      <c r="D256">
        <v>19</v>
      </c>
      <c r="E256">
        <v>1</v>
      </c>
      <c r="F256" t="s">
        <v>327</v>
      </c>
      <c r="H256" t="str">
        <f t="shared" si="3"/>
        <v>(NULL,"5","19","1","General Physics 2"),</v>
      </c>
      <c r="I256" t="str">
        <f>TextJoin(tblClasses[[#This Row],[STermID]:[Description]],"Value")</f>
        <v>"5","19","1","General Physics 2"</v>
      </c>
    </row>
    <row r="257" spans="2:9" x14ac:dyDescent="0.25">
      <c r="B257">
        <v>255</v>
      </c>
      <c r="C257">
        <v>5</v>
      </c>
      <c r="D257">
        <v>19</v>
      </c>
      <c r="E257">
        <v>1</v>
      </c>
      <c r="F257" t="s">
        <v>329</v>
      </c>
      <c r="H257" t="str">
        <f t="shared" si="3"/>
        <v>(NULL,"5","19","1","Data Structure &amp; Algorithm Analysis"),</v>
      </c>
      <c r="I257" t="str">
        <f>TextJoin(tblClasses[[#This Row],[STermID]:[Description]],"Value")</f>
        <v>"5","19","1","Data Structure &amp; Algorithm Analysis"</v>
      </c>
    </row>
    <row r="258" spans="2:9" x14ac:dyDescent="0.25">
      <c r="B258">
        <v>256</v>
      </c>
      <c r="C258">
        <v>5</v>
      </c>
      <c r="D258">
        <v>19</v>
      </c>
      <c r="E258">
        <v>1</v>
      </c>
      <c r="F258" t="s">
        <v>331</v>
      </c>
      <c r="H258" t="str">
        <f t="shared" si="3"/>
        <v>(NULL,"5","19","1","General Psychology"),</v>
      </c>
      <c r="I258" t="str">
        <f>TextJoin(tblClasses[[#This Row],[STermID]:[Description]],"Value")</f>
        <v>"5","19","1","General Psychology"</v>
      </c>
    </row>
    <row r="259" spans="2:9" x14ac:dyDescent="0.25">
      <c r="B259">
        <v>257</v>
      </c>
      <c r="C259">
        <v>5</v>
      </c>
      <c r="D259">
        <v>19</v>
      </c>
      <c r="E259">
        <v>1</v>
      </c>
      <c r="F259" t="s">
        <v>333</v>
      </c>
      <c r="H259" t="str">
        <f t="shared" si="3"/>
        <v>(NULL,"5","19","1","Philippine Literature"),</v>
      </c>
      <c r="I259" t="str">
        <f>TextJoin(tblClasses[[#This Row],[STermID]:[Description]],"Value")</f>
        <v>"5","19","1","Philippine Literature"</v>
      </c>
    </row>
    <row r="260" spans="2:9" x14ac:dyDescent="0.25">
      <c r="B260">
        <v>258</v>
      </c>
      <c r="C260">
        <v>5</v>
      </c>
      <c r="D260">
        <v>19</v>
      </c>
      <c r="E260">
        <v>1</v>
      </c>
      <c r="F260" t="s">
        <v>335</v>
      </c>
      <c r="H260" t="str">
        <f t="shared" ref="H260:H323" si="4">"(NULL,"&amp;I260&amp;")"&amp;IF(H261&lt;&gt;"",",",";")</f>
        <v>(NULL,"5","19","1","Group Games"),</v>
      </c>
      <c r="I260" t="str">
        <f>TextJoin(tblClasses[[#This Row],[STermID]:[Description]],"Value")</f>
        <v>"5","19","1","Group Games"</v>
      </c>
    </row>
    <row r="261" spans="2:9" x14ac:dyDescent="0.25">
      <c r="B261">
        <v>259</v>
      </c>
      <c r="C261">
        <v>5</v>
      </c>
      <c r="D261">
        <v>19</v>
      </c>
      <c r="E261">
        <v>1</v>
      </c>
      <c r="F261" t="s">
        <v>461</v>
      </c>
      <c r="H261" t="str">
        <f t="shared" si="4"/>
        <v>(NULL,"5","19","1","Database Management System"),</v>
      </c>
      <c r="I261" t="str">
        <f>TextJoin(tblClasses[[#This Row],[STermID]:[Description]],"Value")</f>
        <v>"5","19","1","Database Management System"</v>
      </c>
    </row>
    <row r="262" spans="2:9" x14ac:dyDescent="0.25">
      <c r="B262">
        <v>260</v>
      </c>
      <c r="C262">
        <v>5</v>
      </c>
      <c r="D262">
        <v>19</v>
      </c>
      <c r="E262">
        <v>1</v>
      </c>
      <c r="F262" t="s">
        <v>791</v>
      </c>
      <c r="H262" t="str">
        <f t="shared" si="4"/>
        <v>(NULL,"5","19","1","System Analysis And Design"),</v>
      </c>
      <c r="I262" t="str">
        <f>TextJoin(tblClasses[[#This Row],[STermID]:[Description]],"Value")</f>
        <v>"5","19","1","System Analysis And Design"</v>
      </c>
    </row>
    <row r="263" spans="2:9" x14ac:dyDescent="0.25">
      <c r="B263">
        <v>261</v>
      </c>
      <c r="C263">
        <v>5</v>
      </c>
      <c r="D263">
        <v>19</v>
      </c>
      <c r="E263">
        <v>1</v>
      </c>
      <c r="F263" t="s">
        <v>464</v>
      </c>
      <c r="H263" t="str">
        <f t="shared" si="4"/>
        <v>(NULL,"5","19","1","Network Management"),</v>
      </c>
      <c r="I263" t="str">
        <f>TextJoin(tblClasses[[#This Row],[STermID]:[Description]],"Value")</f>
        <v>"5","19","1","Network Management"</v>
      </c>
    </row>
    <row r="264" spans="2:9" x14ac:dyDescent="0.25">
      <c r="B264">
        <v>262</v>
      </c>
      <c r="C264">
        <v>5</v>
      </c>
      <c r="D264">
        <v>19</v>
      </c>
      <c r="E264">
        <v>1</v>
      </c>
      <c r="F264" t="s">
        <v>792</v>
      </c>
      <c r="H264" t="str">
        <f t="shared" si="4"/>
        <v>(NULL,"5","19","1","Logic Design &amp; Switching Theory"),</v>
      </c>
      <c r="I264" t="str">
        <f>TextJoin(tblClasses[[#This Row],[STermID]:[Description]],"Value")</f>
        <v>"5","19","1","Logic Design &amp; Switching Theory"</v>
      </c>
    </row>
    <row r="265" spans="2:9" x14ac:dyDescent="0.25">
      <c r="B265">
        <v>263</v>
      </c>
      <c r="C265">
        <v>5</v>
      </c>
      <c r="D265">
        <v>19</v>
      </c>
      <c r="E265">
        <v>1</v>
      </c>
      <c r="F265" t="s">
        <v>468</v>
      </c>
      <c r="H265" t="str">
        <f t="shared" si="4"/>
        <v>(NULL,"5","19","1","Free Elective (SAP)"),</v>
      </c>
      <c r="I265" t="str">
        <f>TextJoin(tblClasses[[#This Row],[STermID]:[Description]],"Value")</f>
        <v>"5","19","1","Free Elective (SAP)"</v>
      </c>
    </row>
    <row r="266" spans="2:9" x14ac:dyDescent="0.25">
      <c r="B266">
        <v>264</v>
      </c>
      <c r="C266">
        <v>5</v>
      </c>
      <c r="D266">
        <v>19</v>
      </c>
      <c r="E266">
        <v>1</v>
      </c>
      <c r="F266" t="s">
        <v>473</v>
      </c>
      <c r="H266" t="str">
        <f t="shared" si="4"/>
        <v>(NULL,"5","19","1","Philippine History"),</v>
      </c>
      <c r="I266" t="str">
        <f>TextJoin(tblClasses[[#This Row],[STermID]:[Description]],"Value")</f>
        <v>"5","19","1","Philippine History"</v>
      </c>
    </row>
    <row r="267" spans="2:9" x14ac:dyDescent="0.25">
      <c r="B267">
        <v>265</v>
      </c>
      <c r="C267">
        <v>5</v>
      </c>
      <c r="D267">
        <v>19</v>
      </c>
      <c r="E267">
        <v>1</v>
      </c>
      <c r="F267" t="s">
        <v>353</v>
      </c>
      <c r="H267" t="str">
        <f t="shared" si="4"/>
        <v>(NULL,"5","19","1","Advance Engineering Mathematics"),</v>
      </c>
      <c r="I267" t="str">
        <f>TextJoin(tblClasses[[#This Row],[STermID]:[Description]],"Value")</f>
        <v>"5","19","1","Advance Engineering Mathematics"</v>
      </c>
    </row>
    <row r="268" spans="2:9" x14ac:dyDescent="0.25">
      <c r="B268">
        <v>266</v>
      </c>
      <c r="C268">
        <v>5</v>
      </c>
      <c r="D268">
        <v>19</v>
      </c>
      <c r="E268">
        <v>1</v>
      </c>
      <c r="F268" t="s">
        <v>793</v>
      </c>
      <c r="H268" t="str">
        <f t="shared" si="4"/>
        <v>(NULL,"5","19","1","Dynamics Of Rigid Bodies"),</v>
      </c>
      <c r="I268" t="str">
        <f>TextJoin(tblClasses[[#This Row],[STermID]:[Description]],"Value")</f>
        <v>"5","19","1","Dynamics Of Rigid Bodies"</v>
      </c>
    </row>
    <row r="269" spans="2:9" x14ac:dyDescent="0.25">
      <c r="B269">
        <v>267</v>
      </c>
      <c r="C269">
        <v>5</v>
      </c>
      <c r="D269">
        <v>19</v>
      </c>
      <c r="E269">
        <v>1</v>
      </c>
      <c r="F269" t="s">
        <v>357</v>
      </c>
      <c r="H269" t="str">
        <f t="shared" si="4"/>
        <v>(NULL,"5","19","1","Engineering Materials"),</v>
      </c>
      <c r="I269" t="str">
        <f>TextJoin(tblClasses[[#This Row],[STermID]:[Description]],"Value")</f>
        <v>"5","19","1","Engineering Materials"</v>
      </c>
    </row>
    <row r="270" spans="2:9" x14ac:dyDescent="0.25">
      <c r="B270">
        <v>268</v>
      </c>
      <c r="C270">
        <v>5</v>
      </c>
      <c r="D270">
        <v>19</v>
      </c>
      <c r="E270">
        <v>1</v>
      </c>
      <c r="F270" t="s">
        <v>359</v>
      </c>
      <c r="H270" t="str">
        <f t="shared" si="4"/>
        <v>(NULL,"5","19","1","CISCO 1"),</v>
      </c>
      <c r="I270" t="str">
        <f>TextJoin(tblClasses[[#This Row],[STermID]:[Description]],"Value")</f>
        <v>"5","19","1","CISCO 1"</v>
      </c>
    </row>
    <row r="271" spans="2:9" x14ac:dyDescent="0.25">
      <c r="B271">
        <v>269</v>
      </c>
      <c r="C271">
        <v>5</v>
      </c>
      <c r="D271">
        <v>19</v>
      </c>
      <c r="E271">
        <v>1</v>
      </c>
      <c r="F271" t="s">
        <v>361</v>
      </c>
      <c r="H271" t="str">
        <f t="shared" si="4"/>
        <v>(NULL,"5","19","1","Electronics 2"),</v>
      </c>
      <c r="I271" t="str">
        <f>TextJoin(tblClasses[[#This Row],[STermID]:[Description]],"Value")</f>
        <v>"5","19","1","Electronics 2"</v>
      </c>
    </row>
    <row r="272" spans="2:9" x14ac:dyDescent="0.25">
      <c r="B272">
        <v>270</v>
      </c>
      <c r="C272">
        <v>5</v>
      </c>
      <c r="D272">
        <v>19</v>
      </c>
      <c r="E272">
        <v>1</v>
      </c>
      <c r="F272" t="s">
        <v>363</v>
      </c>
      <c r="H272" t="str">
        <f t="shared" si="4"/>
        <v>(NULL,"5","19","1","Circuit Analysis 2"),</v>
      </c>
      <c r="I272" t="str">
        <f>TextJoin(tblClasses[[#This Row],[STermID]:[Description]],"Value")</f>
        <v>"5","19","1","Circuit Analysis 2"</v>
      </c>
    </row>
    <row r="273" spans="2:9" x14ac:dyDescent="0.25">
      <c r="B273">
        <v>271</v>
      </c>
      <c r="C273">
        <v>5</v>
      </c>
      <c r="D273">
        <v>19</v>
      </c>
      <c r="E273">
        <v>1</v>
      </c>
      <c r="F273" t="s">
        <v>365</v>
      </c>
      <c r="H273" t="str">
        <f t="shared" si="4"/>
        <v>(NULL,"5","19","1","Logic Circuit &amp; Switching Theory"),</v>
      </c>
      <c r="I273" t="str">
        <f>TextJoin(tblClasses[[#This Row],[STermID]:[Description]],"Value")</f>
        <v>"5","19","1","Logic Circuit &amp; Switching Theory"</v>
      </c>
    </row>
    <row r="274" spans="2:9" x14ac:dyDescent="0.25">
      <c r="B274">
        <v>272</v>
      </c>
      <c r="C274">
        <v>5</v>
      </c>
      <c r="D274">
        <v>19</v>
      </c>
      <c r="E274">
        <v>1</v>
      </c>
      <c r="F274" t="s">
        <v>367</v>
      </c>
      <c r="H274" t="str">
        <f t="shared" si="4"/>
        <v>(NULL,"5","19","1","Operating System"),</v>
      </c>
      <c r="I274" t="str">
        <f>TextJoin(tblClasses[[#This Row],[STermID]:[Description]],"Value")</f>
        <v>"5","19","1","Operating System"</v>
      </c>
    </row>
    <row r="275" spans="2:9" x14ac:dyDescent="0.25">
      <c r="B275">
        <v>273</v>
      </c>
      <c r="C275">
        <v>5</v>
      </c>
      <c r="D275">
        <v>19</v>
      </c>
      <c r="E275">
        <v>1</v>
      </c>
      <c r="F275" t="s">
        <v>794</v>
      </c>
      <c r="H275" t="str">
        <f t="shared" si="4"/>
        <v>(NULL,"5","19","1","Software Enginnering"),</v>
      </c>
      <c r="I275" t="str">
        <f>TextJoin(tblClasses[[#This Row],[STermID]:[Description]],"Value")</f>
        <v>"5","19","1","Software Enginnering"</v>
      </c>
    </row>
    <row r="276" spans="2:9" x14ac:dyDescent="0.25">
      <c r="B276">
        <v>274</v>
      </c>
      <c r="C276">
        <v>5</v>
      </c>
      <c r="D276">
        <v>19</v>
      </c>
      <c r="E276">
        <v>1</v>
      </c>
      <c r="F276" t="s">
        <v>795</v>
      </c>
      <c r="H276" t="str">
        <f t="shared" si="4"/>
        <v>(NULL,"5","19","1","Multimedia Systems"),</v>
      </c>
      <c r="I276" t="str">
        <f>TextJoin(tblClasses[[#This Row],[STermID]:[Description]],"Value")</f>
        <v>"5","19","1","Multimedia Systems"</v>
      </c>
    </row>
    <row r="277" spans="2:9" x14ac:dyDescent="0.25">
      <c r="B277">
        <v>275</v>
      </c>
      <c r="C277">
        <v>5</v>
      </c>
      <c r="D277">
        <v>19</v>
      </c>
      <c r="E277">
        <v>1</v>
      </c>
      <c r="F277" t="s">
        <v>490</v>
      </c>
      <c r="H277" t="str">
        <f t="shared" si="4"/>
        <v>(NULL,"5","19","1","Advance Database Management Systems"),</v>
      </c>
      <c r="I277" t="str">
        <f>TextJoin(tblClasses[[#This Row],[STermID]:[Description]],"Value")</f>
        <v>"5","19","1","Advance Database Management Systems"</v>
      </c>
    </row>
    <row r="278" spans="2:9" x14ac:dyDescent="0.25">
      <c r="B278">
        <v>276</v>
      </c>
      <c r="C278">
        <v>5</v>
      </c>
      <c r="D278">
        <v>19</v>
      </c>
      <c r="E278">
        <v>1</v>
      </c>
      <c r="F278" t="s">
        <v>492</v>
      </c>
      <c r="H278" t="str">
        <f t="shared" si="4"/>
        <v>(NULL,"5","19","1","Technopreneurship"),</v>
      </c>
      <c r="I278" t="str">
        <f>TextJoin(tblClasses[[#This Row],[STermID]:[Description]],"Value")</f>
        <v>"5","19","1","Technopreneurship"</v>
      </c>
    </row>
    <row r="279" spans="2:9" x14ac:dyDescent="0.25">
      <c r="B279">
        <v>277</v>
      </c>
      <c r="C279">
        <v>5</v>
      </c>
      <c r="D279">
        <v>19</v>
      </c>
      <c r="E279">
        <v>1</v>
      </c>
      <c r="F279" t="s">
        <v>371</v>
      </c>
      <c r="H279" t="str">
        <f t="shared" si="4"/>
        <v>(NULL,"5","19","1","CISCO 2"),</v>
      </c>
      <c r="I279" t="str">
        <f>TextJoin(tblClasses[[#This Row],[STermID]:[Description]],"Value")</f>
        <v>"5","19","1","CISCO 2"</v>
      </c>
    </row>
    <row r="280" spans="2:9" x14ac:dyDescent="0.25">
      <c r="B280">
        <v>278</v>
      </c>
      <c r="C280">
        <v>5</v>
      </c>
      <c r="D280">
        <v>19</v>
      </c>
      <c r="E280">
        <v>1</v>
      </c>
      <c r="F280" t="s">
        <v>796</v>
      </c>
      <c r="H280" t="str">
        <f t="shared" si="4"/>
        <v>(NULL,"5","19","1","Society &amp; Culture W/ Hiv Aids Education"),</v>
      </c>
      <c r="I280" t="str">
        <f>TextJoin(tblClasses[[#This Row],[STermID]:[Description]],"Value")</f>
        <v>"5","19","1","Society &amp; Culture W/ Hiv Aids Education"</v>
      </c>
    </row>
    <row r="281" spans="2:9" x14ac:dyDescent="0.25">
      <c r="B281">
        <v>279</v>
      </c>
      <c r="C281">
        <v>5</v>
      </c>
      <c r="D281">
        <v>19</v>
      </c>
      <c r="E281">
        <v>1</v>
      </c>
      <c r="F281" t="s">
        <v>797</v>
      </c>
      <c r="H281" t="str">
        <f t="shared" si="4"/>
        <v>(NULL,"5","19","1","It Elective 2 (Network Administration)"),</v>
      </c>
      <c r="I281" t="str">
        <f>TextJoin(tblClasses[[#This Row],[STermID]:[Description]],"Value")</f>
        <v>"5","19","1","It Elective 2 (Network Administration)"</v>
      </c>
    </row>
    <row r="282" spans="2:9" x14ac:dyDescent="0.25">
      <c r="B282">
        <v>280</v>
      </c>
      <c r="C282">
        <v>5</v>
      </c>
      <c r="D282">
        <v>19</v>
      </c>
      <c r="E282">
        <v>1</v>
      </c>
      <c r="F282" t="s">
        <v>796</v>
      </c>
      <c r="H282" t="str">
        <f t="shared" si="4"/>
        <v>(NULL,"5","19","1","Society &amp; Culture W/ Hiv Aids Education"),</v>
      </c>
      <c r="I282" t="str">
        <f>TextJoin(tblClasses[[#This Row],[STermID]:[Description]],"Value")</f>
        <v>"5","19","1","Society &amp; Culture W/ Hiv Aids Education"</v>
      </c>
    </row>
    <row r="283" spans="2:9" x14ac:dyDescent="0.25">
      <c r="B283">
        <v>281</v>
      </c>
      <c r="C283">
        <v>5</v>
      </c>
      <c r="D283">
        <v>19</v>
      </c>
      <c r="E283">
        <v>1</v>
      </c>
      <c r="F283" t="s">
        <v>387</v>
      </c>
      <c r="H283" t="str">
        <f t="shared" si="4"/>
        <v>(NULL,"5","19","1","Microprocessor &amp; Microcontroller Systems"),</v>
      </c>
      <c r="I283" t="str">
        <f>TextJoin(tblClasses[[#This Row],[STermID]:[Description]],"Value")</f>
        <v>"5","19","1","Microprocessor &amp; Microcontroller Systems"</v>
      </c>
    </row>
    <row r="284" spans="2:9" x14ac:dyDescent="0.25">
      <c r="B284">
        <v>282</v>
      </c>
      <c r="C284">
        <v>5</v>
      </c>
      <c r="D284">
        <v>19</v>
      </c>
      <c r="E284">
        <v>1</v>
      </c>
      <c r="F284" t="s">
        <v>389</v>
      </c>
      <c r="H284" t="str">
        <f t="shared" si="4"/>
        <v>(NULL,"5","19","1","Data Communications"),</v>
      </c>
      <c r="I284" t="str">
        <f>TextJoin(tblClasses[[#This Row],[STermID]:[Description]],"Value")</f>
        <v>"5","19","1","Data Communications"</v>
      </c>
    </row>
    <row r="285" spans="2:9" x14ac:dyDescent="0.25">
      <c r="B285">
        <v>283</v>
      </c>
      <c r="C285">
        <v>5</v>
      </c>
      <c r="D285">
        <v>19</v>
      </c>
      <c r="E285">
        <v>1</v>
      </c>
      <c r="F285" t="s">
        <v>391</v>
      </c>
      <c r="H285" t="str">
        <f t="shared" si="4"/>
        <v>(NULL,"5","19","1","Computer System Architecture"),</v>
      </c>
      <c r="I285" t="str">
        <f>TextJoin(tblClasses[[#This Row],[STermID]:[Description]],"Value")</f>
        <v>"5","19","1","Computer System Architecture"</v>
      </c>
    </row>
    <row r="286" spans="2:9" x14ac:dyDescent="0.25">
      <c r="B286">
        <v>284</v>
      </c>
      <c r="C286">
        <v>5</v>
      </c>
      <c r="D286">
        <v>19</v>
      </c>
      <c r="E286">
        <v>1</v>
      </c>
      <c r="F286" t="s">
        <v>393</v>
      </c>
      <c r="H286" t="str">
        <f t="shared" si="4"/>
        <v>(NULL,"5","19","1","Environmental Engineering"),</v>
      </c>
      <c r="I286" t="str">
        <f>TextJoin(tblClasses[[#This Row],[STermID]:[Description]],"Value")</f>
        <v>"5","19","1","Environmental Engineering"</v>
      </c>
    </row>
    <row r="287" spans="2:9" x14ac:dyDescent="0.25">
      <c r="B287">
        <v>285</v>
      </c>
      <c r="C287">
        <v>5</v>
      </c>
      <c r="D287">
        <v>19</v>
      </c>
      <c r="E287">
        <v>1</v>
      </c>
      <c r="F287" t="s">
        <v>415</v>
      </c>
      <c r="H287" t="str">
        <f t="shared" si="4"/>
        <v>(NULL,"5","19","1","CISCO 3"),</v>
      </c>
      <c r="I287" t="str">
        <f>TextJoin(tblClasses[[#This Row],[STermID]:[Description]],"Value")</f>
        <v>"5","19","1","CISCO 3"</v>
      </c>
    </row>
    <row r="288" spans="2:9" x14ac:dyDescent="0.25">
      <c r="B288">
        <v>286</v>
      </c>
      <c r="C288">
        <v>5</v>
      </c>
      <c r="D288">
        <v>19</v>
      </c>
      <c r="E288">
        <v>1</v>
      </c>
      <c r="F288" t="s">
        <v>396</v>
      </c>
      <c r="H288" t="str">
        <f t="shared" si="4"/>
        <v>(NULL,"5","19","1","Elective 1"),</v>
      </c>
      <c r="I288" t="str">
        <f>TextJoin(tblClasses[[#This Row],[STermID]:[Description]],"Value")</f>
        <v>"5","19","1","Elective 1"</v>
      </c>
    </row>
    <row r="289" spans="2:9" x14ac:dyDescent="0.25">
      <c r="B289">
        <v>287</v>
      </c>
      <c r="C289">
        <v>5</v>
      </c>
      <c r="D289">
        <v>19</v>
      </c>
      <c r="E289">
        <v>1</v>
      </c>
      <c r="F289" t="s">
        <v>798</v>
      </c>
      <c r="H289" t="str">
        <f t="shared" si="4"/>
        <v>(NULL,"5","19","1","Information Technology Design 2"),</v>
      </c>
      <c r="I289" t="str">
        <f>TextJoin(tblClasses[[#This Row],[STermID]:[Description]],"Value")</f>
        <v>"5","19","1","Information Technology Design 2"</v>
      </c>
    </row>
    <row r="290" spans="2:9" x14ac:dyDescent="0.25">
      <c r="B290">
        <v>288</v>
      </c>
      <c r="C290">
        <v>5</v>
      </c>
      <c r="D290">
        <v>19</v>
      </c>
      <c r="E290">
        <v>1</v>
      </c>
      <c r="F290" t="s">
        <v>799</v>
      </c>
      <c r="H290" t="str">
        <f t="shared" si="4"/>
        <v>(NULL,"5","19","1","It Elective 4 (It Project Management)"),</v>
      </c>
      <c r="I290" t="str">
        <f>TextJoin(tblClasses[[#This Row],[STermID]:[Description]],"Value")</f>
        <v>"5","19","1","It Elective 4 (It Project Management)"</v>
      </c>
    </row>
    <row r="291" spans="2:9" x14ac:dyDescent="0.25">
      <c r="B291">
        <v>289</v>
      </c>
      <c r="C291">
        <v>5</v>
      </c>
      <c r="D291">
        <v>19</v>
      </c>
      <c r="E291">
        <v>1</v>
      </c>
      <c r="F291" t="s">
        <v>514</v>
      </c>
      <c r="H291" t="str">
        <f t="shared" si="4"/>
        <v>(NULL,"5","19","1","Contact Center"),</v>
      </c>
      <c r="I291" t="str">
        <f>TextJoin(tblClasses[[#This Row],[STermID]:[Description]],"Value")</f>
        <v>"5","19","1","Contact Center"</v>
      </c>
    </row>
    <row r="292" spans="2:9" x14ac:dyDescent="0.25">
      <c r="B292">
        <v>290</v>
      </c>
      <c r="C292">
        <v>5</v>
      </c>
      <c r="D292">
        <v>19</v>
      </c>
      <c r="E292">
        <v>1</v>
      </c>
      <c r="F292" t="s">
        <v>508</v>
      </c>
      <c r="H292" t="str">
        <f t="shared" si="4"/>
        <v>(NULL,"5","19","1","CISCO 4"),</v>
      </c>
      <c r="I292" t="str">
        <f>TextJoin(tblClasses[[#This Row],[STermID]:[Description]],"Value")</f>
        <v>"5","19","1","CISCO 4"</v>
      </c>
    </row>
    <row r="293" spans="2:9" x14ac:dyDescent="0.25">
      <c r="B293">
        <v>291</v>
      </c>
      <c r="C293">
        <v>5</v>
      </c>
      <c r="D293">
        <v>19</v>
      </c>
      <c r="E293">
        <v>1</v>
      </c>
      <c r="F293" t="s">
        <v>800</v>
      </c>
      <c r="H293" t="str">
        <f t="shared" si="4"/>
        <v>(NULL,"5","19","1","Seminar And Fieldtrip"),</v>
      </c>
      <c r="I293" t="str">
        <f>TextJoin(tblClasses[[#This Row],[STermID]:[Description]],"Value")</f>
        <v>"5","19","1","Seminar And Fieldtrip"</v>
      </c>
    </row>
    <row r="294" spans="2:9" x14ac:dyDescent="0.25">
      <c r="B294">
        <v>292</v>
      </c>
      <c r="C294">
        <v>5</v>
      </c>
      <c r="D294">
        <v>19</v>
      </c>
      <c r="E294">
        <v>1</v>
      </c>
      <c r="F294" t="s">
        <v>417</v>
      </c>
      <c r="H294" t="str">
        <f t="shared" si="4"/>
        <v>(NULL,"5","19","1","Engineering Management"),</v>
      </c>
      <c r="I294" t="str">
        <f>TextJoin(tblClasses[[#This Row],[STermID]:[Description]],"Value")</f>
        <v>"5","19","1","Engineering Management"</v>
      </c>
    </row>
    <row r="295" spans="2:9" x14ac:dyDescent="0.25">
      <c r="B295">
        <v>293</v>
      </c>
      <c r="C295">
        <v>5</v>
      </c>
      <c r="D295">
        <v>19</v>
      </c>
      <c r="E295">
        <v>1</v>
      </c>
      <c r="F295" t="s">
        <v>419</v>
      </c>
      <c r="H295" t="str">
        <f t="shared" si="4"/>
        <v>(NULL,"5","19","1","Software Engineering"),</v>
      </c>
      <c r="I295" t="str">
        <f>TextJoin(tblClasses[[#This Row],[STermID]:[Description]],"Value")</f>
        <v>"5","19","1","Software Engineering"</v>
      </c>
    </row>
    <row r="296" spans="2:9" x14ac:dyDescent="0.25">
      <c r="B296">
        <v>294</v>
      </c>
      <c r="C296">
        <v>5</v>
      </c>
      <c r="D296">
        <v>19</v>
      </c>
      <c r="E296">
        <v>1</v>
      </c>
      <c r="F296" t="s">
        <v>801</v>
      </c>
      <c r="H296" t="str">
        <f t="shared" si="4"/>
        <v>(NULL,"5","19","1","Entreperneurship"),</v>
      </c>
      <c r="I296" t="str">
        <f>TextJoin(tblClasses[[#This Row],[STermID]:[Description]],"Value")</f>
        <v>"5","19","1","Entreperneurship"</v>
      </c>
    </row>
    <row r="297" spans="2:9" x14ac:dyDescent="0.25">
      <c r="B297">
        <v>295</v>
      </c>
      <c r="C297">
        <v>5</v>
      </c>
      <c r="D297">
        <v>19</v>
      </c>
      <c r="E297">
        <v>1</v>
      </c>
      <c r="F297" t="s">
        <v>802</v>
      </c>
      <c r="H297" t="str">
        <f t="shared" si="4"/>
        <v>(NULL,"5","19","1","Eng'G Design, Research &amp; Dev'T"),</v>
      </c>
      <c r="I297" t="str">
        <f>TextJoin(tblClasses[[#This Row],[STermID]:[Description]],"Value")</f>
        <v>"5","19","1","Eng'G Design, Research &amp; Dev'T"</v>
      </c>
    </row>
    <row r="298" spans="2:9" x14ac:dyDescent="0.25">
      <c r="B298">
        <v>296</v>
      </c>
      <c r="C298">
        <v>5</v>
      </c>
      <c r="D298">
        <v>19</v>
      </c>
      <c r="E298">
        <v>1</v>
      </c>
      <c r="F298" t="s">
        <v>425</v>
      </c>
      <c r="H298" t="str">
        <f t="shared" si="4"/>
        <v>(NULL,"5","19","1","Elective 3"),</v>
      </c>
      <c r="I298" t="str">
        <f>TextJoin(tblClasses[[#This Row],[STermID]:[Description]],"Value")</f>
        <v>"5","19","1","Elective 3"</v>
      </c>
    </row>
    <row r="299" spans="2:9" x14ac:dyDescent="0.25">
      <c r="B299">
        <v>297</v>
      </c>
      <c r="C299">
        <v>5</v>
      </c>
      <c r="D299">
        <v>19</v>
      </c>
      <c r="E299">
        <v>1</v>
      </c>
      <c r="F299" t="s">
        <v>803</v>
      </c>
      <c r="H299" t="str">
        <f t="shared" si="4"/>
        <v>(NULL,"5","19","1","Seminar &amp; Field Trip"),</v>
      </c>
      <c r="I299" t="str">
        <f>TextJoin(tblClasses[[#This Row],[STermID]:[Description]],"Value")</f>
        <v>"5","19","1","Seminar &amp; Field Trip"</v>
      </c>
    </row>
    <row r="300" spans="2:9" x14ac:dyDescent="0.25">
      <c r="B300">
        <v>298</v>
      </c>
      <c r="C300">
        <v>6</v>
      </c>
      <c r="D300">
        <v>19</v>
      </c>
      <c r="E300">
        <v>1</v>
      </c>
      <c r="F300" t="s">
        <v>270</v>
      </c>
      <c r="H300" t="str">
        <f t="shared" si="4"/>
        <v>(NULL,"6","19","1","Communication Skills 1"),</v>
      </c>
      <c r="I300" t="str">
        <f>TextJoin(tblClasses[[#This Row],[STermID]:[Description]],"Value")</f>
        <v>"6","19","1","Communication Skills 1"</v>
      </c>
    </row>
    <row r="301" spans="2:9" x14ac:dyDescent="0.25">
      <c r="B301">
        <v>299</v>
      </c>
      <c r="C301">
        <v>6</v>
      </c>
      <c r="D301">
        <v>19</v>
      </c>
      <c r="E301">
        <v>1</v>
      </c>
      <c r="F301" t="s">
        <v>272</v>
      </c>
      <c r="H301" t="str">
        <f t="shared" si="4"/>
        <v>(NULL,"6","19","1","College Algebra"),</v>
      </c>
      <c r="I301" t="str">
        <f>TextJoin(tblClasses[[#This Row],[STermID]:[Description]],"Value")</f>
        <v>"6","19","1","College Algebra"</v>
      </c>
    </row>
    <row r="302" spans="2:9" x14ac:dyDescent="0.25">
      <c r="B302">
        <v>300</v>
      </c>
      <c r="C302">
        <v>6</v>
      </c>
      <c r="D302">
        <v>19</v>
      </c>
      <c r="E302">
        <v>1</v>
      </c>
      <c r="F302" t="s">
        <v>804</v>
      </c>
      <c r="H302" t="str">
        <f t="shared" si="4"/>
        <v>(NULL,"6","19","1","Plane And Sperical Trigonometry"),</v>
      </c>
      <c r="I302" t="str">
        <f>TextJoin(tblClasses[[#This Row],[STermID]:[Description]],"Value")</f>
        <v>"6","19","1","Plane And Sperical Trigonometry"</v>
      </c>
    </row>
    <row r="303" spans="2:9" x14ac:dyDescent="0.25">
      <c r="B303">
        <v>301</v>
      </c>
      <c r="C303">
        <v>6</v>
      </c>
      <c r="D303">
        <v>19</v>
      </c>
      <c r="E303">
        <v>1</v>
      </c>
      <c r="F303" t="s">
        <v>276</v>
      </c>
      <c r="H303" t="str">
        <f t="shared" si="4"/>
        <v>(NULL,"6","19","1","General Inorganic Chemistry"),</v>
      </c>
      <c r="I303" t="str">
        <f>TextJoin(tblClasses[[#This Row],[STermID]:[Description]],"Value")</f>
        <v>"6","19","1","General Inorganic Chemistry"</v>
      </c>
    </row>
    <row r="304" spans="2:9" x14ac:dyDescent="0.25">
      <c r="B304">
        <v>302</v>
      </c>
      <c r="C304">
        <v>6</v>
      </c>
      <c r="D304">
        <v>19</v>
      </c>
      <c r="E304">
        <v>1</v>
      </c>
      <c r="F304" t="s">
        <v>278</v>
      </c>
      <c r="H304" t="str">
        <f t="shared" si="4"/>
        <v>(NULL,"6","19","1","Engineering Drawing 1"),</v>
      </c>
      <c r="I304" t="str">
        <f>TextJoin(tblClasses[[#This Row],[STermID]:[Description]],"Value")</f>
        <v>"6","19","1","Engineering Drawing 1"</v>
      </c>
    </row>
    <row r="305" spans="2:9" x14ac:dyDescent="0.25">
      <c r="B305">
        <v>303</v>
      </c>
      <c r="C305">
        <v>6</v>
      </c>
      <c r="D305">
        <v>19</v>
      </c>
      <c r="E305">
        <v>1</v>
      </c>
      <c r="F305" t="s">
        <v>280</v>
      </c>
      <c r="H305" t="str">
        <f t="shared" si="4"/>
        <v>(NULL,"6","19","1","Computer Fundamentals &amp; Programming"),</v>
      </c>
      <c r="I305" t="str">
        <f>TextJoin(tblClasses[[#This Row],[STermID]:[Description]],"Value")</f>
        <v>"6","19","1","Computer Fundamentals &amp; Programming"</v>
      </c>
    </row>
    <row r="306" spans="2:9" x14ac:dyDescent="0.25">
      <c r="B306">
        <v>304</v>
      </c>
      <c r="C306">
        <v>6</v>
      </c>
      <c r="D306">
        <v>19</v>
      </c>
      <c r="E306">
        <v>1</v>
      </c>
      <c r="F306" t="s">
        <v>805</v>
      </c>
      <c r="H306" t="str">
        <f t="shared" si="4"/>
        <v>(NULL,"6","19","1","Sining Ng Pakikipagtalastasan"),</v>
      </c>
      <c r="I306" t="str">
        <f>TextJoin(tblClasses[[#This Row],[STermID]:[Description]],"Value")</f>
        <v>"6","19","1","Sining Ng Pakikipagtalastasan"</v>
      </c>
    </row>
    <row r="307" spans="2:9" x14ac:dyDescent="0.25">
      <c r="B307">
        <v>305</v>
      </c>
      <c r="C307">
        <v>6</v>
      </c>
      <c r="D307">
        <v>19</v>
      </c>
      <c r="E307">
        <v>1</v>
      </c>
      <c r="F307" t="s">
        <v>806</v>
      </c>
      <c r="H307" t="str">
        <f t="shared" si="4"/>
        <v>(NULL,"6","19","1","Physical Fitness/ Gymnastics"),</v>
      </c>
      <c r="I307" t="str">
        <f>TextJoin(tblClasses[[#This Row],[STermID]:[Description]],"Value")</f>
        <v>"6","19","1","Physical Fitness/ Gymnastics"</v>
      </c>
    </row>
    <row r="308" spans="2:9" x14ac:dyDescent="0.25">
      <c r="B308">
        <v>306</v>
      </c>
      <c r="C308">
        <v>6</v>
      </c>
      <c r="D308">
        <v>19</v>
      </c>
      <c r="E308">
        <v>1</v>
      </c>
      <c r="F308" t="s">
        <v>807</v>
      </c>
      <c r="H308" t="str">
        <f t="shared" si="4"/>
        <v>(NULL,"6","19","1","National Service Traning Program 1"),</v>
      </c>
      <c r="I308" t="str">
        <f>TextJoin(tblClasses[[#This Row],[STermID]:[Description]],"Value")</f>
        <v>"6","19","1","National Service Traning Program 1"</v>
      </c>
    </row>
    <row r="309" spans="2:9" x14ac:dyDescent="0.25">
      <c r="B309">
        <v>307</v>
      </c>
      <c r="C309">
        <v>6</v>
      </c>
      <c r="D309">
        <v>19</v>
      </c>
      <c r="E309">
        <v>1</v>
      </c>
      <c r="F309" t="s">
        <v>808</v>
      </c>
      <c r="H309" t="str">
        <f t="shared" si="4"/>
        <v>(NULL,"6","19","1","It Fundamentals"),</v>
      </c>
      <c r="I309" t="str">
        <f>TextJoin(tblClasses[[#This Row],[STermID]:[Description]],"Value")</f>
        <v>"6","19","1","It Fundamentals"</v>
      </c>
    </row>
    <row r="310" spans="2:9" x14ac:dyDescent="0.25">
      <c r="B310">
        <v>308</v>
      </c>
      <c r="C310">
        <v>6</v>
      </c>
      <c r="D310">
        <v>19</v>
      </c>
      <c r="E310">
        <v>1</v>
      </c>
      <c r="F310" t="s">
        <v>432</v>
      </c>
      <c r="H310" t="str">
        <f t="shared" si="4"/>
        <v>(NULL,"6","19","1","Programming 1 (C+)"),</v>
      </c>
      <c r="I310" t="str">
        <f>TextJoin(tblClasses[[#This Row],[STermID]:[Description]],"Value")</f>
        <v>"6","19","1","Programming 1 (C+)"</v>
      </c>
    </row>
    <row r="311" spans="2:9" x14ac:dyDescent="0.25">
      <c r="B311">
        <v>309</v>
      </c>
      <c r="C311">
        <v>6</v>
      </c>
      <c r="D311">
        <v>19</v>
      </c>
      <c r="E311">
        <v>1</v>
      </c>
      <c r="F311" t="s">
        <v>434</v>
      </c>
      <c r="H311" t="str">
        <f t="shared" si="4"/>
        <v>(NULL,"6","19","1","Office Productivity"),</v>
      </c>
      <c r="I311" t="str">
        <f>TextJoin(tblClasses[[#This Row],[STermID]:[Description]],"Value")</f>
        <v>"6","19","1","Office Productivity"</v>
      </c>
    </row>
    <row r="312" spans="2:9" x14ac:dyDescent="0.25">
      <c r="B312">
        <v>310</v>
      </c>
      <c r="C312">
        <v>6</v>
      </c>
      <c r="D312">
        <v>19</v>
      </c>
      <c r="E312">
        <v>1</v>
      </c>
      <c r="F312" t="s">
        <v>331</v>
      </c>
      <c r="H312" t="str">
        <f t="shared" si="4"/>
        <v>(NULL,"6","19","1","General Psychology"),</v>
      </c>
      <c r="I312" t="str">
        <f>TextJoin(tblClasses[[#This Row],[STermID]:[Description]],"Value")</f>
        <v>"6","19","1","General Psychology"</v>
      </c>
    </row>
    <row r="313" spans="2:9" x14ac:dyDescent="0.25">
      <c r="B313">
        <v>311</v>
      </c>
      <c r="C313">
        <v>6</v>
      </c>
      <c r="D313">
        <v>19</v>
      </c>
      <c r="E313">
        <v>1</v>
      </c>
      <c r="F313" s="11" t="s">
        <v>307</v>
      </c>
      <c r="H313" t="str">
        <f t="shared" si="4"/>
        <v>(NULL,"6","19","1","Technical Communications"),</v>
      </c>
      <c r="I313" t="str">
        <f>TextJoin(tblClasses[[#This Row],[STermID]:[Description]],"Value")</f>
        <v>"6","19","1","Technical Communications"</v>
      </c>
    </row>
    <row r="314" spans="2:9" x14ac:dyDescent="0.25">
      <c r="B314">
        <v>312</v>
      </c>
      <c r="C314">
        <v>6</v>
      </c>
      <c r="D314">
        <v>19</v>
      </c>
      <c r="E314">
        <v>1</v>
      </c>
      <c r="F314" s="11" t="s">
        <v>309</v>
      </c>
      <c r="H314" t="str">
        <f t="shared" si="4"/>
        <v>(NULL,"6","19","1","Differential Calculus"),</v>
      </c>
      <c r="I314" t="str">
        <f>TextJoin(tblClasses[[#This Row],[STermID]:[Description]],"Value")</f>
        <v>"6","19","1","Differential Calculus"</v>
      </c>
    </row>
    <row r="315" spans="2:9" x14ac:dyDescent="0.25">
      <c r="B315">
        <v>313</v>
      </c>
      <c r="C315">
        <v>6</v>
      </c>
      <c r="D315">
        <v>19</v>
      </c>
      <c r="E315">
        <v>1</v>
      </c>
      <c r="F315" s="11" t="s">
        <v>311</v>
      </c>
      <c r="H315" t="str">
        <f t="shared" si="4"/>
        <v>(NULL,"6","19","1","General Physics 1"),</v>
      </c>
      <c r="I315" t="str">
        <f>TextJoin(tblClasses[[#This Row],[STermID]:[Description]],"Value")</f>
        <v>"6","19","1","General Physics 1"</v>
      </c>
    </row>
    <row r="316" spans="2:9" x14ac:dyDescent="0.25">
      <c r="B316">
        <v>314</v>
      </c>
      <c r="C316">
        <v>6</v>
      </c>
      <c r="D316">
        <v>19</v>
      </c>
      <c r="E316">
        <v>1</v>
      </c>
      <c r="F316" s="11" t="s">
        <v>752</v>
      </c>
      <c r="H316" t="str">
        <f t="shared" si="4"/>
        <v>(NULL,"6","19","1","Economics W/ Land Reform &amp; Taxation"),</v>
      </c>
      <c r="I316" t="str">
        <f>TextJoin(tblClasses[[#This Row],[STermID]:[Description]],"Value")</f>
        <v>"6","19","1","Economics W/ Land Reform &amp; Taxation"</v>
      </c>
    </row>
    <row r="317" spans="2:9" x14ac:dyDescent="0.25">
      <c r="B317">
        <v>315</v>
      </c>
      <c r="C317">
        <v>6</v>
      </c>
      <c r="D317">
        <v>19</v>
      </c>
      <c r="E317">
        <v>1</v>
      </c>
      <c r="F317" s="12" t="s">
        <v>315</v>
      </c>
      <c r="H317" t="str">
        <f t="shared" si="4"/>
        <v>(NULL,"6","19","1","Philippine History &amp; Culture"),</v>
      </c>
      <c r="I317" t="str">
        <f>TextJoin(tblClasses[[#This Row],[STermID]:[Description]],"Value")</f>
        <v>"6","19","1","Philippine History &amp; Culture"</v>
      </c>
    </row>
    <row r="318" spans="2:9" x14ac:dyDescent="0.25">
      <c r="B318">
        <v>316</v>
      </c>
      <c r="C318">
        <v>6</v>
      </c>
      <c r="D318">
        <v>19</v>
      </c>
      <c r="E318">
        <v>1</v>
      </c>
      <c r="F318" s="12" t="s">
        <v>317</v>
      </c>
      <c r="H318" t="str">
        <f t="shared" si="4"/>
        <v>(NULL,"6","19","1","Computer Hardware Fundamentals"),</v>
      </c>
      <c r="I318" t="str">
        <f>TextJoin(tblClasses[[#This Row],[STermID]:[Description]],"Value")</f>
        <v>"6","19","1","Computer Hardware Fundamentals"</v>
      </c>
    </row>
    <row r="319" spans="2:9" x14ac:dyDescent="0.25">
      <c r="B319">
        <v>317</v>
      </c>
      <c r="C319">
        <v>6</v>
      </c>
      <c r="D319">
        <v>19</v>
      </c>
      <c r="E319">
        <v>1</v>
      </c>
      <c r="F319" s="12" t="s">
        <v>319</v>
      </c>
      <c r="H319" t="str">
        <f t="shared" si="4"/>
        <v>(NULL,"6","19","1","Specialized Athletics"),</v>
      </c>
      <c r="I319" t="str">
        <f>TextJoin(tblClasses[[#This Row],[STermID]:[Description]],"Value")</f>
        <v>"6","19","1","Specialized Athletics"</v>
      </c>
    </row>
    <row r="320" spans="2:9" x14ac:dyDescent="0.25">
      <c r="B320">
        <v>318</v>
      </c>
      <c r="C320">
        <v>6</v>
      </c>
      <c r="D320">
        <v>19</v>
      </c>
      <c r="E320">
        <v>1</v>
      </c>
      <c r="F320" s="27" t="s">
        <v>608</v>
      </c>
      <c r="H320" t="str">
        <f t="shared" si="4"/>
        <v>(NULL,"6","19","1","Arts Appreciation"),</v>
      </c>
      <c r="I320" t="str">
        <f>TextJoin(tblClasses[[#This Row],[STermID]:[Description]],"Value")</f>
        <v>"6","19","1","Arts Appreciation"</v>
      </c>
    </row>
    <row r="321" spans="2:9" x14ac:dyDescent="0.25">
      <c r="B321">
        <v>319</v>
      </c>
      <c r="C321">
        <v>6</v>
      </c>
      <c r="D321">
        <v>19</v>
      </c>
      <c r="E321">
        <v>1</v>
      </c>
      <c r="F321" s="6" t="s">
        <v>753</v>
      </c>
      <c r="H321" t="str">
        <f t="shared" si="4"/>
        <v>(NULL,"6","19","1","Masining Na Pagpapahayag"),</v>
      </c>
      <c r="I321" t="str">
        <f>TextJoin(tblClasses[[#This Row],[STermID]:[Description]],"Value")</f>
        <v>"6","19","1","Masining Na Pagpapahayag"</v>
      </c>
    </row>
    <row r="322" spans="2:9" x14ac:dyDescent="0.25">
      <c r="B322">
        <v>320</v>
      </c>
      <c r="C322">
        <v>6</v>
      </c>
      <c r="D322">
        <v>19</v>
      </c>
      <c r="E322">
        <v>1</v>
      </c>
      <c r="F322" s="6" t="s">
        <v>754</v>
      </c>
      <c r="H322" t="str">
        <f t="shared" si="4"/>
        <v>(NULL,"6","19","1","Computer System Osrganization"),</v>
      </c>
      <c r="I322" t="str">
        <f>TextJoin(tblClasses[[#This Row],[STermID]:[Description]],"Value")</f>
        <v>"6","19","1","Computer System Osrganization"</v>
      </c>
    </row>
    <row r="323" spans="2:9" x14ac:dyDescent="0.25">
      <c r="B323">
        <v>321</v>
      </c>
      <c r="C323">
        <v>6</v>
      </c>
      <c r="D323">
        <v>19</v>
      </c>
      <c r="E323">
        <v>1</v>
      </c>
      <c r="F323" s="7" t="s">
        <v>455</v>
      </c>
      <c r="H323" t="str">
        <f t="shared" si="4"/>
        <v>(NULL,"6","19","1","Object Oriented Programming (Visual Basic)"),</v>
      </c>
      <c r="I323" t="str">
        <f>TextJoin(tblClasses[[#This Row],[STermID]:[Description]],"Value")</f>
        <v>"6","19","1","Object Oriented Programming (Visual Basic)"</v>
      </c>
    </row>
    <row r="324" spans="2:9" x14ac:dyDescent="0.25">
      <c r="B324">
        <v>322</v>
      </c>
      <c r="C324">
        <v>6</v>
      </c>
      <c r="D324">
        <v>19</v>
      </c>
      <c r="E324">
        <v>1</v>
      </c>
      <c r="F324" s="7" t="s">
        <v>755</v>
      </c>
      <c r="H324" t="str">
        <f t="shared" ref="H324:H387" si="5">"(NULL,"&amp;I324&amp;")"&amp;IF(H325&lt;&gt;"",",",";")</f>
        <v>(NULL,"6","19","1","Data Structures &amp; Algorithm Analysis"),</v>
      </c>
      <c r="I324" t="str">
        <f>TextJoin(tblClasses[[#This Row],[STermID]:[Description]],"Value")</f>
        <v>"6","19","1","Data Structures &amp; Algorithm Analysis"</v>
      </c>
    </row>
    <row r="325" spans="2:9" x14ac:dyDescent="0.25">
      <c r="B325">
        <v>323</v>
      </c>
      <c r="C325">
        <v>6</v>
      </c>
      <c r="D325">
        <v>19</v>
      </c>
      <c r="E325">
        <v>1</v>
      </c>
      <c r="F325" s="7" t="s">
        <v>756</v>
      </c>
      <c r="H325" t="str">
        <f t="shared" si="5"/>
        <v>(NULL,"6","19","1","Fundamentals Of Accounting"),</v>
      </c>
      <c r="I325" t="str">
        <f>TextJoin(tblClasses[[#This Row],[STermID]:[Description]],"Value")</f>
        <v>"6","19","1","Fundamentals Of Accounting"</v>
      </c>
    </row>
    <row r="326" spans="2:9" x14ac:dyDescent="0.25">
      <c r="B326">
        <v>324</v>
      </c>
      <c r="C326">
        <v>6</v>
      </c>
      <c r="D326">
        <v>19</v>
      </c>
      <c r="E326">
        <v>1</v>
      </c>
      <c r="F326" s="11" t="s">
        <v>757</v>
      </c>
      <c r="H326" t="str">
        <f t="shared" si="5"/>
        <v>(NULL,"6","19","1","Engineering Economy "),</v>
      </c>
      <c r="I326" t="str">
        <f>TextJoin(tblClasses[[#This Row],[STermID]:[Description]],"Value")</f>
        <v>"6","19","1","Engineering Economy "</v>
      </c>
    </row>
    <row r="327" spans="2:9" x14ac:dyDescent="0.25">
      <c r="B327">
        <v>325</v>
      </c>
      <c r="C327">
        <v>6</v>
      </c>
      <c r="D327">
        <v>19</v>
      </c>
      <c r="E327">
        <v>1</v>
      </c>
      <c r="F327" s="11" t="s">
        <v>616</v>
      </c>
      <c r="H327" t="str">
        <f t="shared" si="5"/>
        <v>(NULL,"6","19","1","Differential Equations"),</v>
      </c>
      <c r="I327" t="str">
        <f>TextJoin(tblClasses[[#This Row],[STermID]:[Description]],"Value")</f>
        <v>"6","19","1","Differential Equations"</v>
      </c>
    </row>
    <row r="328" spans="2:9" x14ac:dyDescent="0.25">
      <c r="B328">
        <v>326</v>
      </c>
      <c r="C328">
        <v>6</v>
      </c>
      <c r="D328">
        <v>19</v>
      </c>
      <c r="E328">
        <v>1</v>
      </c>
      <c r="F328" s="11" t="s">
        <v>758</v>
      </c>
      <c r="H328" t="str">
        <f t="shared" si="5"/>
        <v>(NULL,"6","19","1","Statics Of Rgid Bodies"),</v>
      </c>
      <c r="I328" t="str">
        <f>TextJoin(tblClasses[[#This Row],[STermID]:[Description]],"Value")</f>
        <v>"6","19","1","Statics Of Rgid Bodies"</v>
      </c>
    </row>
    <row r="329" spans="2:9" x14ac:dyDescent="0.25">
      <c r="B329">
        <v>327</v>
      </c>
      <c r="C329">
        <v>6</v>
      </c>
      <c r="D329">
        <v>19</v>
      </c>
      <c r="E329">
        <v>1</v>
      </c>
      <c r="F329" s="11" t="s">
        <v>344</v>
      </c>
      <c r="H329" t="str">
        <f t="shared" si="5"/>
        <v>(NULL,"6","19","1","Circuit Analysis 1"),</v>
      </c>
      <c r="I329" t="str">
        <f>TextJoin(tblClasses[[#This Row],[STermID]:[Description]],"Value")</f>
        <v>"6","19","1","Circuit Analysis 1"</v>
      </c>
    </row>
    <row r="330" spans="2:9" x14ac:dyDescent="0.25">
      <c r="B330">
        <v>328</v>
      </c>
      <c r="C330">
        <v>6</v>
      </c>
      <c r="D330">
        <v>19</v>
      </c>
      <c r="E330">
        <v>1</v>
      </c>
      <c r="F330" s="12" t="s">
        <v>346</v>
      </c>
      <c r="H330" t="str">
        <f t="shared" si="5"/>
        <v>(NULL,"6","19","1","Electromagnetics"),</v>
      </c>
      <c r="I330" t="str">
        <f>TextJoin(tblClasses[[#This Row],[STermID]:[Description]],"Value")</f>
        <v>"6","19","1","Electromagnetics"</v>
      </c>
    </row>
    <row r="331" spans="2:9" x14ac:dyDescent="0.25">
      <c r="B331">
        <v>329</v>
      </c>
      <c r="C331">
        <v>6</v>
      </c>
      <c r="D331">
        <v>19</v>
      </c>
      <c r="E331">
        <v>1</v>
      </c>
      <c r="F331" s="12" t="s">
        <v>348</v>
      </c>
      <c r="H331" t="str">
        <f t="shared" si="5"/>
        <v>(NULL,"6","19","1","Electronics 1"),</v>
      </c>
      <c r="I331" t="str">
        <f>TextJoin(tblClasses[[#This Row],[STermID]:[Description]],"Value")</f>
        <v>"6","19","1","Electronics 1"</v>
      </c>
    </row>
    <row r="332" spans="2:9" x14ac:dyDescent="0.25">
      <c r="B332">
        <v>330</v>
      </c>
      <c r="C332">
        <v>6</v>
      </c>
      <c r="D332">
        <v>19</v>
      </c>
      <c r="E332">
        <v>1</v>
      </c>
      <c r="F332" s="12" t="s">
        <v>759</v>
      </c>
      <c r="H332" t="str">
        <f t="shared" si="5"/>
        <v>(NULL,"6","19","1","Computer Systems Organization W/ Assembly Lang."),</v>
      </c>
      <c r="I332" t="str">
        <f>TextJoin(tblClasses[[#This Row],[STermID]:[Description]],"Value")</f>
        <v>"6","19","1","Computer Systems Organization W/ Assembly Lang."</v>
      </c>
    </row>
    <row r="333" spans="2:9" x14ac:dyDescent="0.25">
      <c r="B333">
        <v>331</v>
      </c>
      <c r="C333">
        <v>6</v>
      </c>
      <c r="D333">
        <v>19</v>
      </c>
      <c r="E333">
        <v>1</v>
      </c>
      <c r="F333" s="27" t="s">
        <v>610</v>
      </c>
      <c r="H333" t="str">
        <f t="shared" si="5"/>
        <v>(NULL,"6","19","1","Discrete Mathematics"),</v>
      </c>
      <c r="I333" t="str">
        <f>TextJoin(tblClasses[[#This Row],[STermID]:[Description]],"Value")</f>
        <v>"6","19","1","Discrete Mathematics"</v>
      </c>
    </row>
    <row r="334" spans="2:9" x14ac:dyDescent="0.25">
      <c r="B334">
        <v>332</v>
      </c>
      <c r="C334">
        <v>6</v>
      </c>
      <c r="D334">
        <v>19</v>
      </c>
      <c r="E334">
        <v>1</v>
      </c>
      <c r="F334" s="6" t="s">
        <v>476</v>
      </c>
      <c r="H334" t="str">
        <f t="shared" si="5"/>
        <v>(NULL,"6","19","1","Web Development"),</v>
      </c>
      <c r="I334" t="str">
        <f>TextJoin(tblClasses[[#This Row],[STermID]:[Description]],"Value")</f>
        <v>"6","19","1","Web Development"</v>
      </c>
    </row>
    <row r="335" spans="2:9" x14ac:dyDescent="0.25">
      <c r="B335">
        <v>333</v>
      </c>
      <c r="C335">
        <v>6</v>
      </c>
      <c r="D335">
        <v>19</v>
      </c>
      <c r="E335">
        <v>1</v>
      </c>
      <c r="F335" s="6" t="s">
        <v>389</v>
      </c>
      <c r="H335" t="str">
        <f t="shared" si="5"/>
        <v>(NULL,"6","19","1","Data Communications"),</v>
      </c>
      <c r="I335" t="str">
        <f>TextJoin(tblClasses[[#This Row],[STermID]:[Description]],"Value")</f>
        <v>"6","19","1","Data Communications"</v>
      </c>
    </row>
    <row r="336" spans="2:9" x14ac:dyDescent="0.25">
      <c r="B336">
        <v>334</v>
      </c>
      <c r="C336">
        <v>6</v>
      </c>
      <c r="D336">
        <v>19</v>
      </c>
      <c r="E336">
        <v>1</v>
      </c>
      <c r="F336" s="6" t="s">
        <v>760</v>
      </c>
      <c r="H336" t="str">
        <f t="shared" si="5"/>
        <v>(NULL,"6","19","1","It Elective 1 (Mis)"),</v>
      </c>
      <c r="I336" t="str">
        <f>TextJoin(tblClasses[[#This Row],[STermID]:[Description]],"Value")</f>
        <v>"6","19","1","It Elective 1 (Mis)"</v>
      </c>
    </row>
    <row r="337" spans="2:9" x14ac:dyDescent="0.25">
      <c r="B337">
        <v>335</v>
      </c>
      <c r="C337">
        <v>6</v>
      </c>
      <c r="D337">
        <v>19</v>
      </c>
      <c r="E337">
        <v>1</v>
      </c>
      <c r="F337" s="7" t="s">
        <v>359</v>
      </c>
      <c r="H337" t="str">
        <f t="shared" si="5"/>
        <v>(NULL,"6","19","1","CISCO 1"),</v>
      </c>
      <c r="I337" t="str">
        <f>TextJoin(tblClasses[[#This Row],[STermID]:[Description]],"Value")</f>
        <v>"6","19","1","CISCO 1"</v>
      </c>
    </row>
    <row r="338" spans="2:9" x14ac:dyDescent="0.25">
      <c r="B338">
        <v>336</v>
      </c>
      <c r="C338">
        <v>6</v>
      </c>
      <c r="D338">
        <v>19</v>
      </c>
      <c r="E338">
        <v>1</v>
      </c>
      <c r="F338" s="7" t="s">
        <v>613</v>
      </c>
      <c r="H338" t="str">
        <f t="shared" si="5"/>
        <v>(NULL,"6","19","1","Rizal'S Life, Works And Writing"),</v>
      </c>
      <c r="I338" t="str">
        <f>TextJoin(tblClasses[[#This Row],[STermID]:[Description]],"Value")</f>
        <v>"6","19","1","Rizal'S Life, Works And Writing"</v>
      </c>
    </row>
    <row r="339" spans="2:9" x14ac:dyDescent="0.25">
      <c r="B339">
        <v>337</v>
      </c>
      <c r="C339">
        <v>6</v>
      </c>
      <c r="D339">
        <v>19</v>
      </c>
      <c r="E339">
        <v>1</v>
      </c>
      <c r="F339" s="7" t="s">
        <v>483</v>
      </c>
      <c r="H339" t="str">
        <f t="shared" si="5"/>
        <v>(NULL,"6","19","1","Philippine Government &amp; Constitution"),</v>
      </c>
      <c r="I339" t="str">
        <f>TextJoin(tblClasses[[#This Row],[STermID]:[Description]],"Value")</f>
        <v>"6","19","1","Philippine Government &amp; Constitution"</v>
      </c>
    </row>
    <row r="340" spans="2:9" x14ac:dyDescent="0.25">
      <c r="B340">
        <v>338</v>
      </c>
      <c r="C340">
        <v>6</v>
      </c>
      <c r="D340">
        <v>19</v>
      </c>
      <c r="E340">
        <v>1</v>
      </c>
      <c r="F340" s="8" t="s">
        <v>333</v>
      </c>
      <c r="H340" t="str">
        <f t="shared" si="5"/>
        <v>(NULL,"6","19","1","Philippine Literature"),</v>
      </c>
      <c r="I340" t="str">
        <f>TextJoin(tblClasses[[#This Row],[STermID]:[Description]],"Value")</f>
        <v>"6","19","1","Philippine Literature"</v>
      </c>
    </row>
    <row r="341" spans="2:9" x14ac:dyDescent="0.25">
      <c r="B341">
        <v>339</v>
      </c>
      <c r="C341">
        <v>6</v>
      </c>
      <c r="D341">
        <v>19</v>
      </c>
      <c r="E341">
        <v>1</v>
      </c>
      <c r="F341" s="11" t="s">
        <v>761</v>
      </c>
      <c r="H341" t="str">
        <f t="shared" si="5"/>
        <v>(NULL,"6","19","1","Numerical Anaysis W/ Computer Pp."),</v>
      </c>
      <c r="I341" t="str">
        <f>TextJoin(tblClasses[[#This Row],[STermID]:[Description]],"Value")</f>
        <v>"6","19","1","Numerical Anaysis W/ Computer Pp."</v>
      </c>
    </row>
    <row r="342" spans="2:9" x14ac:dyDescent="0.25">
      <c r="B342">
        <v>340</v>
      </c>
      <c r="C342">
        <v>6</v>
      </c>
      <c r="D342">
        <v>19</v>
      </c>
      <c r="E342">
        <v>1</v>
      </c>
      <c r="F342" s="11" t="s">
        <v>371</v>
      </c>
      <c r="H342" t="str">
        <f t="shared" si="5"/>
        <v>(NULL,"6","19","1","CISCO 2"),</v>
      </c>
      <c r="I342" t="str">
        <f>TextJoin(tblClasses[[#This Row],[STermID]:[Description]],"Value")</f>
        <v>"6","19","1","CISCO 2"</v>
      </c>
    </row>
    <row r="343" spans="2:9" x14ac:dyDescent="0.25">
      <c r="B343">
        <v>341</v>
      </c>
      <c r="C343">
        <v>6</v>
      </c>
      <c r="D343">
        <v>19</v>
      </c>
      <c r="E343">
        <v>1</v>
      </c>
      <c r="F343" s="11" t="s">
        <v>762</v>
      </c>
      <c r="H343" t="str">
        <f t="shared" si="5"/>
        <v>(NULL,"6","19","1","Principles Of Communication "),</v>
      </c>
      <c r="I343" t="str">
        <f>TextJoin(tblClasses[[#This Row],[STermID]:[Description]],"Value")</f>
        <v>"6","19","1","Principles Of Communication "</v>
      </c>
    </row>
    <row r="344" spans="2:9" x14ac:dyDescent="0.25">
      <c r="B344">
        <v>342</v>
      </c>
      <c r="C344">
        <v>6</v>
      </c>
      <c r="D344">
        <v>19</v>
      </c>
      <c r="E344">
        <v>1</v>
      </c>
      <c r="F344" s="11" t="s">
        <v>763</v>
      </c>
      <c r="H344" t="str">
        <f t="shared" si="5"/>
        <v>(NULL,"6","19","1","Advanced Logic Design &amp; Switching Theory"),</v>
      </c>
      <c r="I344" t="str">
        <f>TextJoin(tblClasses[[#This Row],[STermID]:[Description]],"Value")</f>
        <v>"6","19","1","Advanced Logic Design &amp; Switching Theory"</v>
      </c>
    </row>
    <row r="345" spans="2:9" x14ac:dyDescent="0.25">
      <c r="B345">
        <v>343</v>
      </c>
      <c r="C345">
        <v>6</v>
      </c>
      <c r="D345">
        <v>19</v>
      </c>
      <c r="E345">
        <v>1</v>
      </c>
      <c r="F345" s="12" t="s">
        <v>377</v>
      </c>
      <c r="H345" t="str">
        <f t="shared" si="5"/>
        <v>(NULL,"6","19","1","Control Systems"),</v>
      </c>
      <c r="I345" t="str">
        <f>TextJoin(tblClasses[[#This Row],[STermID]:[Description]],"Value")</f>
        <v>"6","19","1","Control Systems"</v>
      </c>
    </row>
    <row r="346" spans="2:9" x14ac:dyDescent="0.25">
      <c r="B346">
        <v>344</v>
      </c>
      <c r="C346">
        <v>6</v>
      </c>
      <c r="D346">
        <v>19</v>
      </c>
      <c r="E346">
        <v>1</v>
      </c>
      <c r="F346" s="12" t="s">
        <v>764</v>
      </c>
      <c r="H346" t="str">
        <f t="shared" si="5"/>
        <v>(NULL,"6","19","1","Mechanics Deformable Bodies"),</v>
      </c>
      <c r="I346" t="str">
        <f>TextJoin(tblClasses[[#This Row],[STermID]:[Description]],"Value")</f>
        <v>"6","19","1","Mechanics Deformable Bodies"</v>
      </c>
    </row>
    <row r="347" spans="2:9" x14ac:dyDescent="0.25">
      <c r="B347">
        <v>345</v>
      </c>
      <c r="C347">
        <v>6</v>
      </c>
      <c r="D347">
        <v>19</v>
      </c>
      <c r="E347">
        <v>1</v>
      </c>
      <c r="F347" s="12" t="s">
        <v>765</v>
      </c>
      <c r="H347" t="str">
        <f t="shared" si="5"/>
        <v>(NULL,"6","19","1","Digital Signal Processing "),</v>
      </c>
      <c r="I347" t="str">
        <f>TextJoin(tblClasses[[#This Row],[STermID]:[Description]],"Value")</f>
        <v>"6","19","1","Digital Signal Processing "</v>
      </c>
    </row>
    <row r="348" spans="2:9" x14ac:dyDescent="0.25">
      <c r="B348">
        <v>346</v>
      </c>
      <c r="C348">
        <v>6</v>
      </c>
      <c r="D348">
        <v>19</v>
      </c>
      <c r="E348">
        <v>1</v>
      </c>
      <c r="F348" s="27" t="s">
        <v>766</v>
      </c>
      <c r="H348" t="str">
        <f t="shared" si="5"/>
        <v>(NULL,"6","19","1","Computer Engineering Drafting And Design"),</v>
      </c>
      <c r="I348" t="str">
        <f>TextJoin(tblClasses[[#This Row],[STermID]:[Description]],"Value")</f>
        <v>"6","19","1","Computer Engineering Drafting And Design"</v>
      </c>
    </row>
    <row r="349" spans="2:9" x14ac:dyDescent="0.25">
      <c r="B349">
        <v>347</v>
      </c>
      <c r="C349">
        <v>6</v>
      </c>
      <c r="D349">
        <v>19</v>
      </c>
      <c r="E349">
        <v>1</v>
      </c>
      <c r="F349" s="11" t="s">
        <v>767</v>
      </c>
      <c r="H349" t="str">
        <f t="shared" si="5"/>
        <v>(NULL,"6","19","1","Professional Ethics In It"),</v>
      </c>
      <c r="I349" t="str">
        <f>TextJoin(tblClasses[[#This Row],[STermID]:[Description]],"Value")</f>
        <v>"6","19","1","Professional Ethics In It"</v>
      </c>
    </row>
    <row r="350" spans="2:9" x14ac:dyDescent="0.25">
      <c r="B350">
        <v>348</v>
      </c>
      <c r="C350">
        <v>6</v>
      </c>
      <c r="D350">
        <v>19</v>
      </c>
      <c r="E350">
        <v>1</v>
      </c>
      <c r="F350" s="11" t="s">
        <v>501</v>
      </c>
      <c r="H350" t="str">
        <f t="shared" si="5"/>
        <v>(NULL,"6","19","1","Database Administration"),</v>
      </c>
      <c r="I350" t="str">
        <f>TextJoin(tblClasses[[#This Row],[STermID]:[Description]],"Value")</f>
        <v>"6","19","1","Database Administration"</v>
      </c>
    </row>
    <row r="351" spans="2:9" x14ac:dyDescent="0.25">
      <c r="B351">
        <v>349</v>
      </c>
      <c r="C351">
        <v>6</v>
      </c>
      <c r="D351">
        <v>19</v>
      </c>
      <c r="E351">
        <v>1</v>
      </c>
      <c r="F351" s="11" t="s">
        <v>391</v>
      </c>
      <c r="H351" t="str">
        <f t="shared" si="5"/>
        <v>(NULL,"6","19","1","Computer System Architecture"),</v>
      </c>
      <c r="I351" t="str">
        <f>TextJoin(tblClasses[[#This Row],[STermID]:[Description]],"Value")</f>
        <v>"6","19","1","Computer System Architecture"</v>
      </c>
    </row>
    <row r="352" spans="2:9" x14ac:dyDescent="0.25">
      <c r="B352">
        <v>350</v>
      </c>
      <c r="C352">
        <v>6</v>
      </c>
      <c r="D352">
        <v>19</v>
      </c>
      <c r="E352">
        <v>1</v>
      </c>
      <c r="F352" s="11" t="s">
        <v>768</v>
      </c>
      <c r="H352" t="str">
        <f t="shared" si="5"/>
        <v>(NULL,"6","19","1","Information Technology Design 1"),</v>
      </c>
      <c r="I352" t="str">
        <f>TextJoin(tblClasses[[#This Row],[STermID]:[Description]],"Value")</f>
        <v>"6","19","1","Information Technology Design 1"</v>
      </c>
    </row>
    <row r="353" spans="2:9" x14ac:dyDescent="0.25">
      <c r="B353">
        <v>351</v>
      </c>
      <c r="C353">
        <v>6</v>
      </c>
      <c r="D353">
        <v>19</v>
      </c>
      <c r="E353">
        <v>1</v>
      </c>
      <c r="F353" s="12" t="s">
        <v>769</v>
      </c>
      <c r="H353" t="str">
        <f t="shared" si="5"/>
        <v>(NULL,"6","19","1","It Elective 3(E-Business)"),</v>
      </c>
      <c r="I353" t="str">
        <f>TextJoin(tblClasses[[#This Row],[STermID]:[Description]],"Value")</f>
        <v>"6","19","1","It Elective 3(E-Business)"</v>
      </c>
    </row>
    <row r="354" spans="2:9" x14ac:dyDescent="0.25">
      <c r="B354">
        <v>352</v>
      </c>
      <c r="C354">
        <v>6</v>
      </c>
      <c r="D354">
        <v>19</v>
      </c>
      <c r="E354">
        <v>1</v>
      </c>
      <c r="F354" s="11" t="s">
        <v>415</v>
      </c>
      <c r="H354" t="str">
        <f t="shared" si="5"/>
        <v>(NULL,"6","19","1","CISCO 3"),</v>
      </c>
      <c r="I354" t="str">
        <f>TextJoin(tblClasses[[#This Row],[STermID]:[Description]],"Value")</f>
        <v>"6","19","1","CISCO 3"</v>
      </c>
    </row>
    <row r="355" spans="2:9" x14ac:dyDescent="0.25">
      <c r="B355">
        <v>353</v>
      </c>
      <c r="C355">
        <v>6</v>
      </c>
      <c r="D355">
        <v>19</v>
      </c>
      <c r="E355">
        <v>1</v>
      </c>
      <c r="F355" s="11" t="s">
        <v>401</v>
      </c>
      <c r="H355" t="str">
        <f t="shared" si="5"/>
        <v>(NULL,"6","19","1","System Analysis &amp; Design"),</v>
      </c>
      <c r="I355" t="str">
        <f>TextJoin(tblClasses[[#This Row],[STermID]:[Description]],"Value")</f>
        <v>"6","19","1","System Analysis &amp; Design"</v>
      </c>
    </row>
    <row r="356" spans="2:9" x14ac:dyDescent="0.25">
      <c r="B356">
        <v>354</v>
      </c>
      <c r="C356">
        <v>6</v>
      </c>
      <c r="D356">
        <v>19</v>
      </c>
      <c r="E356">
        <v>1</v>
      </c>
      <c r="F356" s="11" t="s">
        <v>770</v>
      </c>
      <c r="H356" t="str">
        <f t="shared" si="5"/>
        <v>(NULL,"6","19","1","Object Orriented Programming"),</v>
      </c>
      <c r="I356" t="str">
        <f>TextJoin(tblClasses[[#This Row],[STermID]:[Description]],"Value")</f>
        <v>"6","19","1","Object Orriented Programming"</v>
      </c>
    </row>
    <row r="357" spans="2:9" x14ac:dyDescent="0.25">
      <c r="B357">
        <v>355</v>
      </c>
      <c r="C357">
        <v>6</v>
      </c>
      <c r="D357">
        <v>19</v>
      </c>
      <c r="E357">
        <v>1</v>
      </c>
      <c r="F357" s="11" t="s">
        <v>771</v>
      </c>
      <c r="H357" t="str">
        <f t="shared" si="5"/>
        <v>(NULL,"6","19","1","Engineering Ethics And Computer Laws"),</v>
      </c>
      <c r="I357" t="str">
        <f>TextJoin(tblClasses[[#This Row],[STermID]:[Description]],"Value")</f>
        <v>"6","19","1","Engineering Ethics And Computer Laws"</v>
      </c>
    </row>
    <row r="358" spans="2:9" x14ac:dyDescent="0.25">
      <c r="B358">
        <v>356</v>
      </c>
      <c r="C358">
        <v>6</v>
      </c>
      <c r="D358">
        <v>19</v>
      </c>
      <c r="E358">
        <v>1</v>
      </c>
      <c r="F358" s="11" t="s">
        <v>407</v>
      </c>
      <c r="H358" t="str">
        <f t="shared" si="5"/>
        <v>(NULL,"6","19","1","Computer Networks"),</v>
      </c>
      <c r="I358" t="str">
        <f>TextJoin(tblClasses[[#This Row],[STermID]:[Description]],"Value")</f>
        <v>"6","19","1","Computer Networks"</v>
      </c>
    </row>
    <row r="359" spans="2:9" x14ac:dyDescent="0.25">
      <c r="B359">
        <v>357</v>
      </c>
      <c r="C359">
        <v>6</v>
      </c>
      <c r="D359">
        <v>19</v>
      </c>
      <c r="E359">
        <v>1</v>
      </c>
      <c r="F359" s="12" t="s">
        <v>772</v>
      </c>
      <c r="H359" t="str">
        <f t="shared" si="5"/>
        <v>(NULL,"6","19","1","Elevtive 2"),</v>
      </c>
      <c r="I359" t="str">
        <f>TextJoin(tblClasses[[#This Row],[STermID]:[Description]],"Value")</f>
        <v>"6","19","1","Elevtive 2"</v>
      </c>
    </row>
    <row r="360" spans="2:9" x14ac:dyDescent="0.25">
      <c r="B360">
        <v>358</v>
      </c>
      <c r="C360">
        <v>6</v>
      </c>
      <c r="D360">
        <v>19</v>
      </c>
      <c r="E360">
        <v>1</v>
      </c>
      <c r="F360" s="12" t="s">
        <v>411</v>
      </c>
      <c r="H360" t="str">
        <f t="shared" si="5"/>
        <v>(NULL,"6","19","1","Safety Engineering"),</v>
      </c>
      <c r="I360" t="str">
        <f>TextJoin(tblClasses[[#This Row],[STermID]:[Description]],"Value")</f>
        <v>"6","19","1","Safety Engineering"</v>
      </c>
    </row>
    <row r="361" spans="2:9" x14ac:dyDescent="0.25">
      <c r="B361">
        <v>359</v>
      </c>
      <c r="C361">
        <v>6</v>
      </c>
      <c r="D361">
        <v>19</v>
      </c>
      <c r="E361">
        <v>1</v>
      </c>
      <c r="F361" s="12" t="s">
        <v>773</v>
      </c>
      <c r="H361" t="str">
        <f t="shared" si="5"/>
        <v>(NULL,"6","19","1","Eng'G Design, Research &amp; Dev'T 1"),</v>
      </c>
      <c r="I361" t="str">
        <f>TextJoin(tblClasses[[#This Row],[STermID]:[Description]],"Value")</f>
        <v>"6","19","1","Eng'G Design, Research &amp; Dev'T 1"</v>
      </c>
    </row>
    <row r="362" spans="2:9" x14ac:dyDescent="0.25">
      <c r="B362">
        <v>360</v>
      </c>
      <c r="C362">
        <v>6</v>
      </c>
      <c r="D362">
        <v>19</v>
      </c>
      <c r="E362">
        <v>1</v>
      </c>
      <c r="F362" s="27" t="s">
        <v>508</v>
      </c>
      <c r="H362" t="str">
        <f t="shared" si="5"/>
        <v>(NULL,"6","19","1","CISCO 4"),</v>
      </c>
      <c r="I362" t="str">
        <f>TextJoin(tblClasses[[#This Row],[STermID]:[Description]],"Value")</f>
        <v>"6","19","1","CISCO 4"</v>
      </c>
    </row>
    <row r="363" spans="2:9" x14ac:dyDescent="0.25">
      <c r="B363">
        <v>361</v>
      </c>
      <c r="C363">
        <v>7</v>
      </c>
      <c r="D363">
        <v>19</v>
      </c>
      <c r="E363">
        <v>1</v>
      </c>
      <c r="F363" t="s">
        <v>288</v>
      </c>
      <c r="H363" t="str">
        <f t="shared" si="5"/>
        <v>(NULL,"7","19","1","Communication Skills 2"),</v>
      </c>
      <c r="I363" t="str">
        <f>TextJoin(tblClasses[[#This Row],[STermID]:[Description]],"Value")</f>
        <v>"7","19","1","Communication Skills 2"</v>
      </c>
    </row>
    <row r="364" spans="2:9" x14ac:dyDescent="0.25">
      <c r="B364">
        <v>362</v>
      </c>
      <c r="C364">
        <v>7</v>
      </c>
      <c r="D364">
        <v>19</v>
      </c>
      <c r="E364">
        <v>1</v>
      </c>
      <c r="F364" t="s">
        <v>290</v>
      </c>
      <c r="H364" t="str">
        <f t="shared" si="5"/>
        <v>(NULL,"7","19","1","Analytic Geometry"),</v>
      </c>
      <c r="I364" t="str">
        <f>TextJoin(tblClasses[[#This Row],[STermID]:[Description]],"Value")</f>
        <v>"7","19","1","Analytic Geometry"</v>
      </c>
    </row>
    <row r="365" spans="2:9" x14ac:dyDescent="0.25">
      <c r="B365">
        <v>363</v>
      </c>
      <c r="C365">
        <v>7</v>
      </c>
      <c r="D365">
        <v>19</v>
      </c>
      <c r="E365">
        <v>1</v>
      </c>
      <c r="F365" t="s">
        <v>292</v>
      </c>
      <c r="H365" t="str">
        <f t="shared" si="5"/>
        <v>(NULL,"7","19","1","Gamiting Filipino"),</v>
      </c>
      <c r="I365" t="str">
        <f>TextJoin(tblClasses[[#This Row],[STermID]:[Description]],"Value")</f>
        <v>"7","19","1","Gamiting Filipino"</v>
      </c>
    </row>
    <row r="366" spans="2:9" x14ac:dyDescent="0.25">
      <c r="B366">
        <v>364</v>
      </c>
      <c r="C366">
        <v>7</v>
      </c>
      <c r="D366">
        <v>19</v>
      </c>
      <c r="E366">
        <v>1</v>
      </c>
      <c r="F366" t="s">
        <v>785</v>
      </c>
      <c r="H366" t="str">
        <f t="shared" si="5"/>
        <v>(NULL,"7","19","1","Advanced Algebra"),</v>
      </c>
      <c r="I366" t="str">
        <f>TextJoin(tblClasses[[#This Row],[STermID]:[Description]],"Value")</f>
        <v>"7","19","1","Advanced Algebra"</v>
      </c>
    </row>
    <row r="367" spans="2:9" x14ac:dyDescent="0.25">
      <c r="B367">
        <v>365</v>
      </c>
      <c r="C367">
        <v>7</v>
      </c>
      <c r="D367">
        <v>19</v>
      </c>
      <c r="E367">
        <v>1</v>
      </c>
      <c r="F367" t="s">
        <v>296</v>
      </c>
      <c r="H367" t="str">
        <f t="shared" si="5"/>
        <v>(NULL,"7","19","1","Solid Mensuration"),</v>
      </c>
      <c r="I367" t="str">
        <f>TextJoin(tblClasses[[#This Row],[STermID]:[Description]],"Value")</f>
        <v>"7","19","1","Solid Mensuration"</v>
      </c>
    </row>
    <row r="368" spans="2:9" x14ac:dyDescent="0.25">
      <c r="B368">
        <v>366</v>
      </c>
      <c r="C368">
        <v>7</v>
      </c>
      <c r="D368">
        <v>19</v>
      </c>
      <c r="E368">
        <v>1</v>
      </c>
      <c r="F368" t="s">
        <v>613</v>
      </c>
      <c r="H368" t="str">
        <f t="shared" si="5"/>
        <v>(NULL,"7","19","1","Rizal'S Life, Works And Writing"),</v>
      </c>
      <c r="I368" t="str">
        <f>TextJoin(tblClasses[[#This Row],[STermID]:[Description]],"Value")</f>
        <v>"7","19","1","Rizal'S Life, Works And Writing"</v>
      </c>
    </row>
    <row r="369" spans="2:9" x14ac:dyDescent="0.25">
      <c r="B369">
        <v>367</v>
      </c>
      <c r="C369">
        <v>7</v>
      </c>
      <c r="D369">
        <v>19</v>
      </c>
      <c r="E369">
        <v>1</v>
      </c>
      <c r="F369" t="s">
        <v>299</v>
      </c>
      <c r="H369" t="str">
        <f t="shared" si="5"/>
        <v>(NULL,"7","19","1","Computer Aided Drafting"),</v>
      </c>
      <c r="I369" t="str">
        <f>TextJoin(tblClasses[[#This Row],[STermID]:[Description]],"Value")</f>
        <v>"7","19","1","Computer Aided Drafting"</v>
      </c>
    </row>
    <row r="370" spans="2:9" x14ac:dyDescent="0.25">
      <c r="B370">
        <v>368</v>
      </c>
      <c r="C370">
        <v>7</v>
      </c>
      <c r="D370">
        <v>19</v>
      </c>
      <c r="E370">
        <v>1</v>
      </c>
      <c r="F370" t="s">
        <v>786</v>
      </c>
      <c r="H370" t="str">
        <f t="shared" si="5"/>
        <v>(NULL,"7","19","1","Rhytmic Activities (Dances)"),</v>
      </c>
      <c r="I370" t="str">
        <f>TextJoin(tblClasses[[#This Row],[STermID]:[Description]],"Value")</f>
        <v>"7","19","1","Rhytmic Activities (Dances)"</v>
      </c>
    </row>
    <row r="371" spans="2:9" x14ac:dyDescent="0.25">
      <c r="B371">
        <v>369</v>
      </c>
      <c r="C371">
        <v>7</v>
      </c>
      <c r="D371">
        <v>19</v>
      </c>
      <c r="E371">
        <v>1</v>
      </c>
      <c r="F371" t="s">
        <v>303</v>
      </c>
      <c r="H371" t="str">
        <f t="shared" si="5"/>
        <v>(NULL,"7","19","1","National Service Training Program 2"),</v>
      </c>
      <c r="I371" t="str">
        <f>TextJoin(tblClasses[[#This Row],[STermID]:[Description]],"Value")</f>
        <v>"7","19","1","National Service Training Program 2"</v>
      </c>
    </row>
    <row r="372" spans="2:9" x14ac:dyDescent="0.25">
      <c r="B372">
        <v>370</v>
      </c>
      <c r="C372">
        <v>7</v>
      </c>
      <c r="D372">
        <v>19</v>
      </c>
      <c r="E372">
        <v>1</v>
      </c>
      <c r="F372" t="s">
        <v>787</v>
      </c>
      <c r="H372" t="str">
        <f t="shared" si="5"/>
        <v>(NULL,"7","19","1","Philosophy Of Man"),</v>
      </c>
      <c r="I372" t="str">
        <f>TextJoin(tblClasses[[#This Row],[STermID]:[Description]],"Value")</f>
        <v>"7","19","1","Philosophy Of Man"</v>
      </c>
    </row>
    <row r="373" spans="2:9" x14ac:dyDescent="0.25">
      <c r="B373">
        <v>371</v>
      </c>
      <c r="C373">
        <v>7</v>
      </c>
      <c r="D373">
        <v>19</v>
      </c>
      <c r="E373">
        <v>1</v>
      </c>
      <c r="F373" t="s">
        <v>788</v>
      </c>
      <c r="H373" t="str">
        <f t="shared" si="5"/>
        <v>(NULL,"7","19","1","Pagbasa At Pagsulat Tungo Sa Pananaliksik"),</v>
      </c>
      <c r="I373" t="str">
        <f>TextJoin(tblClasses[[#This Row],[STermID]:[Description]],"Value")</f>
        <v>"7","19","1","Pagbasa At Pagsulat Tungo Sa Pananaliksik"</v>
      </c>
    </row>
    <row r="374" spans="2:9" x14ac:dyDescent="0.25">
      <c r="B374">
        <v>372</v>
      </c>
      <c r="C374">
        <v>7</v>
      </c>
      <c r="D374">
        <v>19</v>
      </c>
      <c r="E374">
        <v>1</v>
      </c>
      <c r="F374" t="s">
        <v>440</v>
      </c>
      <c r="H374" t="str">
        <f t="shared" si="5"/>
        <v>(NULL,"7","19","1","Trigonometry"),</v>
      </c>
      <c r="I374" t="str">
        <f>TextJoin(tblClasses[[#This Row],[STermID]:[Description]],"Value")</f>
        <v>"7","19","1","Trigonometry"</v>
      </c>
    </row>
    <row r="375" spans="2:9" x14ac:dyDescent="0.25">
      <c r="B375">
        <v>373</v>
      </c>
      <c r="C375">
        <v>7</v>
      </c>
      <c r="D375">
        <v>19</v>
      </c>
      <c r="E375">
        <v>1</v>
      </c>
      <c r="F375" t="s">
        <v>442</v>
      </c>
      <c r="H375" t="str">
        <f t="shared" si="5"/>
        <v>(NULL,"7","19","1","Programming 2 (C++)"),</v>
      </c>
      <c r="I375" t="str">
        <f>TextJoin(tblClasses[[#This Row],[STermID]:[Description]],"Value")</f>
        <v>"7","19","1","Programming 2 (C++)"</v>
      </c>
    </row>
    <row r="376" spans="2:9" x14ac:dyDescent="0.25">
      <c r="B376">
        <v>374</v>
      </c>
      <c r="C376">
        <v>7</v>
      </c>
      <c r="D376">
        <v>19</v>
      </c>
      <c r="E376">
        <v>1</v>
      </c>
      <c r="F376" t="s">
        <v>444</v>
      </c>
      <c r="H376" t="str">
        <f t="shared" si="5"/>
        <v>(NULL,"7","19","1","Applied Operating System"),</v>
      </c>
      <c r="I376" t="str">
        <f>TextJoin(tblClasses[[#This Row],[STermID]:[Description]],"Value")</f>
        <v>"7","19","1","Applied Operating System"</v>
      </c>
    </row>
    <row r="377" spans="2:9" x14ac:dyDescent="0.25">
      <c r="B377">
        <v>375</v>
      </c>
      <c r="C377">
        <v>7</v>
      </c>
      <c r="D377">
        <v>19</v>
      </c>
      <c r="E377">
        <v>1</v>
      </c>
      <c r="F377" t="s">
        <v>789</v>
      </c>
      <c r="H377" t="str">
        <f t="shared" si="5"/>
        <v>(NULL,"7","19","1","Quality, Conciousness, Habits And Processes"),</v>
      </c>
      <c r="I377" t="str">
        <f>TextJoin(tblClasses[[#This Row],[STermID]:[Description]],"Value")</f>
        <v>"7","19","1","Quality, Conciousness, Habits And Processes"</v>
      </c>
    </row>
    <row r="378" spans="2:9" x14ac:dyDescent="0.25">
      <c r="B378">
        <v>376</v>
      </c>
      <c r="C378">
        <v>7</v>
      </c>
      <c r="D378">
        <v>19</v>
      </c>
      <c r="E378">
        <v>1</v>
      </c>
      <c r="F378" t="s">
        <v>787</v>
      </c>
      <c r="H378" t="str">
        <f t="shared" si="5"/>
        <v>(NULL,"7","19","1","Philosophy Of Man"),</v>
      </c>
      <c r="I378" t="str">
        <f>TextJoin(tblClasses[[#This Row],[STermID]:[Description]],"Value")</f>
        <v>"7","19","1","Philosophy Of Man"</v>
      </c>
    </row>
    <row r="379" spans="2:9" x14ac:dyDescent="0.25">
      <c r="B379">
        <v>377</v>
      </c>
      <c r="C379">
        <v>7</v>
      </c>
      <c r="D379">
        <v>19</v>
      </c>
      <c r="E379">
        <v>1</v>
      </c>
      <c r="F379" t="s">
        <v>311</v>
      </c>
      <c r="H379" t="str">
        <f t="shared" si="5"/>
        <v>(NULL,"7","19","1","General Physics 1"),</v>
      </c>
      <c r="I379" t="str">
        <f>TextJoin(tblClasses[[#This Row],[STermID]:[Description]],"Value")</f>
        <v>"7","19","1","General Physics 1"</v>
      </c>
    </row>
    <row r="380" spans="2:9" x14ac:dyDescent="0.25">
      <c r="B380">
        <v>378</v>
      </c>
      <c r="C380">
        <v>7</v>
      </c>
      <c r="D380">
        <v>19</v>
      </c>
      <c r="E380">
        <v>1</v>
      </c>
      <c r="F380" t="s">
        <v>790</v>
      </c>
      <c r="H380" t="str">
        <f t="shared" si="5"/>
        <v>(NULL,"7","19","1","Statistics And Probabilities"),</v>
      </c>
      <c r="I380" t="str">
        <f>TextJoin(tblClasses[[#This Row],[STermID]:[Description]],"Value")</f>
        <v>"7","19","1","Statistics And Probabilities"</v>
      </c>
    </row>
    <row r="381" spans="2:9" x14ac:dyDescent="0.25">
      <c r="B381">
        <v>379</v>
      </c>
      <c r="C381">
        <v>7</v>
      </c>
      <c r="D381">
        <v>19</v>
      </c>
      <c r="E381">
        <v>1</v>
      </c>
      <c r="F381" t="s">
        <v>325</v>
      </c>
      <c r="H381" t="str">
        <f t="shared" si="5"/>
        <v>(NULL,"7","19","1","Integral Calculus"),</v>
      </c>
      <c r="I381" t="str">
        <f>TextJoin(tblClasses[[#This Row],[STermID]:[Description]],"Value")</f>
        <v>"7","19","1","Integral Calculus"</v>
      </c>
    </row>
    <row r="382" spans="2:9" x14ac:dyDescent="0.25">
      <c r="B382">
        <v>380</v>
      </c>
      <c r="C382">
        <v>7</v>
      </c>
      <c r="D382">
        <v>19</v>
      </c>
      <c r="E382">
        <v>1</v>
      </c>
      <c r="F382" t="s">
        <v>327</v>
      </c>
      <c r="H382" t="str">
        <f t="shared" si="5"/>
        <v>(NULL,"7","19","1","General Physics 2"),</v>
      </c>
      <c r="I382" t="str">
        <f>TextJoin(tblClasses[[#This Row],[STermID]:[Description]],"Value")</f>
        <v>"7","19","1","General Physics 2"</v>
      </c>
    </row>
    <row r="383" spans="2:9" x14ac:dyDescent="0.25">
      <c r="B383">
        <v>381</v>
      </c>
      <c r="C383">
        <v>7</v>
      </c>
      <c r="D383">
        <v>19</v>
      </c>
      <c r="E383">
        <v>1</v>
      </c>
      <c r="F383" t="s">
        <v>329</v>
      </c>
      <c r="H383" t="str">
        <f t="shared" si="5"/>
        <v>(NULL,"7","19","1","Data Structure &amp; Algorithm Analysis"),</v>
      </c>
      <c r="I383" t="str">
        <f>TextJoin(tblClasses[[#This Row],[STermID]:[Description]],"Value")</f>
        <v>"7","19","1","Data Structure &amp; Algorithm Analysis"</v>
      </c>
    </row>
    <row r="384" spans="2:9" x14ac:dyDescent="0.25">
      <c r="B384">
        <v>382</v>
      </c>
      <c r="C384">
        <v>7</v>
      </c>
      <c r="D384">
        <v>19</v>
      </c>
      <c r="E384">
        <v>1</v>
      </c>
      <c r="F384" t="s">
        <v>331</v>
      </c>
      <c r="H384" t="str">
        <f t="shared" si="5"/>
        <v>(NULL,"7","19","1","General Psychology"),</v>
      </c>
      <c r="I384" t="str">
        <f>TextJoin(tblClasses[[#This Row],[STermID]:[Description]],"Value")</f>
        <v>"7","19","1","General Psychology"</v>
      </c>
    </row>
    <row r="385" spans="2:9" x14ac:dyDescent="0.25">
      <c r="B385">
        <v>383</v>
      </c>
      <c r="C385">
        <v>7</v>
      </c>
      <c r="D385">
        <v>19</v>
      </c>
      <c r="E385">
        <v>1</v>
      </c>
      <c r="F385" t="s">
        <v>333</v>
      </c>
      <c r="H385" t="str">
        <f t="shared" si="5"/>
        <v>(NULL,"7","19","1","Philippine Literature"),</v>
      </c>
      <c r="I385" t="str">
        <f>TextJoin(tblClasses[[#This Row],[STermID]:[Description]],"Value")</f>
        <v>"7","19","1","Philippine Literature"</v>
      </c>
    </row>
    <row r="386" spans="2:9" x14ac:dyDescent="0.25">
      <c r="B386">
        <v>384</v>
      </c>
      <c r="C386">
        <v>7</v>
      </c>
      <c r="D386">
        <v>19</v>
      </c>
      <c r="E386">
        <v>1</v>
      </c>
      <c r="F386" t="s">
        <v>335</v>
      </c>
      <c r="H386" t="str">
        <f t="shared" si="5"/>
        <v>(NULL,"7","19","1","Group Games"),</v>
      </c>
      <c r="I386" t="str">
        <f>TextJoin(tblClasses[[#This Row],[STermID]:[Description]],"Value")</f>
        <v>"7","19","1","Group Games"</v>
      </c>
    </row>
    <row r="387" spans="2:9" x14ac:dyDescent="0.25">
      <c r="B387">
        <v>385</v>
      </c>
      <c r="C387">
        <v>7</v>
      </c>
      <c r="D387">
        <v>19</v>
      </c>
      <c r="E387">
        <v>1</v>
      </c>
      <c r="F387" t="s">
        <v>461</v>
      </c>
      <c r="H387" t="str">
        <f t="shared" si="5"/>
        <v>(NULL,"7","19","1","Database Management System"),</v>
      </c>
      <c r="I387" t="str">
        <f>TextJoin(tblClasses[[#This Row],[STermID]:[Description]],"Value")</f>
        <v>"7","19","1","Database Management System"</v>
      </c>
    </row>
    <row r="388" spans="2:9" x14ac:dyDescent="0.25">
      <c r="B388">
        <v>386</v>
      </c>
      <c r="C388">
        <v>7</v>
      </c>
      <c r="D388">
        <v>19</v>
      </c>
      <c r="E388">
        <v>1</v>
      </c>
      <c r="F388" t="s">
        <v>791</v>
      </c>
      <c r="H388" t="str">
        <f t="shared" ref="H388:H451" si="6">"(NULL,"&amp;I388&amp;")"&amp;IF(H389&lt;&gt;"",",",";")</f>
        <v>(NULL,"7","19","1","System Analysis And Design"),</v>
      </c>
      <c r="I388" t="str">
        <f>TextJoin(tblClasses[[#This Row],[STermID]:[Description]],"Value")</f>
        <v>"7","19","1","System Analysis And Design"</v>
      </c>
    </row>
    <row r="389" spans="2:9" x14ac:dyDescent="0.25">
      <c r="B389">
        <v>387</v>
      </c>
      <c r="C389">
        <v>7</v>
      </c>
      <c r="D389">
        <v>19</v>
      </c>
      <c r="E389">
        <v>1</v>
      </c>
      <c r="F389" t="s">
        <v>464</v>
      </c>
      <c r="H389" t="str">
        <f t="shared" si="6"/>
        <v>(NULL,"7","19","1","Network Management"),</v>
      </c>
      <c r="I389" t="str">
        <f>TextJoin(tblClasses[[#This Row],[STermID]:[Description]],"Value")</f>
        <v>"7","19","1","Network Management"</v>
      </c>
    </row>
    <row r="390" spans="2:9" x14ac:dyDescent="0.25">
      <c r="B390">
        <v>388</v>
      </c>
      <c r="C390">
        <v>7</v>
      </c>
      <c r="D390">
        <v>19</v>
      </c>
      <c r="E390">
        <v>1</v>
      </c>
      <c r="F390" t="s">
        <v>792</v>
      </c>
      <c r="H390" t="str">
        <f t="shared" si="6"/>
        <v>(NULL,"7","19","1","Logic Design &amp; Switching Theory"),</v>
      </c>
      <c r="I390" t="str">
        <f>TextJoin(tblClasses[[#This Row],[STermID]:[Description]],"Value")</f>
        <v>"7","19","1","Logic Design &amp; Switching Theory"</v>
      </c>
    </row>
    <row r="391" spans="2:9" x14ac:dyDescent="0.25">
      <c r="B391">
        <v>389</v>
      </c>
      <c r="C391">
        <v>7</v>
      </c>
      <c r="D391">
        <v>19</v>
      </c>
      <c r="E391">
        <v>1</v>
      </c>
      <c r="F391" t="s">
        <v>468</v>
      </c>
      <c r="H391" t="str">
        <f t="shared" si="6"/>
        <v>(NULL,"7","19","1","Free Elective (SAP)"),</v>
      </c>
      <c r="I391" t="str">
        <f>TextJoin(tblClasses[[#This Row],[STermID]:[Description]],"Value")</f>
        <v>"7","19","1","Free Elective (SAP)"</v>
      </c>
    </row>
    <row r="392" spans="2:9" x14ac:dyDescent="0.25">
      <c r="B392">
        <v>390</v>
      </c>
      <c r="C392">
        <v>7</v>
      </c>
      <c r="D392">
        <v>19</v>
      </c>
      <c r="E392">
        <v>1</v>
      </c>
      <c r="F392" t="s">
        <v>473</v>
      </c>
      <c r="H392" t="str">
        <f t="shared" si="6"/>
        <v>(NULL,"7","19","1","Philippine History"),</v>
      </c>
      <c r="I392" t="str">
        <f>TextJoin(tblClasses[[#This Row],[STermID]:[Description]],"Value")</f>
        <v>"7","19","1","Philippine History"</v>
      </c>
    </row>
    <row r="393" spans="2:9" x14ac:dyDescent="0.25">
      <c r="B393">
        <v>391</v>
      </c>
      <c r="C393">
        <v>7</v>
      </c>
      <c r="D393">
        <v>19</v>
      </c>
      <c r="E393">
        <v>1</v>
      </c>
      <c r="F393" t="s">
        <v>353</v>
      </c>
      <c r="H393" t="str">
        <f t="shared" si="6"/>
        <v>(NULL,"7","19","1","Advance Engineering Mathematics"),</v>
      </c>
      <c r="I393" t="str">
        <f>TextJoin(tblClasses[[#This Row],[STermID]:[Description]],"Value")</f>
        <v>"7","19","1","Advance Engineering Mathematics"</v>
      </c>
    </row>
    <row r="394" spans="2:9" x14ac:dyDescent="0.25">
      <c r="B394">
        <v>392</v>
      </c>
      <c r="C394">
        <v>7</v>
      </c>
      <c r="D394">
        <v>19</v>
      </c>
      <c r="E394">
        <v>1</v>
      </c>
      <c r="F394" t="s">
        <v>793</v>
      </c>
      <c r="H394" t="str">
        <f t="shared" si="6"/>
        <v>(NULL,"7","19","1","Dynamics Of Rigid Bodies"),</v>
      </c>
      <c r="I394" t="str">
        <f>TextJoin(tblClasses[[#This Row],[STermID]:[Description]],"Value")</f>
        <v>"7","19","1","Dynamics Of Rigid Bodies"</v>
      </c>
    </row>
    <row r="395" spans="2:9" x14ac:dyDescent="0.25">
      <c r="B395">
        <v>393</v>
      </c>
      <c r="C395">
        <v>7</v>
      </c>
      <c r="D395">
        <v>19</v>
      </c>
      <c r="E395">
        <v>1</v>
      </c>
      <c r="F395" t="s">
        <v>357</v>
      </c>
      <c r="H395" t="str">
        <f t="shared" si="6"/>
        <v>(NULL,"7","19","1","Engineering Materials"),</v>
      </c>
      <c r="I395" t="str">
        <f>TextJoin(tblClasses[[#This Row],[STermID]:[Description]],"Value")</f>
        <v>"7","19","1","Engineering Materials"</v>
      </c>
    </row>
    <row r="396" spans="2:9" x14ac:dyDescent="0.25">
      <c r="B396">
        <v>394</v>
      </c>
      <c r="C396">
        <v>7</v>
      </c>
      <c r="D396">
        <v>19</v>
      </c>
      <c r="E396">
        <v>1</v>
      </c>
      <c r="F396" t="s">
        <v>359</v>
      </c>
      <c r="H396" t="str">
        <f t="shared" si="6"/>
        <v>(NULL,"7","19","1","CISCO 1"),</v>
      </c>
      <c r="I396" t="str">
        <f>TextJoin(tblClasses[[#This Row],[STermID]:[Description]],"Value")</f>
        <v>"7","19","1","CISCO 1"</v>
      </c>
    </row>
    <row r="397" spans="2:9" x14ac:dyDescent="0.25">
      <c r="B397">
        <v>395</v>
      </c>
      <c r="C397">
        <v>7</v>
      </c>
      <c r="D397">
        <v>19</v>
      </c>
      <c r="E397">
        <v>1</v>
      </c>
      <c r="F397" t="s">
        <v>361</v>
      </c>
      <c r="H397" t="str">
        <f t="shared" si="6"/>
        <v>(NULL,"7","19","1","Electronics 2"),</v>
      </c>
      <c r="I397" t="str">
        <f>TextJoin(tblClasses[[#This Row],[STermID]:[Description]],"Value")</f>
        <v>"7","19","1","Electronics 2"</v>
      </c>
    </row>
    <row r="398" spans="2:9" x14ac:dyDescent="0.25">
      <c r="B398">
        <v>396</v>
      </c>
      <c r="C398">
        <v>7</v>
      </c>
      <c r="D398">
        <v>19</v>
      </c>
      <c r="E398">
        <v>1</v>
      </c>
      <c r="F398" t="s">
        <v>363</v>
      </c>
      <c r="H398" t="str">
        <f t="shared" si="6"/>
        <v>(NULL,"7","19","1","Circuit Analysis 2"),</v>
      </c>
      <c r="I398" t="str">
        <f>TextJoin(tblClasses[[#This Row],[STermID]:[Description]],"Value")</f>
        <v>"7","19","1","Circuit Analysis 2"</v>
      </c>
    </row>
    <row r="399" spans="2:9" x14ac:dyDescent="0.25">
      <c r="B399">
        <v>397</v>
      </c>
      <c r="C399">
        <v>7</v>
      </c>
      <c r="D399">
        <v>19</v>
      </c>
      <c r="E399">
        <v>1</v>
      </c>
      <c r="F399" t="s">
        <v>365</v>
      </c>
      <c r="H399" t="str">
        <f t="shared" si="6"/>
        <v>(NULL,"7","19","1","Logic Circuit &amp; Switching Theory"),</v>
      </c>
      <c r="I399" t="str">
        <f>TextJoin(tblClasses[[#This Row],[STermID]:[Description]],"Value")</f>
        <v>"7","19","1","Logic Circuit &amp; Switching Theory"</v>
      </c>
    </row>
    <row r="400" spans="2:9" x14ac:dyDescent="0.25">
      <c r="B400">
        <v>398</v>
      </c>
      <c r="C400">
        <v>7</v>
      </c>
      <c r="D400">
        <v>19</v>
      </c>
      <c r="E400">
        <v>1</v>
      </c>
      <c r="F400" t="s">
        <v>367</v>
      </c>
      <c r="H400" t="str">
        <f t="shared" si="6"/>
        <v>(NULL,"7","19","1","Operating System"),</v>
      </c>
      <c r="I400" t="str">
        <f>TextJoin(tblClasses[[#This Row],[STermID]:[Description]],"Value")</f>
        <v>"7","19","1","Operating System"</v>
      </c>
    </row>
    <row r="401" spans="2:9" x14ac:dyDescent="0.25">
      <c r="B401">
        <v>399</v>
      </c>
      <c r="C401">
        <v>7</v>
      </c>
      <c r="D401">
        <v>19</v>
      </c>
      <c r="E401">
        <v>1</v>
      </c>
      <c r="F401" t="s">
        <v>794</v>
      </c>
      <c r="H401" t="str">
        <f t="shared" si="6"/>
        <v>(NULL,"7","19","1","Software Enginnering"),</v>
      </c>
      <c r="I401" t="str">
        <f>TextJoin(tblClasses[[#This Row],[STermID]:[Description]],"Value")</f>
        <v>"7","19","1","Software Enginnering"</v>
      </c>
    </row>
    <row r="402" spans="2:9" x14ac:dyDescent="0.25">
      <c r="B402">
        <v>400</v>
      </c>
      <c r="C402">
        <v>7</v>
      </c>
      <c r="D402">
        <v>19</v>
      </c>
      <c r="E402">
        <v>1</v>
      </c>
      <c r="F402" t="s">
        <v>795</v>
      </c>
      <c r="H402" t="str">
        <f t="shared" si="6"/>
        <v>(NULL,"7","19","1","Multimedia Systems"),</v>
      </c>
      <c r="I402" t="str">
        <f>TextJoin(tblClasses[[#This Row],[STermID]:[Description]],"Value")</f>
        <v>"7","19","1","Multimedia Systems"</v>
      </c>
    </row>
    <row r="403" spans="2:9" x14ac:dyDescent="0.25">
      <c r="B403">
        <v>401</v>
      </c>
      <c r="C403">
        <v>7</v>
      </c>
      <c r="D403">
        <v>19</v>
      </c>
      <c r="E403">
        <v>1</v>
      </c>
      <c r="F403" t="s">
        <v>490</v>
      </c>
      <c r="H403" t="str">
        <f t="shared" si="6"/>
        <v>(NULL,"7","19","1","Advance Database Management Systems"),</v>
      </c>
      <c r="I403" t="str">
        <f>TextJoin(tblClasses[[#This Row],[STermID]:[Description]],"Value")</f>
        <v>"7","19","1","Advance Database Management Systems"</v>
      </c>
    </row>
    <row r="404" spans="2:9" x14ac:dyDescent="0.25">
      <c r="B404">
        <v>402</v>
      </c>
      <c r="C404">
        <v>7</v>
      </c>
      <c r="D404">
        <v>19</v>
      </c>
      <c r="E404">
        <v>1</v>
      </c>
      <c r="F404" t="s">
        <v>492</v>
      </c>
      <c r="H404" t="str">
        <f t="shared" si="6"/>
        <v>(NULL,"7","19","1","Technopreneurship"),</v>
      </c>
      <c r="I404" t="str">
        <f>TextJoin(tblClasses[[#This Row],[STermID]:[Description]],"Value")</f>
        <v>"7","19","1","Technopreneurship"</v>
      </c>
    </row>
    <row r="405" spans="2:9" x14ac:dyDescent="0.25">
      <c r="B405">
        <v>403</v>
      </c>
      <c r="C405">
        <v>7</v>
      </c>
      <c r="D405">
        <v>19</v>
      </c>
      <c r="E405">
        <v>1</v>
      </c>
      <c r="F405" t="s">
        <v>371</v>
      </c>
      <c r="H405" t="str">
        <f t="shared" si="6"/>
        <v>(NULL,"7","19","1","CISCO 2"),</v>
      </c>
      <c r="I405" t="str">
        <f>TextJoin(tblClasses[[#This Row],[STermID]:[Description]],"Value")</f>
        <v>"7","19","1","CISCO 2"</v>
      </c>
    </row>
    <row r="406" spans="2:9" x14ac:dyDescent="0.25">
      <c r="B406">
        <v>404</v>
      </c>
      <c r="C406">
        <v>7</v>
      </c>
      <c r="D406">
        <v>19</v>
      </c>
      <c r="E406">
        <v>1</v>
      </c>
      <c r="F406" t="s">
        <v>796</v>
      </c>
      <c r="H406" t="str">
        <f t="shared" si="6"/>
        <v>(NULL,"7","19","1","Society &amp; Culture W/ Hiv Aids Education"),</v>
      </c>
      <c r="I406" t="str">
        <f>TextJoin(tblClasses[[#This Row],[STermID]:[Description]],"Value")</f>
        <v>"7","19","1","Society &amp; Culture W/ Hiv Aids Education"</v>
      </c>
    </row>
    <row r="407" spans="2:9" x14ac:dyDescent="0.25">
      <c r="B407">
        <v>405</v>
      </c>
      <c r="C407">
        <v>7</v>
      </c>
      <c r="D407">
        <v>19</v>
      </c>
      <c r="E407">
        <v>1</v>
      </c>
      <c r="F407" t="s">
        <v>797</v>
      </c>
      <c r="H407" t="str">
        <f t="shared" si="6"/>
        <v>(NULL,"7","19","1","It Elective 2 (Network Administration)"),</v>
      </c>
      <c r="I407" t="str">
        <f>TextJoin(tblClasses[[#This Row],[STermID]:[Description]],"Value")</f>
        <v>"7","19","1","It Elective 2 (Network Administration)"</v>
      </c>
    </row>
    <row r="408" spans="2:9" x14ac:dyDescent="0.25">
      <c r="B408">
        <v>406</v>
      </c>
      <c r="C408">
        <v>7</v>
      </c>
      <c r="D408">
        <v>19</v>
      </c>
      <c r="E408">
        <v>1</v>
      </c>
      <c r="F408" t="s">
        <v>796</v>
      </c>
      <c r="H408" t="str">
        <f t="shared" si="6"/>
        <v>(NULL,"7","19","1","Society &amp; Culture W/ Hiv Aids Education"),</v>
      </c>
      <c r="I408" t="str">
        <f>TextJoin(tblClasses[[#This Row],[STermID]:[Description]],"Value")</f>
        <v>"7","19","1","Society &amp; Culture W/ Hiv Aids Education"</v>
      </c>
    </row>
    <row r="409" spans="2:9" x14ac:dyDescent="0.25">
      <c r="B409">
        <v>407</v>
      </c>
      <c r="C409">
        <v>7</v>
      </c>
      <c r="D409">
        <v>19</v>
      </c>
      <c r="E409">
        <v>1</v>
      </c>
      <c r="F409" t="s">
        <v>387</v>
      </c>
      <c r="H409" t="str">
        <f t="shared" si="6"/>
        <v>(NULL,"7","19","1","Microprocessor &amp; Microcontroller Systems"),</v>
      </c>
      <c r="I409" t="str">
        <f>TextJoin(tblClasses[[#This Row],[STermID]:[Description]],"Value")</f>
        <v>"7","19","1","Microprocessor &amp; Microcontroller Systems"</v>
      </c>
    </row>
    <row r="410" spans="2:9" x14ac:dyDescent="0.25">
      <c r="B410">
        <v>408</v>
      </c>
      <c r="C410">
        <v>7</v>
      </c>
      <c r="D410">
        <v>19</v>
      </c>
      <c r="E410">
        <v>1</v>
      </c>
      <c r="F410" t="s">
        <v>389</v>
      </c>
      <c r="H410" t="str">
        <f t="shared" si="6"/>
        <v>(NULL,"7","19","1","Data Communications"),</v>
      </c>
      <c r="I410" t="str">
        <f>TextJoin(tblClasses[[#This Row],[STermID]:[Description]],"Value")</f>
        <v>"7","19","1","Data Communications"</v>
      </c>
    </row>
    <row r="411" spans="2:9" x14ac:dyDescent="0.25">
      <c r="B411">
        <v>409</v>
      </c>
      <c r="C411">
        <v>7</v>
      </c>
      <c r="D411">
        <v>19</v>
      </c>
      <c r="E411">
        <v>1</v>
      </c>
      <c r="F411" t="s">
        <v>391</v>
      </c>
      <c r="H411" t="str">
        <f t="shared" si="6"/>
        <v>(NULL,"7","19","1","Computer System Architecture"),</v>
      </c>
      <c r="I411" t="str">
        <f>TextJoin(tblClasses[[#This Row],[STermID]:[Description]],"Value")</f>
        <v>"7","19","1","Computer System Architecture"</v>
      </c>
    </row>
    <row r="412" spans="2:9" x14ac:dyDescent="0.25">
      <c r="B412">
        <v>410</v>
      </c>
      <c r="C412">
        <v>7</v>
      </c>
      <c r="D412">
        <v>19</v>
      </c>
      <c r="E412">
        <v>1</v>
      </c>
      <c r="F412" t="s">
        <v>393</v>
      </c>
      <c r="H412" t="str">
        <f t="shared" si="6"/>
        <v>(NULL,"7","19","1","Environmental Engineering"),</v>
      </c>
      <c r="I412" t="str">
        <f>TextJoin(tblClasses[[#This Row],[STermID]:[Description]],"Value")</f>
        <v>"7","19","1","Environmental Engineering"</v>
      </c>
    </row>
    <row r="413" spans="2:9" x14ac:dyDescent="0.25">
      <c r="B413">
        <v>411</v>
      </c>
      <c r="C413">
        <v>7</v>
      </c>
      <c r="D413">
        <v>19</v>
      </c>
      <c r="E413">
        <v>1</v>
      </c>
      <c r="F413" t="s">
        <v>415</v>
      </c>
      <c r="H413" t="str">
        <f t="shared" si="6"/>
        <v>(NULL,"7","19","1","CISCO 3"),</v>
      </c>
      <c r="I413" t="str">
        <f>TextJoin(tblClasses[[#This Row],[STermID]:[Description]],"Value")</f>
        <v>"7","19","1","CISCO 3"</v>
      </c>
    </row>
    <row r="414" spans="2:9" x14ac:dyDescent="0.25">
      <c r="B414">
        <v>412</v>
      </c>
      <c r="C414">
        <v>7</v>
      </c>
      <c r="D414">
        <v>19</v>
      </c>
      <c r="E414">
        <v>1</v>
      </c>
      <c r="F414" t="s">
        <v>396</v>
      </c>
      <c r="H414" t="str">
        <f t="shared" si="6"/>
        <v>(NULL,"7","19","1","Elective 1"),</v>
      </c>
      <c r="I414" t="str">
        <f>TextJoin(tblClasses[[#This Row],[STermID]:[Description]],"Value")</f>
        <v>"7","19","1","Elective 1"</v>
      </c>
    </row>
    <row r="415" spans="2:9" x14ac:dyDescent="0.25">
      <c r="B415">
        <v>413</v>
      </c>
      <c r="C415">
        <v>7</v>
      </c>
      <c r="D415">
        <v>19</v>
      </c>
      <c r="E415">
        <v>1</v>
      </c>
      <c r="F415" t="s">
        <v>798</v>
      </c>
      <c r="H415" t="str">
        <f t="shared" si="6"/>
        <v>(NULL,"7","19","1","Information Technology Design 2"),</v>
      </c>
      <c r="I415" t="str">
        <f>TextJoin(tblClasses[[#This Row],[STermID]:[Description]],"Value")</f>
        <v>"7","19","1","Information Technology Design 2"</v>
      </c>
    </row>
    <row r="416" spans="2:9" x14ac:dyDescent="0.25">
      <c r="B416">
        <v>414</v>
      </c>
      <c r="C416">
        <v>7</v>
      </c>
      <c r="D416">
        <v>19</v>
      </c>
      <c r="E416">
        <v>1</v>
      </c>
      <c r="F416" t="s">
        <v>799</v>
      </c>
      <c r="H416" t="str">
        <f t="shared" si="6"/>
        <v>(NULL,"7","19","1","It Elective 4 (It Project Management)"),</v>
      </c>
      <c r="I416" t="str">
        <f>TextJoin(tblClasses[[#This Row],[STermID]:[Description]],"Value")</f>
        <v>"7","19","1","It Elective 4 (It Project Management)"</v>
      </c>
    </row>
    <row r="417" spans="2:9" x14ac:dyDescent="0.25">
      <c r="B417">
        <v>415</v>
      </c>
      <c r="C417">
        <v>7</v>
      </c>
      <c r="D417">
        <v>19</v>
      </c>
      <c r="E417">
        <v>1</v>
      </c>
      <c r="F417" t="s">
        <v>514</v>
      </c>
      <c r="H417" t="str">
        <f t="shared" si="6"/>
        <v>(NULL,"7","19","1","Contact Center"),</v>
      </c>
      <c r="I417" t="str">
        <f>TextJoin(tblClasses[[#This Row],[STermID]:[Description]],"Value")</f>
        <v>"7","19","1","Contact Center"</v>
      </c>
    </row>
    <row r="418" spans="2:9" x14ac:dyDescent="0.25">
      <c r="B418">
        <v>416</v>
      </c>
      <c r="C418">
        <v>7</v>
      </c>
      <c r="D418">
        <v>19</v>
      </c>
      <c r="E418">
        <v>1</v>
      </c>
      <c r="F418" t="s">
        <v>508</v>
      </c>
      <c r="H418" t="str">
        <f t="shared" si="6"/>
        <v>(NULL,"7","19","1","CISCO 4"),</v>
      </c>
      <c r="I418" t="str">
        <f>TextJoin(tblClasses[[#This Row],[STermID]:[Description]],"Value")</f>
        <v>"7","19","1","CISCO 4"</v>
      </c>
    </row>
    <row r="419" spans="2:9" x14ac:dyDescent="0.25">
      <c r="B419">
        <v>417</v>
      </c>
      <c r="C419">
        <v>7</v>
      </c>
      <c r="D419">
        <v>19</v>
      </c>
      <c r="E419">
        <v>1</v>
      </c>
      <c r="F419" t="s">
        <v>800</v>
      </c>
      <c r="H419" t="str">
        <f t="shared" si="6"/>
        <v>(NULL,"7","19","1","Seminar And Fieldtrip"),</v>
      </c>
      <c r="I419" t="str">
        <f>TextJoin(tblClasses[[#This Row],[STermID]:[Description]],"Value")</f>
        <v>"7","19","1","Seminar And Fieldtrip"</v>
      </c>
    </row>
    <row r="420" spans="2:9" x14ac:dyDescent="0.25">
      <c r="B420">
        <v>418</v>
      </c>
      <c r="C420">
        <v>7</v>
      </c>
      <c r="D420">
        <v>19</v>
      </c>
      <c r="E420">
        <v>1</v>
      </c>
      <c r="F420" t="s">
        <v>417</v>
      </c>
      <c r="H420" t="str">
        <f t="shared" si="6"/>
        <v>(NULL,"7","19","1","Engineering Management"),</v>
      </c>
      <c r="I420" t="str">
        <f>TextJoin(tblClasses[[#This Row],[STermID]:[Description]],"Value")</f>
        <v>"7","19","1","Engineering Management"</v>
      </c>
    </row>
    <row r="421" spans="2:9" x14ac:dyDescent="0.25">
      <c r="B421">
        <v>419</v>
      </c>
      <c r="C421">
        <v>7</v>
      </c>
      <c r="D421">
        <v>19</v>
      </c>
      <c r="E421">
        <v>1</v>
      </c>
      <c r="F421" t="s">
        <v>419</v>
      </c>
      <c r="H421" t="str">
        <f t="shared" si="6"/>
        <v>(NULL,"7","19","1","Software Engineering"),</v>
      </c>
      <c r="I421" t="str">
        <f>TextJoin(tblClasses[[#This Row],[STermID]:[Description]],"Value")</f>
        <v>"7","19","1","Software Engineering"</v>
      </c>
    </row>
    <row r="422" spans="2:9" x14ac:dyDescent="0.25">
      <c r="B422">
        <v>420</v>
      </c>
      <c r="C422">
        <v>7</v>
      </c>
      <c r="D422">
        <v>19</v>
      </c>
      <c r="E422">
        <v>1</v>
      </c>
      <c r="F422" t="s">
        <v>801</v>
      </c>
      <c r="H422" t="str">
        <f t="shared" si="6"/>
        <v>(NULL,"7","19","1","Entreperneurship"),</v>
      </c>
      <c r="I422" t="str">
        <f>TextJoin(tblClasses[[#This Row],[STermID]:[Description]],"Value")</f>
        <v>"7","19","1","Entreperneurship"</v>
      </c>
    </row>
    <row r="423" spans="2:9" x14ac:dyDescent="0.25">
      <c r="B423">
        <v>421</v>
      </c>
      <c r="C423">
        <v>7</v>
      </c>
      <c r="D423">
        <v>19</v>
      </c>
      <c r="E423">
        <v>1</v>
      </c>
      <c r="F423" t="s">
        <v>802</v>
      </c>
      <c r="H423" t="str">
        <f t="shared" si="6"/>
        <v>(NULL,"7","19","1","Eng'G Design, Research &amp; Dev'T"),</v>
      </c>
      <c r="I423" t="str">
        <f>TextJoin(tblClasses[[#This Row],[STermID]:[Description]],"Value")</f>
        <v>"7","19","1","Eng'G Design, Research &amp; Dev'T"</v>
      </c>
    </row>
    <row r="424" spans="2:9" x14ac:dyDescent="0.25">
      <c r="B424">
        <v>422</v>
      </c>
      <c r="C424">
        <v>7</v>
      </c>
      <c r="D424">
        <v>19</v>
      </c>
      <c r="E424">
        <v>1</v>
      </c>
      <c r="F424" t="s">
        <v>425</v>
      </c>
      <c r="H424" t="str">
        <f t="shared" si="6"/>
        <v>(NULL,"7","19","1","Elective 3"),</v>
      </c>
      <c r="I424" t="str">
        <f>TextJoin(tblClasses[[#This Row],[STermID]:[Description]],"Value")</f>
        <v>"7","19","1","Elective 3"</v>
      </c>
    </row>
    <row r="425" spans="2:9" x14ac:dyDescent="0.25">
      <c r="B425">
        <v>423</v>
      </c>
      <c r="C425">
        <v>7</v>
      </c>
      <c r="D425">
        <v>19</v>
      </c>
      <c r="E425">
        <v>1</v>
      </c>
      <c r="F425" t="s">
        <v>803</v>
      </c>
      <c r="H425" t="str">
        <f t="shared" si="6"/>
        <v>(NULL,"7","19","1","Seminar &amp; Field Trip"),</v>
      </c>
      <c r="I425" t="str">
        <f>TextJoin(tblClasses[[#This Row],[STermID]:[Description]],"Value")</f>
        <v>"7","19","1","Seminar &amp; Field Trip"</v>
      </c>
    </row>
    <row r="426" spans="2:9" x14ac:dyDescent="0.25">
      <c r="B426">
        <v>424</v>
      </c>
      <c r="C426">
        <v>8</v>
      </c>
      <c r="D426">
        <v>19</v>
      </c>
      <c r="E426">
        <v>1</v>
      </c>
      <c r="F426" t="s">
        <v>270</v>
      </c>
      <c r="H426" t="str">
        <f t="shared" si="6"/>
        <v>(NULL,"8","19","1","Communication Skills 1"),</v>
      </c>
      <c r="I426" t="str">
        <f>TextJoin(tblClasses[[#This Row],[STermID]:[Description]],"Value")</f>
        <v>"8","19","1","Communication Skills 1"</v>
      </c>
    </row>
    <row r="427" spans="2:9" x14ac:dyDescent="0.25">
      <c r="B427">
        <v>425</v>
      </c>
      <c r="C427">
        <v>8</v>
      </c>
      <c r="D427">
        <v>19</v>
      </c>
      <c r="E427">
        <v>1</v>
      </c>
      <c r="F427" t="s">
        <v>272</v>
      </c>
      <c r="H427" t="str">
        <f t="shared" si="6"/>
        <v>(NULL,"8","19","1","College Algebra"),</v>
      </c>
      <c r="I427" t="str">
        <f>TextJoin(tblClasses[[#This Row],[STermID]:[Description]],"Value")</f>
        <v>"8","19","1","College Algebra"</v>
      </c>
    </row>
    <row r="428" spans="2:9" x14ac:dyDescent="0.25">
      <c r="B428">
        <v>426</v>
      </c>
      <c r="C428">
        <v>8</v>
      </c>
      <c r="D428">
        <v>19</v>
      </c>
      <c r="E428">
        <v>1</v>
      </c>
      <c r="F428" t="s">
        <v>804</v>
      </c>
      <c r="H428" t="str">
        <f t="shared" si="6"/>
        <v>(NULL,"8","19","1","Plane And Sperical Trigonometry"),</v>
      </c>
      <c r="I428" t="str">
        <f>TextJoin(tblClasses[[#This Row],[STermID]:[Description]],"Value")</f>
        <v>"8","19","1","Plane And Sperical Trigonometry"</v>
      </c>
    </row>
    <row r="429" spans="2:9" x14ac:dyDescent="0.25">
      <c r="B429">
        <v>427</v>
      </c>
      <c r="C429">
        <v>8</v>
      </c>
      <c r="D429">
        <v>19</v>
      </c>
      <c r="E429">
        <v>1</v>
      </c>
      <c r="F429" t="s">
        <v>276</v>
      </c>
      <c r="H429" t="str">
        <f t="shared" si="6"/>
        <v>(NULL,"8","19","1","General Inorganic Chemistry"),</v>
      </c>
      <c r="I429" t="str">
        <f>TextJoin(tblClasses[[#This Row],[STermID]:[Description]],"Value")</f>
        <v>"8","19","1","General Inorganic Chemistry"</v>
      </c>
    </row>
    <row r="430" spans="2:9" x14ac:dyDescent="0.25">
      <c r="B430">
        <v>428</v>
      </c>
      <c r="C430">
        <v>8</v>
      </c>
      <c r="D430">
        <v>19</v>
      </c>
      <c r="E430">
        <v>1</v>
      </c>
      <c r="F430" t="s">
        <v>278</v>
      </c>
      <c r="H430" t="str">
        <f t="shared" si="6"/>
        <v>(NULL,"8","19","1","Engineering Drawing 1"),</v>
      </c>
      <c r="I430" t="str">
        <f>TextJoin(tblClasses[[#This Row],[STermID]:[Description]],"Value")</f>
        <v>"8","19","1","Engineering Drawing 1"</v>
      </c>
    </row>
    <row r="431" spans="2:9" x14ac:dyDescent="0.25">
      <c r="B431">
        <v>429</v>
      </c>
      <c r="C431">
        <v>8</v>
      </c>
      <c r="D431">
        <v>19</v>
      </c>
      <c r="E431">
        <v>1</v>
      </c>
      <c r="F431" t="s">
        <v>280</v>
      </c>
      <c r="H431" t="str">
        <f t="shared" si="6"/>
        <v>(NULL,"8","19","1","Computer Fundamentals &amp; Programming"),</v>
      </c>
      <c r="I431" t="str">
        <f>TextJoin(tblClasses[[#This Row],[STermID]:[Description]],"Value")</f>
        <v>"8","19","1","Computer Fundamentals &amp; Programming"</v>
      </c>
    </row>
    <row r="432" spans="2:9" x14ac:dyDescent="0.25">
      <c r="B432">
        <v>430</v>
      </c>
      <c r="C432">
        <v>8</v>
      </c>
      <c r="D432">
        <v>19</v>
      </c>
      <c r="E432">
        <v>1</v>
      </c>
      <c r="F432" t="s">
        <v>805</v>
      </c>
      <c r="H432" t="str">
        <f t="shared" si="6"/>
        <v>(NULL,"8","19","1","Sining Ng Pakikipagtalastasan"),</v>
      </c>
      <c r="I432" t="str">
        <f>TextJoin(tblClasses[[#This Row],[STermID]:[Description]],"Value")</f>
        <v>"8","19","1","Sining Ng Pakikipagtalastasan"</v>
      </c>
    </row>
    <row r="433" spans="2:9" x14ac:dyDescent="0.25">
      <c r="B433">
        <v>431</v>
      </c>
      <c r="C433">
        <v>8</v>
      </c>
      <c r="D433">
        <v>19</v>
      </c>
      <c r="E433">
        <v>1</v>
      </c>
      <c r="F433" t="s">
        <v>806</v>
      </c>
      <c r="H433" t="str">
        <f t="shared" si="6"/>
        <v>(NULL,"8","19","1","Physical Fitness/ Gymnastics"),</v>
      </c>
      <c r="I433" t="str">
        <f>TextJoin(tblClasses[[#This Row],[STermID]:[Description]],"Value")</f>
        <v>"8","19","1","Physical Fitness/ Gymnastics"</v>
      </c>
    </row>
    <row r="434" spans="2:9" x14ac:dyDescent="0.25">
      <c r="B434">
        <v>432</v>
      </c>
      <c r="C434">
        <v>8</v>
      </c>
      <c r="D434">
        <v>19</v>
      </c>
      <c r="E434">
        <v>1</v>
      </c>
      <c r="F434" t="s">
        <v>807</v>
      </c>
      <c r="H434" t="str">
        <f t="shared" si="6"/>
        <v>(NULL,"8","19","1","National Service Traning Program 1"),</v>
      </c>
      <c r="I434" t="str">
        <f>TextJoin(tblClasses[[#This Row],[STermID]:[Description]],"Value")</f>
        <v>"8","19","1","National Service Traning Program 1"</v>
      </c>
    </row>
    <row r="435" spans="2:9" x14ac:dyDescent="0.25">
      <c r="B435">
        <v>433</v>
      </c>
      <c r="C435">
        <v>8</v>
      </c>
      <c r="D435">
        <v>19</v>
      </c>
      <c r="E435">
        <v>1</v>
      </c>
      <c r="F435" t="s">
        <v>808</v>
      </c>
      <c r="H435" t="str">
        <f t="shared" si="6"/>
        <v>(NULL,"8","19","1","It Fundamentals"),</v>
      </c>
      <c r="I435" t="str">
        <f>TextJoin(tblClasses[[#This Row],[STermID]:[Description]],"Value")</f>
        <v>"8","19","1","It Fundamentals"</v>
      </c>
    </row>
    <row r="436" spans="2:9" x14ac:dyDescent="0.25">
      <c r="B436">
        <v>434</v>
      </c>
      <c r="C436">
        <v>8</v>
      </c>
      <c r="D436">
        <v>19</v>
      </c>
      <c r="E436">
        <v>1</v>
      </c>
      <c r="F436" t="s">
        <v>432</v>
      </c>
      <c r="H436" t="str">
        <f t="shared" si="6"/>
        <v>(NULL,"8","19","1","Programming 1 (C+)"),</v>
      </c>
      <c r="I436" t="str">
        <f>TextJoin(tblClasses[[#This Row],[STermID]:[Description]],"Value")</f>
        <v>"8","19","1","Programming 1 (C+)"</v>
      </c>
    </row>
    <row r="437" spans="2:9" x14ac:dyDescent="0.25">
      <c r="B437">
        <v>435</v>
      </c>
      <c r="C437">
        <v>8</v>
      </c>
      <c r="D437">
        <v>19</v>
      </c>
      <c r="E437">
        <v>1</v>
      </c>
      <c r="F437" t="s">
        <v>434</v>
      </c>
      <c r="H437" t="str">
        <f t="shared" si="6"/>
        <v>(NULL,"8","19","1","Office Productivity"),</v>
      </c>
      <c r="I437" t="str">
        <f>TextJoin(tblClasses[[#This Row],[STermID]:[Description]],"Value")</f>
        <v>"8","19","1","Office Productivity"</v>
      </c>
    </row>
    <row r="438" spans="2:9" x14ac:dyDescent="0.25">
      <c r="B438">
        <v>436</v>
      </c>
      <c r="C438">
        <v>8</v>
      </c>
      <c r="D438">
        <v>19</v>
      </c>
      <c r="E438">
        <v>1</v>
      </c>
      <c r="F438" t="s">
        <v>331</v>
      </c>
      <c r="H438" t="str">
        <f t="shared" si="6"/>
        <v>(NULL,"8","19","1","General Psychology"),</v>
      </c>
      <c r="I438" t="str">
        <f>TextJoin(tblClasses[[#This Row],[STermID]:[Description]],"Value")</f>
        <v>"8","19","1","General Psychology"</v>
      </c>
    </row>
    <row r="439" spans="2:9" x14ac:dyDescent="0.25">
      <c r="B439">
        <v>437</v>
      </c>
      <c r="C439">
        <v>8</v>
      </c>
      <c r="D439">
        <v>19</v>
      </c>
      <c r="E439">
        <v>1</v>
      </c>
      <c r="F439" s="11" t="s">
        <v>307</v>
      </c>
      <c r="H439" t="str">
        <f t="shared" si="6"/>
        <v>(NULL,"8","19","1","Technical Communications"),</v>
      </c>
      <c r="I439" t="str">
        <f>TextJoin(tblClasses[[#This Row],[STermID]:[Description]],"Value")</f>
        <v>"8","19","1","Technical Communications"</v>
      </c>
    </row>
    <row r="440" spans="2:9" x14ac:dyDescent="0.25">
      <c r="B440">
        <v>438</v>
      </c>
      <c r="C440">
        <v>8</v>
      </c>
      <c r="D440">
        <v>19</v>
      </c>
      <c r="E440">
        <v>1</v>
      </c>
      <c r="F440" s="11" t="s">
        <v>309</v>
      </c>
      <c r="H440" t="str">
        <f t="shared" si="6"/>
        <v>(NULL,"8","19","1","Differential Calculus"),</v>
      </c>
      <c r="I440" t="str">
        <f>TextJoin(tblClasses[[#This Row],[STermID]:[Description]],"Value")</f>
        <v>"8","19","1","Differential Calculus"</v>
      </c>
    </row>
    <row r="441" spans="2:9" x14ac:dyDescent="0.25">
      <c r="B441">
        <v>439</v>
      </c>
      <c r="C441">
        <v>8</v>
      </c>
      <c r="D441">
        <v>19</v>
      </c>
      <c r="E441">
        <v>1</v>
      </c>
      <c r="F441" s="11" t="s">
        <v>311</v>
      </c>
      <c r="H441" t="str">
        <f t="shared" si="6"/>
        <v>(NULL,"8","19","1","General Physics 1"),</v>
      </c>
      <c r="I441" t="str">
        <f>TextJoin(tblClasses[[#This Row],[STermID]:[Description]],"Value")</f>
        <v>"8","19","1","General Physics 1"</v>
      </c>
    </row>
    <row r="442" spans="2:9" x14ac:dyDescent="0.25">
      <c r="B442">
        <v>440</v>
      </c>
      <c r="C442">
        <v>8</v>
      </c>
      <c r="D442">
        <v>19</v>
      </c>
      <c r="E442">
        <v>1</v>
      </c>
      <c r="F442" s="11" t="s">
        <v>752</v>
      </c>
      <c r="H442" t="str">
        <f t="shared" si="6"/>
        <v>(NULL,"8","19","1","Economics W/ Land Reform &amp; Taxation"),</v>
      </c>
      <c r="I442" t="str">
        <f>TextJoin(tblClasses[[#This Row],[STermID]:[Description]],"Value")</f>
        <v>"8","19","1","Economics W/ Land Reform &amp; Taxation"</v>
      </c>
    </row>
    <row r="443" spans="2:9" x14ac:dyDescent="0.25">
      <c r="B443">
        <v>441</v>
      </c>
      <c r="C443">
        <v>8</v>
      </c>
      <c r="D443">
        <v>19</v>
      </c>
      <c r="E443">
        <v>1</v>
      </c>
      <c r="F443" s="12" t="s">
        <v>315</v>
      </c>
      <c r="H443" t="str">
        <f t="shared" si="6"/>
        <v>(NULL,"8","19","1","Philippine History &amp; Culture"),</v>
      </c>
      <c r="I443" t="str">
        <f>TextJoin(tblClasses[[#This Row],[STermID]:[Description]],"Value")</f>
        <v>"8","19","1","Philippine History &amp; Culture"</v>
      </c>
    </row>
    <row r="444" spans="2:9" x14ac:dyDescent="0.25">
      <c r="B444">
        <v>442</v>
      </c>
      <c r="C444">
        <v>8</v>
      </c>
      <c r="D444">
        <v>19</v>
      </c>
      <c r="E444">
        <v>1</v>
      </c>
      <c r="F444" s="12" t="s">
        <v>317</v>
      </c>
      <c r="H444" t="str">
        <f t="shared" si="6"/>
        <v>(NULL,"8","19","1","Computer Hardware Fundamentals"),</v>
      </c>
      <c r="I444" t="str">
        <f>TextJoin(tblClasses[[#This Row],[STermID]:[Description]],"Value")</f>
        <v>"8","19","1","Computer Hardware Fundamentals"</v>
      </c>
    </row>
    <row r="445" spans="2:9" x14ac:dyDescent="0.25">
      <c r="B445">
        <v>443</v>
      </c>
      <c r="C445">
        <v>8</v>
      </c>
      <c r="D445">
        <v>19</v>
      </c>
      <c r="E445">
        <v>1</v>
      </c>
      <c r="F445" s="12" t="s">
        <v>319</v>
      </c>
      <c r="H445" t="str">
        <f t="shared" si="6"/>
        <v>(NULL,"8","19","1","Specialized Athletics"),</v>
      </c>
      <c r="I445" t="str">
        <f>TextJoin(tblClasses[[#This Row],[STermID]:[Description]],"Value")</f>
        <v>"8","19","1","Specialized Athletics"</v>
      </c>
    </row>
    <row r="446" spans="2:9" x14ac:dyDescent="0.25">
      <c r="B446">
        <v>444</v>
      </c>
      <c r="C446">
        <v>8</v>
      </c>
      <c r="D446">
        <v>19</v>
      </c>
      <c r="E446">
        <v>1</v>
      </c>
      <c r="F446" s="27" t="s">
        <v>608</v>
      </c>
      <c r="H446" t="str">
        <f t="shared" si="6"/>
        <v>(NULL,"8","19","1","Arts Appreciation"),</v>
      </c>
      <c r="I446" t="str">
        <f>TextJoin(tblClasses[[#This Row],[STermID]:[Description]],"Value")</f>
        <v>"8","19","1","Arts Appreciation"</v>
      </c>
    </row>
    <row r="447" spans="2:9" x14ac:dyDescent="0.25">
      <c r="B447">
        <v>445</v>
      </c>
      <c r="C447">
        <v>8</v>
      </c>
      <c r="D447">
        <v>19</v>
      </c>
      <c r="E447">
        <v>1</v>
      </c>
      <c r="F447" s="6" t="s">
        <v>753</v>
      </c>
      <c r="H447" t="str">
        <f t="shared" si="6"/>
        <v>(NULL,"8","19","1","Masining Na Pagpapahayag"),</v>
      </c>
      <c r="I447" t="str">
        <f>TextJoin(tblClasses[[#This Row],[STermID]:[Description]],"Value")</f>
        <v>"8","19","1","Masining Na Pagpapahayag"</v>
      </c>
    </row>
    <row r="448" spans="2:9" x14ac:dyDescent="0.25">
      <c r="B448">
        <v>446</v>
      </c>
      <c r="C448">
        <v>8</v>
      </c>
      <c r="D448">
        <v>19</v>
      </c>
      <c r="E448">
        <v>1</v>
      </c>
      <c r="F448" s="6" t="s">
        <v>754</v>
      </c>
      <c r="H448" t="str">
        <f t="shared" si="6"/>
        <v>(NULL,"8","19","1","Computer System Osrganization"),</v>
      </c>
      <c r="I448" t="str">
        <f>TextJoin(tblClasses[[#This Row],[STermID]:[Description]],"Value")</f>
        <v>"8","19","1","Computer System Osrganization"</v>
      </c>
    </row>
    <row r="449" spans="2:9" x14ac:dyDescent="0.25">
      <c r="B449">
        <v>447</v>
      </c>
      <c r="C449">
        <v>8</v>
      </c>
      <c r="D449">
        <v>19</v>
      </c>
      <c r="E449">
        <v>1</v>
      </c>
      <c r="F449" s="7" t="s">
        <v>455</v>
      </c>
      <c r="H449" t="str">
        <f t="shared" si="6"/>
        <v>(NULL,"8","19","1","Object Oriented Programming (Visual Basic)"),</v>
      </c>
      <c r="I449" t="str">
        <f>TextJoin(tblClasses[[#This Row],[STermID]:[Description]],"Value")</f>
        <v>"8","19","1","Object Oriented Programming (Visual Basic)"</v>
      </c>
    </row>
    <row r="450" spans="2:9" x14ac:dyDescent="0.25">
      <c r="B450">
        <v>448</v>
      </c>
      <c r="C450">
        <v>8</v>
      </c>
      <c r="D450">
        <v>19</v>
      </c>
      <c r="E450">
        <v>1</v>
      </c>
      <c r="F450" s="7" t="s">
        <v>755</v>
      </c>
      <c r="H450" t="str">
        <f t="shared" si="6"/>
        <v>(NULL,"8","19","1","Data Structures &amp; Algorithm Analysis"),</v>
      </c>
      <c r="I450" t="str">
        <f>TextJoin(tblClasses[[#This Row],[STermID]:[Description]],"Value")</f>
        <v>"8","19","1","Data Structures &amp; Algorithm Analysis"</v>
      </c>
    </row>
    <row r="451" spans="2:9" x14ac:dyDescent="0.25">
      <c r="B451">
        <v>449</v>
      </c>
      <c r="C451">
        <v>8</v>
      </c>
      <c r="D451">
        <v>19</v>
      </c>
      <c r="E451">
        <v>1</v>
      </c>
      <c r="F451" s="7" t="s">
        <v>756</v>
      </c>
      <c r="H451" t="str">
        <f t="shared" si="6"/>
        <v>(NULL,"8","19","1","Fundamentals Of Accounting"),</v>
      </c>
      <c r="I451" t="str">
        <f>TextJoin(tblClasses[[#This Row],[STermID]:[Description]],"Value")</f>
        <v>"8","19","1","Fundamentals Of Accounting"</v>
      </c>
    </row>
    <row r="452" spans="2:9" x14ac:dyDescent="0.25">
      <c r="B452">
        <v>450</v>
      </c>
      <c r="C452">
        <v>8</v>
      </c>
      <c r="D452">
        <v>19</v>
      </c>
      <c r="E452">
        <v>1</v>
      </c>
      <c r="F452" s="11" t="s">
        <v>757</v>
      </c>
      <c r="H452" t="str">
        <f t="shared" ref="H452:H515" si="7">"(NULL,"&amp;I452&amp;")"&amp;IF(H453&lt;&gt;"",",",";")</f>
        <v>(NULL,"8","19","1","Engineering Economy "),</v>
      </c>
      <c r="I452" t="str">
        <f>TextJoin(tblClasses[[#This Row],[STermID]:[Description]],"Value")</f>
        <v>"8","19","1","Engineering Economy "</v>
      </c>
    </row>
    <row r="453" spans="2:9" x14ac:dyDescent="0.25">
      <c r="B453">
        <v>451</v>
      </c>
      <c r="C453">
        <v>8</v>
      </c>
      <c r="D453">
        <v>19</v>
      </c>
      <c r="E453">
        <v>1</v>
      </c>
      <c r="F453" s="11" t="s">
        <v>616</v>
      </c>
      <c r="H453" t="str">
        <f t="shared" si="7"/>
        <v>(NULL,"8","19","1","Differential Equations"),</v>
      </c>
      <c r="I453" t="str">
        <f>TextJoin(tblClasses[[#This Row],[STermID]:[Description]],"Value")</f>
        <v>"8","19","1","Differential Equations"</v>
      </c>
    </row>
    <row r="454" spans="2:9" x14ac:dyDescent="0.25">
      <c r="B454">
        <v>452</v>
      </c>
      <c r="C454">
        <v>8</v>
      </c>
      <c r="D454">
        <v>19</v>
      </c>
      <c r="E454">
        <v>1</v>
      </c>
      <c r="F454" s="11" t="s">
        <v>758</v>
      </c>
      <c r="H454" t="str">
        <f t="shared" si="7"/>
        <v>(NULL,"8","19","1","Statics Of Rgid Bodies"),</v>
      </c>
      <c r="I454" t="str">
        <f>TextJoin(tblClasses[[#This Row],[STermID]:[Description]],"Value")</f>
        <v>"8","19","1","Statics Of Rgid Bodies"</v>
      </c>
    </row>
    <row r="455" spans="2:9" x14ac:dyDescent="0.25">
      <c r="B455">
        <v>453</v>
      </c>
      <c r="C455">
        <v>8</v>
      </c>
      <c r="D455">
        <v>19</v>
      </c>
      <c r="E455">
        <v>1</v>
      </c>
      <c r="F455" s="11" t="s">
        <v>344</v>
      </c>
      <c r="H455" t="str">
        <f t="shared" si="7"/>
        <v>(NULL,"8","19","1","Circuit Analysis 1"),</v>
      </c>
      <c r="I455" t="str">
        <f>TextJoin(tblClasses[[#This Row],[STermID]:[Description]],"Value")</f>
        <v>"8","19","1","Circuit Analysis 1"</v>
      </c>
    </row>
    <row r="456" spans="2:9" x14ac:dyDescent="0.25">
      <c r="B456">
        <v>454</v>
      </c>
      <c r="C456">
        <v>8</v>
      </c>
      <c r="D456">
        <v>19</v>
      </c>
      <c r="E456">
        <v>1</v>
      </c>
      <c r="F456" s="12" t="s">
        <v>346</v>
      </c>
      <c r="H456" t="str">
        <f t="shared" si="7"/>
        <v>(NULL,"8","19","1","Electromagnetics"),</v>
      </c>
      <c r="I456" t="str">
        <f>TextJoin(tblClasses[[#This Row],[STermID]:[Description]],"Value")</f>
        <v>"8","19","1","Electromagnetics"</v>
      </c>
    </row>
    <row r="457" spans="2:9" x14ac:dyDescent="0.25">
      <c r="B457">
        <v>455</v>
      </c>
      <c r="C457">
        <v>8</v>
      </c>
      <c r="D457">
        <v>19</v>
      </c>
      <c r="E457">
        <v>1</v>
      </c>
      <c r="F457" s="12" t="s">
        <v>348</v>
      </c>
      <c r="H457" t="str">
        <f t="shared" si="7"/>
        <v>(NULL,"8","19","1","Electronics 1"),</v>
      </c>
      <c r="I457" t="str">
        <f>TextJoin(tblClasses[[#This Row],[STermID]:[Description]],"Value")</f>
        <v>"8","19","1","Electronics 1"</v>
      </c>
    </row>
    <row r="458" spans="2:9" x14ac:dyDescent="0.25">
      <c r="B458">
        <v>456</v>
      </c>
      <c r="C458">
        <v>8</v>
      </c>
      <c r="D458">
        <v>19</v>
      </c>
      <c r="E458">
        <v>1</v>
      </c>
      <c r="F458" s="12" t="s">
        <v>759</v>
      </c>
      <c r="H458" t="str">
        <f t="shared" si="7"/>
        <v>(NULL,"8","19","1","Computer Systems Organization W/ Assembly Lang."),</v>
      </c>
      <c r="I458" t="str">
        <f>TextJoin(tblClasses[[#This Row],[STermID]:[Description]],"Value")</f>
        <v>"8","19","1","Computer Systems Organization W/ Assembly Lang."</v>
      </c>
    </row>
    <row r="459" spans="2:9" x14ac:dyDescent="0.25">
      <c r="B459">
        <v>457</v>
      </c>
      <c r="C459">
        <v>8</v>
      </c>
      <c r="D459">
        <v>19</v>
      </c>
      <c r="E459">
        <v>1</v>
      </c>
      <c r="F459" s="27" t="s">
        <v>610</v>
      </c>
      <c r="H459" t="str">
        <f t="shared" si="7"/>
        <v>(NULL,"8","19","1","Discrete Mathematics"),</v>
      </c>
      <c r="I459" t="str">
        <f>TextJoin(tblClasses[[#This Row],[STermID]:[Description]],"Value")</f>
        <v>"8","19","1","Discrete Mathematics"</v>
      </c>
    </row>
    <row r="460" spans="2:9" x14ac:dyDescent="0.25">
      <c r="B460">
        <v>458</v>
      </c>
      <c r="C460">
        <v>8</v>
      </c>
      <c r="D460">
        <v>19</v>
      </c>
      <c r="E460">
        <v>1</v>
      </c>
      <c r="F460" s="6" t="s">
        <v>476</v>
      </c>
      <c r="H460" t="str">
        <f t="shared" si="7"/>
        <v>(NULL,"8","19","1","Web Development"),</v>
      </c>
      <c r="I460" t="str">
        <f>TextJoin(tblClasses[[#This Row],[STermID]:[Description]],"Value")</f>
        <v>"8","19","1","Web Development"</v>
      </c>
    </row>
    <row r="461" spans="2:9" x14ac:dyDescent="0.25">
      <c r="B461">
        <v>459</v>
      </c>
      <c r="C461">
        <v>8</v>
      </c>
      <c r="D461">
        <v>19</v>
      </c>
      <c r="E461">
        <v>1</v>
      </c>
      <c r="F461" s="6" t="s">
        <v>389</v>
      </c>
      <c r="H461" t="str">
        <f t="shared" si="7"/>
        <v>(NULL,"8","19","1","Data Communications"),</v>
      </c>
      <c r="I461" t="str">
        <f>TextJoin(tblClasses[[#This Row],[STermID]:[Description]],"Value")</f>
        <v>"8","19","1","Data Communications"</v>
      </c>
    </row>
    <row r="462" spans="2:9" x14ac:dyDescent="0.25">
      <c r="B462">
        <v>460</v>
      </c>
      <c r="C462">
        <v>8</v>
      </c>
      <c r="D462">
        <v>19</v>
      </c>
      <c r="E462">
        <v>1</v>
      </c>
      <c r="F462" s="6" t="s">
        <v>760</v>
      </c>
      <c r="H462" t="str">
        <f t="shared" si="7"/>
        <v>(NULL,"8","19","1","It Elective 1 (Mis)"),</v>
      </c>
      <c r="I462" t="str">
        <f>TextJoin(tblClasses[[#This Row],[STermID]:[Description]],"Value")</f>
        <v>"8","19","1","It Elective 1 (Mis)"</v>
      </c>
    </row>
    <row r="463" spans="2:9" x14ac:dyDescent="0.25">
      <c r="B463">
        <v>461</v>
      </c>
      <c r="C463">
        <v>8</v>
      </c>
      <c r="D463">
        <v>19</v>
      </c>
      <c r="E463">
        <v>1</v>
      </c>
      <c r="F463" s="7" t="s">
        <v>359</v>
      </c>
      <c r="H463" t="str">
        <f t="shared" si="7"/>
        <v>(NULL,"8","19","1","CISCO 1"),</v>
      </c>
      <c r="I463" t="str">
        <f>TextJoin(tblClasses[[#This Row],[STermID]:[Description]],"Value")</f>
        <v>"8","19","1","CISCO 1"</v>
      </c>
    </row>
    <row r="464" spans="2:9" x14ac:dyDescent="0.25">
      <c r="B464">
        <v>462</v>
      </c>
      <c r="C464">
        <v>8</v>
      </c>
      <c r="D464">
        <v>19</v>
      </c>
      <c r="E464">
        <v>1</v>
      </c>
      <c r="F464" s="7" t="s">
        <v>613</v>
      </c>
      <c r="H464" t="str">
        <f t="shared" si="7"/>
        <v>(NULL,"8","19","1","Rizal'S Life, Works And Writing"),</v>
      </c>
      <c r="I464" t="str">
        <f>TextJoin(tblClasses[[#This Row],[STermID]:[Description]],"Value")</f>
        <v>"8","19","1","Rizal'S Life, Works And Writing"</v>
      </c>
    </row>
    <row r="465" spans="2:9" x14ac:dyDescent="0.25">
      <c r="B465">
        <v>463</v>
      </c>
      <c r="C465">
        <v>8</v>
      </c>
      <c r="D465">
        <v>19</v>
      </c>
      <c r="E465">
        <v>1</v>
      </c>
      <c r="F465" s="7" t="s">
        <v>483</v>
      </c>
      <c r="H465" t="str">
        <f t="shared" si="7"/>
        <v>(NULL,"8","19","1","Philippine Government &amp; Constitution"),</v>
      </c>
      <c r="I465" t="str">
        <f>TextJoin(tblClasses[[#This Row],[STermID]:[Description]],"Value")</f>
        <v>"8","19","1","Philippine Government &amp; Constitution"</v>
      </c>
    </row>
    <row r="466" spans="2:9" x14ac:dyDescent="0.25">
      <c r="B466">
        <v>464</v>
      </c>
      <c r="C466">
        <v>8</v>
      </c>
      <c r="D466">
        <v>19</v>
      </c>
      <c r="E466">
        <v>1</v>
      </c>
      <c r="F466" s="8" t="s">
        <v>333</v>
      </c>
      <c r="H466" t="str">
        <f t="shared" si="7"/>
        <v>(NULL,"8","19","1","Philippine Literature"),</v>
      </c>
      <c r="I466" t="str">
        <f>TextJoin(tblClasses[[#This Row],[STermID]:[Description]],"Value")</f>
        <v>"8","19","1","Philippine Literature"</v>
      </c>
    </row>
    <row r="467" spans="2:9" x14ac:dyDescent="0.25">
      <c r="B467">
        <v>465</v>
      </c>
      <c r="C467">
        <v>8</v>
      </c>
      <c r="D467">
        <v>19</v>
      </c>
      <c r="E467">
        <v>1</v>
      </c>
      <c r="F467" s="11" t="s">
        <v>761</v>
      </c>
      <c r="H467" t="str">
        <f t="shared" si="7"/>
        <v>(NULL,"8","19","1","Numerical Anaysis W/ Computer Pp."),</v>
      </c>
      <c r="I467" t="str">
        <f>TextJoin(tblClasses[[#This Row],[STermID]:[Description]],"Value")</f>
        <v>"8","19","1","Numerical Anaysis W/ Computer Pp."</v>
      </c>
    </row>
    <row r="468" spans="2:9" x14ac:dyDescent="0.25">
      <c r="B468">
        <v>466</v>
      </c>
      <c r="C468">
        <v>8</v>
      </c>
      <c r="D468">
        <v>19</v>
      </c>
      <c r="E468">
        <v>1</v>
      </c>
      <c r="F468" s="11" t="s">
        <v>371</v>
      </c>
      <c r="H468" t="str">
        <f t="shared" si="7"/>
        <v>(NULL,"8","19","1","CISCO 2"),</v>
      </c>
      <c r="I468" t="str">
        <f>TextJoin(tblClasses[[#This Row],[STermID]:[Description]],"Value")</f>
        <v>"8","19","1","CISCO 2"</v>
      </c>
    </row>
    <row r="469" spans="2:9" x14ac:dyDescent="0.25">
      <c r="B469">
        <v>467</v>
      </c>
      <c r="C469">
        <v>8</v>
      </c>
      <c r="D469">
        <v>19</v>
      </c>
      <c r="E469">
        <v>1</v>
      </c>
      <c r="F469" s="11" t="s">
        <v>762</v>
      </c>
      <c r="H469" t="str">
        <f t="shared" si="7"/>
        <v>(NULL,"8","19","1","Principles Of Communication "),</v>
      </c>
      <c r="I469" t="str">
        <f>TextJoin(tblClasses[[#This Row],[STermID]:[Description]],"Value")</f>
        <v>"8","19","1","Principles Of Communication "</v>
      </c>
    </row>
    <row r="470" spans="2:9" x14ac:dyDescent="0.25">
      <c r="B470">
        <v>468</v>
      </c>
      <c r="C470">
        <v>8</v>
      </c>
      <c r="D470">
        <v>19</v>
      </c>
      <c r="E470">
        <v>1</v>
      </c>
      <c r="F470" s="11" t="s">
        <v>763</v>
      </c>
      <c r="H470" t="str">
        <f t="shared" si="7"/>
        <v>(NULL,"8","19","1","Advanced Logic Design &amp; Switching Theory"),</v>
      </c>
      <c r="I470" t="str">
        <f>TextJoin(tblClasses[[#This Row],[STermID]:[Description]],"Value")</f>
        <v>"8","19","1","Advanced Logic Design &amp; Switching Theory"</v>
      </c>
    </row>
    <row r="471" spans="2:9" x14ac:dyDescent="0.25">
      <c r="B471">
        <v>469</v>
      </c>
      <c r="C471">
        <v>8</v>
      </c>
      <c r="D471">
        <v>19</v>
      </c>
      <c r="E471">
        <v>1</v>
      </c>
      <c r="F471" s="12" t="s">
        <v>377</v>
      </c>
      <c r="H471" t="str">
        <f t="shared" si="7"/>
        <v>(NULL,"8","19","1","Control Systems"),</v>
      </c>
      <c r="I471" t="str">
        <f>TextJoin(tblClasses[[#This Row],[STermID]:[Description]],"Value")</f>
        <v>"8","19","1","Control Systems"</v>
      </c>
    </row>
    <row r="472" spans="2:9" x14ac:dyDescent="0.25">
      <c r="B472">
        <v>470</v>
      </c>
      <c r="C472">
        <v>8</v>
      </c>
      <c r="D472">
        <v>19</v>
      </c>
      <c r="E472">
        <v>1</v>
      </c>
      <c r="F472" s="12" t="s">
        <v>764</v>
      </c>
      <c r="H472" t="str">
        <f t="shared" si="7"/>
        <v>(NULL,"8","19","1","Mechanics Deformable Bodies"),</v>
      </c>
      <c r="I472" t="str">
        <f>TextJoin(tblClasses[[#This Row],[STermID]:[Description]],"Value")</f>
        <v>"8","19","1","Mechanics Deformable Bodies"</v>
      </c>
    </row>
    <row r="473" spans="2:9" x14ac:dyDescent="0.25">
      <c r="B473">
        <v>471</v>
      </c>
      <c r="C473">
        <v>8</v>
      </c>
      <c r="D473">
        <v>19</v>
      </c>
      <c r="E473">
        <v>1</v>
      </c>
      <c r="F473" s="12" t="s">
        <v>765</v>
      </c>
      <c r="H473" t="str">
        <f t="shared" si="7"/>
        <v>(NULL,"8","19","1","Digital Signal Processing "),</v>
      </c>
      <c r="I473" t="str">
        <f>TextJoin(tblClasses[[#This Row],[STermID]:[Description]],"Value")</f>
        <v>"8","19","1","Digital Signal Processing "</v>
      </c>
    </row>
    <row r="474" spans="2:9" x14ac:dyDescent="0.25">
      <c r="B474">
        <v>472</v>
      </c>
      <c r="C474">
        <v>8</v>
      </c>
      <c r="D474">
        <v>19</v>
      </c>
      <c r="E474">
        <v>1</v>
      </c>
      <c r="F474" s="27" t="s">
        <v>766</v>
      </c>
      <c r="H474" t="str">
        <f t="shared" si="7"/>
        <v>(NULL,"8","19","1","Computer Engineering Drafting And Design"),</v>
      </c>
      <c r="I474" t="str">
        <f>TextJoin(tblClasses[[#This Row],[STermID]:[Description]],"Value")</f>
        <v>"8","19","1","Computer Engineering Drafting And Design"</v>
      </c>
    </row>
    <row r="475" spans="2:9" x14ac:dyDescent="0.25">
      <c r="B475">
        <v>473</v>
      </c>
      <c r="C475">
        <v>8</v>
      </c>
      <c r="D475">
        <v>19</v>
      </c>
      <c r="E475">
        <v>1</v>
      </c>
      <c r="F475" s="11" t="s">
        <v>767</v>
      </c>
      <c r="H475" t="str">
        <f t="shared" si="7"/>
        <v>(NULL,"8","19","1","Professional Ethics In It"),</v>
      </c>
      <c r="I475" t="str">
        <f>TextJoin(tblClasses[[#This Row],[STermID]:[Description]],"Value")</f>
        <v>"8","19","1","Professional Ethics In It"</v>
      </c>
    </row>
    <row r="476" spans="2:9" x14ac:dyDescent="0.25">
      <c r="B476">
        <v>474</v>
      </c>
      <c r="C476">
        <v>8</v>
      </c>
      <c r="D476">
        <v>19</v>
      </c>
      <c r="E476">
        <v>1</v>
      </c>
      <c r="F476" s="11" t="s">
        <v>501</v>
      </c>
      <c r="H476" t="str">
        <f t="shared" si="7"/>
        <v>(NULL,"8","19","1","Database Administration"),</v>
      </c>
      <c r="I476" t="str">
        <f>TextJoin(tblClasses[[#This Row],[STermID]:[Description]],"Value")</f>
        <v>"8","19","1","Database Administration"</v>
      </c>
    </row>
    <row r="477" spans="2:9" x14ac:dyDescent="0.25">
      <c r="B477">
        <v>475</v>
      </c>
      <c r="C477">
        <v>8</v>
      </c>
      <c r="D477">
        <v>19</v>
      </c>
      <c r="E477">
        <v>1</v>
      </c>
      <c r="F477" s="11" t="s">
        <v>391</v>
      </c>
      <c r="H477" t="str">
        <f t="shared" si="7"/>
        <v>(NULL,"8","19","1","Computer System Architecture"),</v>
      </c>
      <c r="I477" t="str">
        <f>TextJoin(tblClasses[[#This Row],[STermID]:[Description]],"Value")</f>
        <v>"8","19","1","Computer System Architecture"</v>
      </c>
    </row>
    <row r="478" spans="2:9" x14ac:dyDescent="0.25">
      <c r="B478">
        <v>476</v>
      </c>
      <c r="C478">
        <v>8</v>
      </c>
      <c r="D478">
        <v>19</v>
      </c>
      <c r="E478">
        <v>1</v>
      </c>
      <c r="F478" s="11" t="s">
        <v>768</v>
      </c>
      <c r="H478" t="str">
        <f t="shared" si="7"/>
        <v>(NULL,"8","19","1","Information Technology Design 1"),</v>
      </c>
      <c r="I478" t="str">
        <f>TextJoin(tblClasses[[#This Row],[STermID]:[Description]],"Value")</f>
        <v>"8","19","1","Information Technology Design 1"</v>
      </c>
    </row>
    <row r="479" spans="2:9" x14ac:dyDescent="0.25">
      <c r="B479">
        <v>477</v>
      </c>
      <c r="C479">
        <v>8</v>
      </c>
      <c r="D479">
        <v>19</v>
      </c>
      <c r="E479">
        <v>1</v>
      </c>
      <c r="F479" s="12" t="s">
        <v>769</v>
      </c>
      <c r="H479" t="str">
        <f t="shared" si="7"/>
        <v>(NULL,"8","19","1","It Elective 3(E-Business)"),</v>
      </c>
      <c r="I479" t="str">
        <f>TextJoin(tblClasses[[#This Row],[STermID]:[Description]],"Value")</f>
        <v>"8","19","1","It Elective 3(E-Business)"</v>
      </c>
    </row>
    <row r="480" spans="2:9" x14ac:dyDescent="0.25">
      <c r="B480">
        <v>478</v>
      </c>
      <c r="C480">
        <v>8</v>
      </c>
      <c r="D480">
        <v>19</v>
      </c>
      <c r="E480">
        <v>1</v>
      </c>
      <c r="F480" s="11" t="s">
        <v>415</v>
      </c>
      <c r="H480" t="str">
        <f t="shared" si="7"/>
        <v>(NULL,"8","19","1","CISCO 3"),</v>
      </c>
      <c r="I480" t="str">
        <f>TextJoin(tblClasses[[#This Row],[STermID]:[Description]],"Value")</f>
        <v>"8","19","1","CISCO 3"</v>
      </c>
    </row>
    <row r="481" spans="2:9" x14ac:dyDescent="0.25">
      <c r="B481">
        <v>479</v>
      </c>
      <c r="C481">
        <v>8</v>
      </c>
      <c r="D481">
        <v>19</v>
      </c>
      <c r="E481">
        <v>1</v>
      </c>
      <c r="F481" s="11" t="s">
        <v>401</v>
      </c>
      <c r="H481" t="str">
        <f t="shared" si="7"/>
        <v>(NULL,"8","19","1","System Analysis &amp; Design"),</v>
      </c>
      <c r="I481" t="str">
        <f>TextJoin(tblClasses[[#This Row],[STermID]:[Description]],"Value")</f>
        <v>"8","19","1","System Analysis &amp; Design"</v>
      </c>
    </row>
    <row r="482" spans="2:9" x14ac:dyDescent="0.25">
      <c r="B482">
        <v>480</v>
      </c>
      <c r="C482">
        <v>8</v>
      </c>
      <c r="D482">
        <v>19</v>
      </c>
      <c r="E482">
        <v>1</v>
      </c>
      <c r="F482" s="11" t="s">
        <v>770</v>
      </c>
      <c r="H482" t="str">
        <f t="shared" si="7"/>
        <v>(NULL,"8","19","1","Object Orriented Programming"),</v>
      </c>
      <c r="I482" t="str">
        <f>TextJoin(tblClasses[[#This Row],[STermID]:[Description]],"Value")</f>
        <v>"8","19","1","Object Orriented Programming"</v>
      </c>
    </row>
    <row r="483" spans="2:9" x14ac:dyDescent="0.25">
      <c r="B483">
        <v>481</v>
      </c>
      <c r="C483">
        <v>8</v>
      </c>
      <c r="D483">
        <v>19</v>
      </c>
      <c r="E483">
        <v>1</v>
      </c>
      <c r="F483" s="11" t="s">
        <v>771</v>
      </c>
      <c r="H483" t="str">
        <f t="shared" si="7"/>
        <v>(NULL,"8","19","1","Engineering Ethics And Computer Laws"),</v>
      </c>
      <c r="I483" t="str">
        <f>TextJoin(tblClasses[[#This Row],[STermID]:[Description]],"Value")</f>
        <v>"8","19","1","Engineering Ethics And Computer Laws"</v>
      </c>
    </row>
    <row r="484" spans="2:9" x14ac:dyDescent="0.25">
      <c r="B484">
        <v>482</v>
      </c>
      <c r="C484">
        <v>8</v>
      </c>
      <c r="D484">
        <v>19</v>
      </c>
      <c r="E484">
        <v>1</v>
      </c>
      <c r="F484" s="11" t="s">
        <v>407</v>
      </c>
      <c r="H484" t="str">
        <f t="shared" si="7"/>
        <v>(NULL,"8","19","1","Computer Networks"),</v>
      </c>
      <c r="I484" t="str">
        <f>TextJoin(tblClasses[[#This Row],[STermID]:[Description]],"Value")</f>
        <v>"8","19","1","Computer Networks"</v>
      </c>
    </row>
    <row r="485" spans="2:9" x14ac:dyDescent="0.25">
      <c r="B485">
        <v>483</v>
      </c>
      <c r="C485">
        <v>8</v>
      </c>
      <c r="D485">
        <v>19</v>
      </c>
      <c r="E485">
        <v>1</v>
      </c>
      <c r="F485" s="12" t="s">
        <v>772</v>
      </c>
      <c r="H485" t="str">
        <f t="shared" si="7"/>
        <v>(NULL,"8","19","1","Elevtive 2"),</v>
      </c>
      <c r="I485" t="str">
        <f>TextJoin(tblClasses[[#This Row],[STermID]:[Description]],"Value")</f>
        <v>"8","19","1","Elevtive 2"</v>
      </c>
    </row>
    <row r="486" spans="2:9" x14ac:dyDescent="0.25">
      <c r="B486">
        <v>484</v>
      </c>
      <c r="C486">
        <v>8</v>
      </c>
      <c r="D486">
        <v>19</v>
      </c>
      <c r="E486">
        <v>1</v>
      </c>
      <c r="F486" s="12" t="s">
        <v>411</v>
      </c>
      <c r="H486" t="str">
        <f t="shared" si="7"/>
        <v>(NULL,"8","19","1","Safety Engineering"),</v>
      </c>
      <c r="I486" t="str">
        <f>TextJoin(tblClasses[[#This Row],[STermID]:[Description]],"Value")</f>
        <v>"8","19","1","Safety Engineering"</v>
      </c>
    </row>
    <row r="487" spans="2:9" x14ac:dyDescent="0.25">
      <c r="B487">
        <v>485</v>
      </c>
      <c r="C487">
        <v>8</v>
      </c>
      <c r="D487">
        <v>19</v>
      </c>
      <c r="E487">
        <v>1</v>
      </c>
      <c r="F487" s="12" t="s">
        <v>773</v>
      </c>
      <c r="H487" t="str">
        <f t="shared" si="7"/>
        <v>(NULL,"8","19","1","Eng'G Design, Research &amp; Dev'T 1"),</v>
      </c>
      <c r="I487" t="str">
        <f>TextJoin(tblClasses[[#This Row],[STermID]:[Description]],"Value")</f>
        <v>"8","19","1","Eng'G Design, Research &amp; Dev'T 1"</v>
      </c>
    </row>
    <row r="488" spans="2:9" x14ac:dyDescent="0.25">
      <c r="B488">
        <v>486</v>
      </c>
      <c r="C488">
        <v>8</v>
      </c>
      <c r="D488">
        <v>19</v>
      </c>
      <c r="E488">
        <v>1</v>
      </c>
      <c r="F488" s="27" t="s">
        <v>508</v>
      </c>
      <c r="H488" t="str">
        <f t="shared" si="7"/>
        <v>(NULL,"8","19","1","CISCO 4"),</v>
      </c>
      <c r="I488" t="str">
        <f>TextJoin(tblClasses[[#This Row],[STermID]:[Description]],"Value")</f>
        <v>"8","19","1","CISCO 4"</v>
      </c>
    </row>
    <row r="489" spans="2:9" x14ac:dyDescent="0.25">
      <c r="B489">
        <v>487</v>
      </c>
      <c r="C489">
        <v>9</v>
      </c>
      <c r="D489">
        <v>19</v>
      </c>
      <c r="E489">
        <v>1</v>
      </c>
      <c r="F489" t="s">
        <v>288</v>
      </c>
      <c r="H489" t="str">
        <f t="shared" si="7"/>
        <v>(NULL,"9","19","1","Communication Skills 2"),</v>
      </c>
      <c r="I489" t="str">
        <f>TextJoin(tblClasses[[#This Row],[STermID]:[Description]],"Value")</f>
        <v>"9","19","1","Communication Skills 2"</v>
      </c>
    </row>
    <row r="490" spans="2:9" x14ac:dyDescent="0.25">
      <c r="B490">
        <v>488</v>
      </c>
      <c r="C490">
        <v>9</v>
      </c>
      <c r="D490">
        <v>19</v>
      </c>
      <c r="E490">
        <v>1</v>
      </c>
      <c r="F490" t="s">
        <v>290</v>
      </c>
      <c r="H490" t="str">
        <f t="shared" si="7"/>
        <v>(NULL,"9","19","1","Analytic Geometry"),</v>
      </c>
      <c r="I490" t="str">
        <f>TextJoin(tblClasses[[#This Row],[STermID]:[Description]],"Value")</f>
        <v>"9","19","1","Analytic Geometry"</v>
      </c>
    </row>
    <row r="491" spans="2:9" x14ac:dyDescent="0.25">
      <c r="B491">
        <v>489</v>
      </c>
      <c r="C491">
        <v>9</v>
      </c>
      <c r="D491">
        <v>19</v>
      </c>
      <c r="E491">
        <v>1</v>
      </c>
      <c r="F491" t="s">
        <v>292</v>
      </c>
      <c r="H491" t="str">
        <f t="shared" si="7"/>
        <v>(NULL,"9","19","1","Gamiting Filipino"),</v>
      </c>
      <c r="I491" t="str">
        <f>TextJoin(tblClasses[[#This Row],[STermID]:[Description]],"Value")</f>
        <v>"9","19","1","Gamiting Filipino"</v>
      </c>
    </row>
    <row r="492" spans="2:9" x14ac:dyDescent="0.25">
      <c r="B492">
        <v>490</v>
      </c>
      <c r="C492">
        <v>9</v>
      </c>
      <c r="D492">
        <v>19</v>
      </c>
      <c r="E492">
        <v>1</v>
      </c>
      <c r="F492" t="s">
        <v>785</v>
      </c>
      <c r="H492" t="str">
        <f t="shared" si="7"/>
        <v>(NULL,"9","19","1","Advanced Algebra"),</v>
      </c>
      <c r="I492" t="str">
        <f>TextJoin(tblClasses[[#This Row],[STermID]:[Description]],"Value")</f>
        <v>"9","19","1","Advanced Algebra"</v>
      </c>
    </row>
    <row r="493" spans="2:9" x14ac:dyDescent="0.25">
      <c r="B493">
        <v>491</v>
      </c>
      <c r="C493">
        <v>9</v>
      </c>
      <c r="D493">
        <v>19</v>
      </c>
      <c r="E493">
        <v>1</v>
      </c>
      <c r="F493" t="s">
        <v>296</v>
      </c>
      <c r="H493" t="str">
        <f t="shared" si="7"/>
        <v>(NULL,"9","19","1","Solid Mensuration"),</v>
      </c>
      <c r="I493" t="str">
        <f>TextJoin(tblClasses[[#This Row],[STermID]:[Description]],"Value")</f>
        <v>"9","19","1","Solid Mensuration"</v>
      </c>
    </row>
    <row r="494" spans="2:9" x14ac:dyDescent="0.25">
      <c r="B494">
        <v>492</v>
      </c>
      <c r="C494">
        <v>9</v>
      </c>
      <c r="D494">
        <v>19</v>
      </c>
      <c r="E494">
        <v>1</v>
      </c>
      <c r="F494" t="s">
        <v>613</v>
      </c>
      <c r="H494" t="str">
        <f t="shared" si="7"/>
        <v>(NULL,"9","19","1","Rizal'S Life, Works And Writing"),</v>
      </c>
      <c r="I494" t="str">
        <f>TextJoin(tblClasses[[#This Row],[STermID]:[Description]],"Value")</f>
        <v>"9","19","1","Rizal'S Life, Works And Writing"</v>
      </c>
    </row>
    <row r="495" spans="2:9" x14ac:dyDescent="0.25">
      <c r="B495">
        <v>493</v>
      </c>
      <c r="C495">
        <v>9</v>
      </c>
      <c r="D495">
        <v>19</v>
      </c>
      <c r="E495">
        <v>1</v>
      </c>
      <c r="F495" t="s">
        <v>299</v>
      </c>
      <c r="H495" t="str">
        <f t="shared" si="7"/>
        <v>(NULL,"9","19","1","Computer Aided Drafting"),</v>
      </c>
      <c r="I495" t="str">
        <f>TextJoin(tblClasses[[#This Row],[STermID]:[Description]],"Value")</f>
        <v>"9","19","1","Computer Aided Drafting"</v>
      </c>
    </row>
    <row r="496" spans="2:9" x14ac:dyDescent="0.25">
      <c r="B496">
        <v>494</v>
      </c>
      <c r="C496">
        <v>9</v>
      </c>
      <c r="D496">
        <v>19</v>
      </c>
      <c r="E496">
        <v>1</v>
      </c>
      <c r="F496" t="s">
        <v>786</v>
      </c>
      <c r="H496" t="str">
        <f t="shared" si="7"/>
        <v>(NULL,"9","19","1","Rhytmic Activities (Dances)"),</v>
      </c>
      <c r="I496" t="str">
        <f>TextJoin(tblClasses[[#This Row],[STermID]:[Description]],"Value")</f>
        <v>"9","19","1","Rhytmic Activities (Dances)"</v>
      </c>
    </row>
    <row r="497" spans="2:9" x14ac:dyDescent="0.25">
      <c r="B497">
        <v>495</v>
      </c>
      <c r="C497">
        <v>9</v>
      </c>
      <c r="D497">
        <v>19</v>
      </c>
      <c r="E497">
        <v>1</v>
      </c>
      <c r="F497" t="s">
        <v>303</v>
      </c>
      <c r="H497" t="str">
        <f t="shared" si="7"/>
        <v>(NULL,"9","19","1","National Service Training Program 2"),</v>
      </c>
      <c r="I497" t="str">
        <f>TextJoin(tblClasses[[#This Row],[STermID]:[Description]],"Value")</f>
        <v>"9","19","1","National Service Training Program 2"</v>
      </c>
    </row>
    <row r="498" spans="2:9" x14ac:dyDescent="0.25">
      <c r="B498">
        <v>496</v>
      </c>
      <c r="C498">
        <v>9</v>
      </c>
      <c r="D498">
        <v>19</v>
      </c>
      <c r="E498">
        <v>1</v>
      </c>
      <c r="F498" t="s">
        <v>787</v>
      </c>
      <c r="H498" t="str">
        <f t="shared" si="7"/>
        <v>(NULL,"9","19","1","Philosophy Of Man"),</v>
      </c>
      <c r="I498" t="str">
        <f>TextJoin(tblClasses[[#This Row],[STermID]:[Description]],"Value")</f>
        <v>"9","19","1","Philosophy Of Man"</v>
      </c>
    </row>
    <row r="499" spans="2:9" x14ac:dyDescent="0.25">
      <c r="B499">
        <v>497</v>
      </c>
      <c r="C499">
        <v>9</v>
      </c>
      <c r="D499">
        <v>19</v>
      </c>
      <c r="E499">
        <v>1</v>
      </c>
      <c r="F499" t="s">
        <v>788</v>
      </c>
      <c r="H499" t="str">
        <f t="shared" si="7"/>
        <v>(NULL,"9","19","1","Pagbasa At Pagsulat Tungo Sa Pananaliksik"),</v>
      </c>
      <c r="I499" t="str">
        <f>TextJoin(tblClasses[[#This Row],[STermID]:[Description]],"Value")</f>
        <v>"9","19","1","Pagbasa At Pagsulat Tungo Sa Pananaliksik"</v>
      </c>
    </row>
    <row r="500" spans="2:9" x14ac:dyDescent="0.25">
      <c r="B500">
        <v>498</v>
      </c>
      <c r="C500">
        <v>9</v>
      </c>
      <c r="D500">
        <v>19</v>
      </c>
      <c r="E500">
        <v>1</v>
      </c>
      <c r="F500" t="s">
        <v>440</v>
      </c>
      <c r="H500" t="str">
        <f t="shared" si="7"/>
        <v>(NULL,"9","19","1","Trigonometry"),</v>
      </c>
      <c r="I500" t="str">
        <f>TextJoin(tblClasses[[#This Row],[STermID]:[Description]],"Value")</f>
        <v>"9","19","1","Trigonometry"</v>
      </c>
    </row>
    <row r="501" spans="2:9" x14ac:dyDescent="0.25">
      <c r="B501">
        <v>499</v>
      </c>
      <c r="C501">
        <v>9</v>
      </c>
      <c r="D501">
        <v>19</v>
      </c>
      <c r="E501">
        <v>1</v>
      </c>
      <c r="F501" t="s">
        <v>442</v>
      </c>
      <c r="H501" t="str">
        <f t="shared" si="7"/>
        <v>(NULL,"9","19","1","Programming 2 (C++)"),</v>
      </c>
      <c r="I501" t="str">
        <f>TextJoin(tblClasses[[#This Row],[STermID]:[Description]],"Value")</f>
        <v>"9","19","1","Programming 2 (C++)"</v>
      </c>
    </row>
    <row r="502" spans="2:9" x14ac:dyDescent="0.25">
      <c r="B502">
        <v>500</v>
      </c>
      <c r="C502">
        <v>9</v>
      </c>
      <c r="D502">
        <v>19</v>
      </c>
      <c r="E502">
        <v>1</v>
      </c>
      <c r="F502" t="s">
        <v>444</v>
      </c>
      <c r="H502" t="str">
        <f t="shared" si="7"/>
        <v>(NULL,"9","19","1","Applied Operating System"),</v>
      </c>
      <c r="I502" t="str">
        <f>TextJoin(tblClasses[[#This Row],[STermID]:[Description]],"Value")</f>
        <v>"9","19","1","Applied Operating System"</v>
      </c>
    </row>
    <row r="503" spans="2:9" x14ac:dyDescent="0.25">
      <c r="B503">
        <v>501</v>
      </c>
      <c r="C503">
        <v>9</v>
      </c>
      <c r="D503">
        <v>19</v>
      </c>
      <c r="E503">
        <v>1</v>
      </c>
      <c r="F503" t="s">
        <v>789</v>
      </c>
      <c r="H503" t="str">
        <f t="shared" si="7"/>
        <v>(NULL,"9","19","1","Quality, Conciousness, Habits And Processes"),</v>
      </c>
      <c r="I503" t="str">
        <f>TextJoin(tblClasses[[#This Row],[STermID]:[Description]],"Value")</f>
        <v>"9","19","1","Quality, Conciousness, Habits And Processes"</v>
      </c>
    </row>
    <row r="504" spans="2:9" x14ac:dyDescent="0.25">
      <c r="B504">
        <v>502</v>
      </c>
      <c r="C504">
        <v>9</v>
      </c>
      <c r="D504">
        <v>19</v>
      </c>
      <c r="E504">
        <v>1</v>
      </c>
      <c r="F504" t="s">
        <v>787</v>
      </c>
      <c r="H504" t="str">
        <f t="shared" si="7"/>
        <v>(NULL,"9","19","1","Philosophy Of Man"),</v>
      </c>
      <c r="I504" t="str">
        <f>TextJoin(tblClasses[[#This Row],[STermID]:[Description]],"Value")</f>
        <v>"9","19","1","Philosophy Of Man"</v>
      </c>
    </row>
    <row r="505" spans="2:9" x14ac:dyDescent="0.25">
      <c r="B505">
        <v>503</v>
      </c>
      <c r="C505">
        <v>9</v>
      </c>
      <c r="D505">
        <v>19</v>
      </c>
      <c r="E505">
        <v>1</v>
      </c>
      <c r="F505" t="s">
        <v>311</v>
      </c>
      <c r="H505" t="str">
        <f t="shared" si="7"/>
        <v>(NULL,"9","19","1","General Physics 1"),</v>
      </c>
      <c r="I505" t="str">
        <f>TextJoin(tblClasses[[#This Row],[STermID]:[Description]],"Value")</f>
        <v>"9","19","1","General Physics 1"</v>
      </c>
    </row>
    <row r="506" spans="2:9" x14ac:dyDescent="0.25">
      <c r="B506">
        <v>504</v>
      </c>
      <c r="C506">
        <v>9</v>
      </c>
      <c r="D506">
        <v>19</v>
      </c>
      <c r="E506">
        <v>1</v>
      </c>
      <c r="F506" t="s">
        <v>790</v>
      </c>
      <c r="H506" t="str">
        <f t="shared" si="7"/>
        <v>(NULL,"9","19","1","Statistics And Probabilities"),</v>
      </c>
      <c r="I506" t="str">
        <f>TextJoin(tblClasses[[#This Row],[STermID]:[Description]],"Value")</f>
        <v>"9","19","1","Statistics And Probabilities"</v>
      </c>
    </row>
    <row r="507" spans="2:9" x14ac:dyDescent="0.25">
      <c r="B507">
        <v>505</v>
      </c>
      <c r="C507">
        <v>9</v>
      </c>
      <c r="D507">
        <v>19</v>
      </c>
      <c r="E507">
        <v>1</v>
      </c>
      <c r="F507" t="s">
        <v>325</v>
      </c>
      <c r="H507" t="str">
        <f t="shared" si="7"/>
        <v>(NULL,"9","19","1","Integral Calculus"),</v>
      </c>
      <c r="I507" t="str">
        <f>TextJoin(tblClasses[[#This Row],[STermID]:[Description]],"Value")</f>
        <v>"9","19","1","Integral Calculus"</v>
      </c>
    </row>
    <row r="508" spans="2:9" x14ac:dyDescent="0.25">
      <c r="B508">
        <v>506</v>
      </c>
      <c r="C508">
        <v>9</v>
      </c>
      <c r="D508">
        <v>19</v>
      </c>
      <c r="E508">
        <v>1</v>
      </c>
      <c r="F508" t="s">
        <v>327</v>
      </c>
      <c r="H508" t="str">
        <f t="shared" si="7"/>
        <v>(NULL,"9","19","1","General Physics 2"),</v>
      </c>
      <c r="I508" t="str">
        <f>TextJoin(tblClasses[[#This Row],[STermID]:[Description]],"Value")</f>
        <v>"9","19","1","General Physics 2"</v>
      </c>
    </row>
    <row r="509" spans="2:9" x14ac:dyDescent="0.25">
      <c r="B509">
        <v>507</v>
      </c>
      <c r="C509">
        <v>9</v>
      </c>
      <c r="D509">
        <v>19</v>
      </c>
      <c r="E509">
        <v>1</v>
      </c>
      <c r="F509" t="s">
        <v>329</v>
      </c>
      <c r="H509" t="str">
        <f t="shared" si="7"/>
        <v>(NULL,"9","19","1","Data Structure &amp; Algorithm Analysis"),</v>
      </c>
      <c r="I509" t="str">
        <f>TextJoin(tblClasses[[#This Row],[STermID]:[Description]],"Value")</f>
        <v>"9","19","1","Data Structure &amp; Algorithm Analysis"</v>
      </c>
    </row>
    <row r="510" spans="2:9" x14ac:dyDescent="0.25">
      <c r="B510">
        <v>508</v>
      </c>
      <c r="C510">
        <v>9</v>
      </c>
      <c r="D510">
        <v>19</v>
      </c>
      <c r="E510">
        <v>1</v>
      </c>
      <c r="F510" t="s">
        <v>331</v>
      </c>
      <c r="H510" t="str">
        <f t="shared" si="7"/>
        <v>(NULL,"9","19","1","General Psychology"),</v>
      </c>
      <c r="I510" t="str">
        <f>TextJoin(tblClasses[[#This Row],[STermID]:[Description]],"Value")</f>
        <v>"9","19","1","General Psychology"</v>
      </c>
    </row>
    <row r="511" spans="2:9" x14ac:dyDescent="0.25">
      <c r="B511">
        <v>509</v>
      </c>
      <c r="C511">
        <v>9</v>
      </c>
      <c r="D511">
        <v>19</v>
      </c>
      <c r="E511">
        <v>1</v>
      </c>
      <c r="F511" t="s">
        <v>333</v>
      </c>
      <c r="H511" t="str">
        <f t="shared" si="7"/>
        <v>(NULL,"9","19","1","Philippine Literature"),</v>
      </c>
      <c r="I511" t="str">
        <f>TextJoin(tblClasses[[#This Row],[STermID]:[Description]],"Value")</f>
        <v>"9","19","1","Philippine Literature"</v>
      </c>
    </row>
    <row r="512" spans="2:9" x14ac:dyDescent="0.25">
      <c r="B512">
        <v>510</v>
      </c>
      <c r="C512">
        <v>9</v>
      </c>
      <c r="D512">
        <v>19</v>
      </c>
      <c r="E512">
        <v>1</v>
      </c>
      <c r="F512" t="s">
        <v>335</v>
      </c>
      <c r="H512" t="str">
        <f t="shared" si="7"/>
        <v>(NULL,"9","19","1","Group Games"),</v>
      </c>
      <c r="I512" t="str">
        <f>TextJoin(tblClasses[[#This Row],[STermID]:[Description]],"Value")</f>
        <v>"9","19","1","Group Games"</v>
      </c>
    </row>
    <row r="513" spans="2:9" x14ac:dyDescent="0.25">
      <c r="B513">
        <v>511</v>
      </c>
      <c r="C513">
        <v>9</v>
      </c>
      <c r="D513">
        <v>19</v>
      </c>
      <c r="E513">
        <v>1</v>
      </c>
      <c r="F513" t="s">
        <v>461</v>
      </c>
      <c r="H513" t="str">
        <f t="shared" si="7"/>
        <v>(NULL,"9","19","1","Database Management System"),</v>
      </c>
      <c r="I513" t="str">
        <f>TextJoin(tblClasses[[#This Row],[STermID]:[Description]],"Value")</f>
        <v>"9","19","1","Database Management System"</v>
      </c>
    </row>
    <row r="514" spans="2:9" x14ac:dyDescent="0.25">
      <c r="B514">
        <v>512</v>
      </c>
      <c r="C514">
        <v>9</v>
      </c>
      <c r="D514">
        <v>19</v>
      </c>
      <c r="E514">
        <v>1</v>
      </c>
      <c r="F514" t="s">
        <v>791</v>
      </c>
      <c r="H514" t="str">
        <f t="shared" si="7"/>
        <v>(NULL,"9","19","1","System Analysis And Design"),</v>
      </c>
      <c r="I514" t="str">
        <f>TextJoin(tblClasses[[#This Row],[STermID]:[Description]],"Value")</f>
        <v>"9","19","1","System Analysis And Design"</v>
      </c>
    </row>
    <row r="515" spans="2:9" x14ac:dyDescent="0.25">
      <c r="B515">
        <v>513</v>
      </c>
      <c r="C515">
        <v>9</v>
      </c>
      <c r="D515">
        <v>19</v>
      </c>
      <c r="E515">
        <v>1</v>
      </c>
      <c r="F515" t="s">
        <v>464</v>
      </c>
      <c r="H515" t="str">
        <f t="shared" si="7"/>
        <v>(NULL,"9","19","1","Network Management"),</v>
      </c>
      <c r="I515" t="str">
        <f>TextJoin(tblClasses[[#This Row],[STermID]:[Description]],"Value")</f>
        <v>"9","19","1","Network Management"</v>
      </c>
    </row>
    <row r="516" spans="2:9" x14ac:dyDescent="0.25">
      <c r="B516">
        <v>514</v>
      </c>
      <c r="C516">
        <v>9</v>
      </c>
      <c r="D516">
        <v>19</v>
      </c>
      <c r="E516">
        <v>1</v>
      </c>
      <c r="F516" t="s">
        <v>792</v>
      </c>
      <c r="H516" t="str">
        <f t="shared" ref="H516:H579" si="8">"(NULL,"&amp;I516&amp;")"&amp;IF(H517&lt;&gt;"",",",";")</f>
        <v>(NULL,"9","19","1","Logic Design &amp; Switching Theory"),</v>
      </c>
      <c r="I516" t="str">
        <f>TextJoin(tblClasses[[#This Row],[STermID]:[Description]],"Value")</f>
        <v>"9","19","1","Logic Design &amp; Switching Theory"</v>
      </c>
    </row>
    <row r="517" spans="2:9" x14ac:dyDescent="0.25">
      <c r="B517">
        <v>515</v>
      </c>
      <c r="C517">
        <v>9</v>
      </c>
      <c r="D517">
        <v>19</v>
      </c>
      <c r="E517">
        <v>1</v>
      </c>
      <c r="F517" t="s">
        <v>468</v>
      </c>
      <c r="H517" t="str">
        <f t="shared" si="8"/>
        <v>(NULL,"9","19","1","Free Elective (SAP)"),</v>
      </c>
      <c r="I517" t="str">
        <f>TextJoin(tblClasses[[#This Row],[STermID]:[Description]],"Value")</f>
        <v>"9","19","1","Free Elective (SAP)"</v>
      </c>
    </row>
    <row r="518" spans="2:9" x14ac:dyDescent="0.25">
      <c r="B518">
        <v>516</v>
      </c>
      <c r="C518">
        <v>9</v>
      </c>
      <c r="D518">
        <v>19</v>
      </c>
      <c r="E518">
        <v>1</v>
      </c>
      <c r="F518" t="s">
        <v>473</v>
      </c>
      <c r="H518" t="str">
        <f t="shared" si="8"/>
        <v>(NULL,"9","19","1","Philippine History"),</v>
      </c>
      <c r="I518" t="str">
        <f>TextJoin(tblClasses[[#This Row],[STermID]:[Description]],"Value")</f>
        <v>"9","19","1","Philippine History"</v>
      </c>
    </row>
    <row r="519" spans="2:9" x14ac:dyDescent="0.25">
      <c r="B519">
        <v>517</v>
      </c>
      <c r="C519">
        <v>9</v>
      </c>
      <c r="D519">
        <v>19</v>
      </c>
      <c r="E519">
        <v>1</v>
      </c>
      <c r="F519" t="s">
        <v>353</v>
      </c>
      <c r="H519" t="str">
        <f t="shared" si="8"/>
        <v>(NULL,"9","19","1","Advance Engineering Mathematics"),</v>
      </c>
      <c r="I519" t="str">
        <f>TextJoin(tblClasses[[#This Row],[STermID]:[Description]],"Value")</f>
        <v>"9","19","1","Advance Engineering Mathematics"</v>
      </c>
    </row>
    <row r="520" spans="2:9" x14ac:dyDescent="0.25">
      <c r="B520">
        <v>518</v>
      </c>
      <c r="C520">
        <v>9</v>
      </c>
      <c r="D520">
        <v>19</v>
      </c>
      <c r="E520">
        <v>1</v>
      </c>
      <c r="F520" t="s">
        <v>793</v>
      </c>
      <c r="H520" t="str">
        <f t="shared" si="8"/>
        <v>(NULL,"9","19","1","Dynamics Of Rigid Bodies"),</v>
      </c>
      <c r="I520" t="str">
        <f>TextJoin(tblClasses[[#This Row],[STermID]:[Description]],"Value")</f>
        <v>"9","19","1","Dynamics Of Rigid Bodies"</v>
      </c>
    </row>
    <row r="521" spans="2:9" x14ac:dyDescent="0.25">
      <c r="B521">
        <v>519</v>
      </c>
      <c r="C521">
        <v>9</v>
      </c>
      <c r="D521">
        <v>19</v>
      </c>
      <c r="E521">
        <v>1</v>
      </c>
      <c r="F521" t="s">
        <v>357</v>
      </c>
      <c r="H521" t="str">
        <f t="shared" si="8"/>
        <v>(NULL,"9","19","1","Engineering Materials"),</v>
      </c>
      <c r="I521" t="str">
        <f>TextJoin(tblClasses[[#This Row],[STermID]:[Description]],"Value")</f>
        <v>"9","19","1","Engineering Materials"</v>
      </c>
    </row>
    <row r="522" spans="2:9" x14ac:dyDescent="0.25">
      <c r="B522">
        <v>520</v>
      </c>
      <c r="C522">
        <v>9</v>
      </c>
      <c r="D522">
        <v>19</v>
      </c>
      <c r="E522">
        <v>1</v>
      </c>
      <c r="F522" t="s">
        <v>359</v>
      </c>
      <c r="H522" t="str">
        <f t="shared" si="8"/>
        <v>(NULL,"9","19","1","CISCO 1"),</v>
      </c>
      <c r="I522" t="str">
        <f>TextJoin(tblClasses[[#This Row],[STermID]:[Description]],"Value")</f>
        <v>"9","19","1","CISCO 1"</v>
      </c>
    </row>
    <row r="523" spans="2:9" x14ac:dyDescent="0.25">
      <c r="B523">
        <v>521</v>
      </c>
      <c r="C523">
        <v>9</v>
      </c>
      <c r="D523">
        <v>19</v>
      </c>
      <c r="E523">
        <v>1</v>
      </c>
      <c r="F523" t="s">
        <v>361</v>
      </c>
      <c r="H523" t="str">
        <f t="shared" si="8"/>
        <v>(NULL,"9","19","1","Electronics 2"),</v>
      </c>
      <c r="I523" t="str">
        <f>TextJoin(tblClasses[[#This Row],[STermID]:[Description]],"Value")</f>
        <v>"9","19","1","Electronics 2"</v>
      </c>
    </row>
    <row r="524" spans="2:9" x14ac:dyDescent="0.25">
      <c r="B524">
        <v>522</v>
      </c>
      <c r="C524">
        <v>9</v>
      </c>
      <c r="D524">
        <v>19</v>
      </c>
      <c r="E524">
        <v>1</v>
      </c>
      <c r="F524" t="s">
        <v>363</v>
      </c>
      <c r="H524" t="str">
        <f t="shared" si="8"/>
        <v>(NULL,"9","19","1","Circuit Analysis 2"),</v>
      </c>
      <c r="I524" t="str">
        <f>TextJoin(tblClasses[[#This Row],[STermID]:[Description]],"Value")</f>
        <v>"9","19","1","Circuit Analysis 2"</v>
      </c>
    </row>
    <row r="525" spans="2:9" x14ac:dyDescent="0.25">
      <c r="B525">
        <v>523</v>
      </c>
      <c r="C525">
        <v>9</v>
      </c>
      <c r="D525">
        <v>19</v>
      </c>
      <c r="E525">
        <v>1</v>
      </c>
      <c r="F525" t="s">
        <v>365</v>
      </c>
      <c r="H525" t="str">
        <f t="shared" si="8"/>
        <v>(NULL,"9","19","1","Logic Circuit &amp; Switching Theory"),</v>
      </c>
      <c r="I525" t="str">
        <f>TextJoin(tblClasses[[#This Row],[STermID]:[Description]],"Value")</f>
        <v>"9","19","1","Logic Circuit &amp; Switching Theory"</v>
      </c>
    </row>
    <row r="526" spans="2:9" x14ac:dyDescent="0.25">
      <c r="B526">
        <v>524</v>
      </c>
      <c r="C526">
        <v>9</v>
      </c>
      <c r="D526">
        <v>19</v>
      </c>
      <c r="E526">
        <v>1</v>
      </c>
      <c r="F526" t="s">
        <v>367</v>
      </c>
      <c r="H526" t="str">
        <f t="shared" si="8"/>
        <v>(NULL,"9","19","1","Operating System"),</v>
      </c>
      <c r="I526" t="str">
        <f>TextJoin(tblClasses[[#This Row],[STermID]:[Description]],"Value")</f>
        <v>"9","19","1","Operating System"</v>
      </c>
    </row>
    <row r="527" spans="2:9" x14ac:dyDescent="0.25">
      <c r="B527">
        <v>525</v>
      </c>
      <c r="C527">
        <v>9</v>
      </c>
      <c r="D527">
        <v>19</v>
      </c>
      <c r="E527">
        <v>1</v>
      </c>
      <c r="F527" t="s">
        <v>794</v>
      </c>
      <c r="H527" t="str">
        <f t="shared" si="8"/>
        <v>(NULL,"9","19","1","Software Enginnering"),</v>
      </c>
      <c r="I527" t="str">
        <f>TextJoin(tblClasses[[#This Row],[STermID]:[Description]],"Value")</f>
        <v>"9","19","1","Software Enginnering"</v>
      </c>
    </row>
    <row r="528" spans="2:9" x14ac:dyDescent="0.25">
      <c r="B528">
        <v>526</v>
      </c>
      <c r="C528">
        <v>9</v>
      </c>
      <c r="D528">
        <v>19</v>
      </c>
      <c r="E528">
        <v>1</v>
      </c>
      <c r="F528" t="s">
        <v>795</v>
      </c>
      <c r="H528" t="str">
        <f t="shared" si="8"/>
        <v>(NULL,"9","19","1","Multimedia Systems"),</v>
      </c>
      <c r="I528" t="str">
        <f>TextJoin(tblClasses[[#This Row],[STermID]:[Description]],"Value")</f>
        <v>"9","19","1","Multimedia Systems"</v>
      </c>
    </row>
    <row r="529" spans="2:9" x14ac:dyDescent="0.25">
      <c r="B529">
        <v>527</v>
      </c>
      <c r="C529">
        <v>9</v>
      </c>
      <c r="D529">
        <v>19</v>
      </c>
      <c r="E529">
        <v>1</v>
      </c>
      <c r="F529" t="s">
        <v>490</v>
      </c>
      <c r="H529" t="str">
        <f t="shared" si="8"/>
        <v>(NULL,"9","19","1","Advance Database Management Systems"),</v>
      </c>
      <c r="I529" t="str">
        <f>TextJoin(tblClasses[[#This Row],[STermID]:[Description]],"Value")</f>
        <v>"9","19","1","Advance Database Management Systems"</v>
      </c>
    </row>
    <row r="530" spans="2:9" x14ac:dyDescent="0.25">
      <c r="B530">
        <v>528</v>
      </c>
      <c r="C530">
        <v>9</v>
      </c>
      <c r="D530">
        <v>19</v>
      </c>
      <c r="E530">
        <v>1</v>
      </c>
      <c r="F530" t="s">
        <v>492</v>
      </c>
      <c r="H530" t="str">
        <f t="shared" si="8"/>
        <v>(NULL,"9","19","1","Technopreneurship"),</v>
      </c>
      <c r="I530" t="str">
        <f>TextJoin(tblClasses[[#This Row],[STermID]:[Description]],"Value")</f>
        <v>"9","19","1","Technopreneurship"</v>
      </c>
    </row>
    <row r="531" spans="2:9" x14ac:dyDescent="0.25">
      <c r="B531">
        <v>529</v>
      </c>
      <c r="C531">
        <v>9</v>
      </c>
      <c r="D531">
        <v>19</v>
      </c>
      <c r="E531">
        <v>1</v>
      </c>
      <c r="F531" t="s">
        <v>371</v>
      </c>
      <c r="H531" t="str">
        <f t="shared" si="8"/>
        <v>(NULL,"9","19","1","CISCO 2"),</v>
      </c>
      <c r="I531" t="str">
        <f>TextJoin(tblClasses[[#This Row],[STermID]:[Description]],"Value")</f>
        <v>"9","19","1","CISCO 2"</v>
      </c>
    </row>
    <row r="532" spans="2:9" x14ac:dyDescent="0.25">
      <c r="B532">
        <v>530</v>
      </c>
      <c r="C532">
        <v>9</v>
      </c>
      <c r="D532">
        <v>19</v>
      </c>
      <c r="E532">
        <v>1</v>
      </c>
      <c r="F532" t="s">
        <v>796</v>
      </c>
      <c r="H532" t="str">
        <f t="shared" si="8"/>
        <v>(NULL,"9","19","1","Society &amp; Culture W/ Hiv Aids Education"),</v>
      </c>
      <c r="I532" t="str">
        <f>TextJoin(tblClasses[[#This Row],[STermID]:[Description]],"Value")</f>
        <v>"9","19","1","Society &amp; Culture W/ Hiv Aids Education"</v>
      </c>
    </row>
    <row r="533" spans="2:9" x14ac:dyDescent="0.25">
      <c r="B533">
        <v>531</v>
      </c>
      <c r="C533">
        <v>9</v>
      </c>
      <c r="D533">
        <v>19</v>
      </c>
      <c r="E533">
        <v>1</v>
      </c>
      <c r="F533" t="s">
        <v>797</v>
      </c>
      <c r="H533" t="str">
        <f t="shared" si="8"/>
        <v>(NULL,"9","19","1","It Elective 2 (Network Administration)"),</v>
      </c>
      <c r="I533" t="str">
        <f>TextJoin(tblClasses[[#This Row],[STermID]:[Description]],"Value")</f>
        <v>"9","19","1","It Elective 2 (Network Administration)"</v>
      </c>
    </row>
    <row r="534" spans="2:9" x14ac:dyDescent="0.25">
      <c r="B534">
        <v>532</v>
      </c>
      <c r="C534">
        <v>9</v>
      </c>
      <c r="D534">
        <v>19</v>
      </c>
      <c r="E534">
        <v>1</v>
      </c>
      <c r="F534" t="s">
        <v>796</v>
      </c>
      <c r="H534" t="str">
        <f t="shared" si="8"/>
        <v>(NULL,"9","19","1","Society &amp; Culture W/ Hiv Aids Education"),</v>
      </c>
      <c r="I534" t="str">
        <f>TextJoin(tblClasses[[#This Row],[STermID]:[Description]],"Value")</f>
        <v>"9","19","1","Society &amp; Culture W/ Hiv Aids Education"</v>
      </c>
    </row>
    <row r="535" spans="2:9" x14ac:dyDescent="0.25">
      <c r="B535">
        <v>533</v>
      </c>
      <c r="C535">
        <v>9</v>
      </c>
      <c r="D535">
        <v>19</v>
      </c>
      <c r="E535">
        <v>1</v>
      </c>
      <c r="F535" t="s">
        <v>387</v>
      </c>
      <c r="H535" t="str">
        <f t="shared" si="8"/>
        <v>(NULL,"9","19","1","Microprocessor &amp; Microcontroller Systems"),</v>
      </c>
      <c r="I535" t="str">
        <f>TextJoin(tblClasses[[#This Row],[STermID]:[Description]],"Value")</f>
        <v>"9","19","1","Microprocessor &amp; Microcontroller Systems"</v>
      </c>
    </row>
    <row r="536" spans="2:9" x14ac:dyDescent="0.25">
      <c r="B536">
        <v>534</v>
      </c>
      <c r="C536">
        <v>9</v>
      </c>
      <c r="D536">
        <v>19</v>
      </c>
      <c r="E536">
        <v>1</v>
      </c>
      <c r="F536" t="s">
        <v>389</v>
      </c>
      <c r="H536" t="str">
        <f t="shared" si="8"/>
        <v>(NULL,"9","19","1","Data Communications"),</v>
      </c>
      <c r="I536" t="str">
        <f>TextJoin(tblClasses[[#This Row],[STermID]:[Description]],"Value")</f>
        <v>"9","19","1","Data Communications"</v>
      </c>
    </row>
    <row r="537" spans="2:9" x14ac:dyDescent="0.25">
      <c r="B537">
        <v>535</v>
      </c>
      <c r="C537">
        <v>9</v>
      </c>
      <c r="D537">
        <v>19</v>
      </c>
      <c r="E537">
        <v>1</v>
      </c>
      <c r="F537" t="s">
        <v>391</v>
      </c>
      <c r="H537" t="str">
        <f t="shared" si="8"/>
        <v>(NULL,"9","19","1","Computer System Architecture"),</v>
      </c>
      <c r="I537" t="str">
        <f>TextJoin(tblClasses[[#This Row],[STermID]:[Description]],"Value")</f>
        <v>"9","19","1","Computer System Architecture"</v>
      </c>
    </row>
    <row r="538" spans="2:9" x14ac:dyDescent="0.25">
      <c r="B538">
        <v>536</v>
      </c>
      <c r="C538">
        <v>9</v>
      </c>
      <c r="D538">
        <v>19</v>
      </c>
      <c r="E538">
        <v>1</v>
      </c>
      <c r="F538" t="s">
        <v>393</v>
      </c>
      <c r="H538" t="str">
        <f t="shared" si="8"/>
        <v>(NULL,"9","19","1","Environmental Engineering"),</v>
      </c>
      <c r="I538" t="str">
        <f>TextJoin(tblClasses[[#This Row],[STermID]:[Description]],"Value")</f>
        <v>"9","19","1","Environmental Engineering"</v>
      </c>
    </row>
    <row r="539" spans="2:9" x14ac:dyDescent="0.25">
      <c r="B539">
        <v>537</v>
      </c>
      <c r="C539">
        <v>9</v>
      </c>
      <c r="D539">
        <v>19</v>
      </c>
      <c r="E539">
        <v>1</v>
      </c>
      <c r="F539" t="s">
        <v>415</v>
      </c>
      <c r="H539" t="str">
        <f t="shared" si="8"/>
        <v>(NULL,"9","19","1","CISCO 3"),</v>
      </c>
      <c r="I539" t="str">
        <f>TextJoin(tblClasses[[#This Row],[STermID]:[Description]],"Value")</f>
        <v>"9","19","1","CISCO 3"</v>
      </c>
    </row>
    <row r="540" spans="2:9" x14ac:dyDescent="0.25">
      <c r="B540">
        <v>538</v>
      </c>
      <c r="C540">
        <v>9</v>
      </c>
      <c r="D540">
        <v>19</v>
      </c>
      <c r="E540">
        <v>1</v>
      </c>
      <c r="F540" t="s">
        <v>396</v>
      </c>
      <c r="H540" t="str">
        <f t="shared" si="8"/>
        <v>(NULL,"9","19","1","Elective 1"),</v>
      </c>
      <c r="I540" t="str">
        <f>TextJoin(tblClasses[[#This Row],[STermID]:[Description]],"Value")</f>
        <v>"9","19","1","Elective 1"</v>
      </c>
    </row>
    <row r="541" spans="2:9" x14ac:dyDescent="0.25">
      <c r="B541">
        <v>539</v>
      </c>
      <c r="C541">
        <v>9</v>
      </c>
      <c r="D541">
        <v>19</v>
      </c>
      <c r="E541">
        <v>1</v>
      </c>
      <c r="F541" t="s">
        <v>798</v>
      </c>
      <c r="H541" t="str">
        <f t="shared" si="8"/>
        <v>(NULL,"9","19","1","Information Technology Design 2"),</v>
      </c>
      <c r="I541" t="str">
        <f>TextJoin(tblClasses[[#This Row],[STermID]:[Description]],"Value")</f>
        <v>"9","19","1","Information Technology Design 2"</v>
      </c>
    </row>
    <row r="542" spans="2:9" x14ac:dyDescent="0.25">
      <c r="B542">
        <v>540</v>
      </c>
      <c r="C542">
        <v>9</v>
      </c>
      <c r="D542">
        <v>19</v>
      </c>
      <c r="E542">
        <v>1</v>
      </c>
      <c r="F542" t="s">
        <v>799</v>
      </c>
      <c r="H542" t="str">
        <f t="shared" si="8"/>
        <v>(NULL,"9","19","1","It Elective 4 (It Project Management)"),</v>
      </c>
      <c r="I542" t="str">
        <f>TextJoin(tblClasses[[#This Row],[STermID]:[Description]],"Value")</f>
        <v>"9","19","1","It Elective 4 (It Project Management)"</v>
      </c>
    </row>
    <row r="543" spans="2:9" x14ac:dyDescent="0.25">
      <c r="B543">
        <v>541</v>
      </c>
      <c r="C543">
        <v>9</v>
      </c>
      <c r="D543">
        <v>19</v>
      </c>
      <c r="E543">
        <v>1</v>
      </c>
      <c r="F543" t="s">
        <v>514</v>
      </c>
      <c r="H543" t="str">
        <f t="shared" si="8"/>
        <v>(NULL,"9","19","1","Contact Center"),</v>
      </c>
      <c r="I543" t="str">
        <f>TextJoin(tblClasses[[#This Row],[STermID]:[Description]],"Value")</f>
        <v>"9","19","1","Contact Center"</v>
      </c>
    </row>
    <row r="544" spans="2:9" x14ac:dyDescent="0.25">
      <c r="B544">
        <v>542</v>
      </c>
      <c r="C544">
        <v>9</v>
      </c>
      <c r="D544">
        <v>19</v>
      </c>
      <c r="E544">
        <v>1</v>
      </c>
      <c r="F544" t="s">
        <v>508</v>
      </c>
      <c r="H544" t="str">
        <f t="shared" si="8"/>
        <v>(NULL,"9","19","1","CISCO 4"),</v>
      </c>
      <c r="I544" t="str">
        <f>TextJoin(tblClasses[[#This Row],[STermID]:[Description]],"Value")</f>
        <v>"9","19","1","CISCO 4"</v>
      </c>
    </row>
    <row r="545" spans="2:9" x14ac:dyDescent="0.25">
      <c r="B545">
        <v>543</v>
      </c>
      <c r="C545">
        <v>9</v>
      </c>
      <c r="D545">
        <v>19</v>
      </c>
      <c r="E545">
        <v>1</v>
      </c>
      <c r="F545" t="s">
        <v>800</v>
      </c>
      <c r="H545" t="str">
        <f t="shared" si="8"/>
        <v>(NULL,"9","19","1","Seminar And Fieldtrip"),</v>
      </c>
      <c r="I545" t="str">
        <f>TextJoin(tblClasses[[#This Row],[STermID]:[Description]],"Value")</f>
        <v>"9","19","1","Seminar And Fieldtrip"</v>
      </c>
    </row>
    <row r="546" spans="2:9" x14ac:dyDescent="0.25">
      <c r="B546">
        <v>544</v>
      </c>
      <c r="C546">
        <v>9</v>
      </c>
      <c r="D546">
        <v>19</v>
      </c>
      <c r="E546">
        <v>1</v>
      </c>
      <c r="F546" t="s">
        <v>417</v>
      </c>
      <c r="H546" t="str">
        <f t="shared" si="8"/>
        <v>(NULL,"9","19","1","Engineering Management"),</v>
      </c>
      <c r="I546" t="str">
        <f>TextJoin(tblClasses[[#This Row],[STermID]:[Description]],"Value")</f>
        <v>"9","19","1","Engineering Management"</v>
      </c>
    </row>
    <row r="547" spans="2:9" x14ac:dyDescent="0.25">
      <c r="B547">
        <v>545</v>
      </c>
      <c r="C547">
        <v>9</v>
      </c>
      <c r="D547">
        <v>19</v>
      </c>
      <c r="E547">
        <v>1</v>
      </c>
      <c r="F547" t="s">
        <v>419</v>
      </c>
      <c r="H547" t="str">
        <f t="shared" si="8"/>
        <v>(NULL,"9","19","1","Software Engineering"),</v>
      </c>
      <c r="I547" t="str">
        <f>TextJoin(tblClasses[[#This Row],[STermID]:[Description]],"Value")</f>
        <v>"9","19","1","Software Engineering"</v>
      </c>
    </row>
    <row r="548" spans="2:9" x14ac:dyDescent="0.25">
      <c r="B548">
        <v>546</v>
      </c>
      <c r="C548">
        <v>9</v>
      </c>
      <c r="D548">
        <v>19</v>
      </c>
      <c r="E548">
        <v>1</v>
      </c>
      <c r="F548" t="s">
        <v>801</v>
      </c>
      <c r="H548" t="str">
        <f t="shared" si="8"/>
        <v>(NULL,"9","19","1","Entreperneurship"),</v>
      </c>
      <c r="I548" t="str">
        <f>TextJoin(tblClasses[[#This Row],[STermID]:[Description]],"Value")</f>
        <v>"9","19","1","Entreperneurship"</v>
      </c>
    </row>
    <row r="549" spans="2:9" x14ac:dyDescent="0.25">
      <c r="B549">
        <v>547</v>
      </c>
      <c r="C549">
        <v>9</v>
      </c>
      <c r="D549">
        <v>19</v>
      </c>
      <c r="E549">
        <v>1</v>
      </c>
      <c r="F549" t="s">
        <v>802</v>
      </c>
      <c r="H549" t="str">
        <f t="shared" si="8"/>
        <v>(NULL,"9","19","1","Eng'G Design, Research &amp; Dev'T"),</v>
      </c>
      <c r="I549" t="str">
        <f>TextJoin(tblClasses[[#This Row],[STermID]:[Description]],"Value")</f>
        <v>"9","19","1","Eng'G Design, Research &amp; Dev'T"</v>
      </c>
    </row>
    <row r="550" spans="2:9" x14ac:dyDescent="0.25">
      <c r="B550">
        <v>548</v>
      </c>
      <c r="C550">
        <v>9</v>
      </c>
      <c r="D550">
        <v>19</v>
      </c>
      <c r="E550">
        <v>1</v>
      </c>
      <c r="F550" t="s">
        <v>425</v>
      </c>
      <c r="H550" t="str">
        <f t="shared" si="8"/>
        <v>(NULL,"9","19","1","Elective 3"),</v>
      </c>
      <c r="I550" t="str">
        <f>TextJoin(tblClasses[[#This Row],[STermID]:[Description]],"Value")</f>
        <v>"9","19","1","Elective 3"</v>
      </c>
    </row>
    <row r="551" spans="2:9" x14ac:dyDescent="0.25">
      <c r="B551">
        <v>549</v>
      </c>
      <c r="C551">
        <v>9</v>
      </c>
      <c r="D551">
        <v>19</v>
      </c>
      <c r="E551">
        <v>1</v>
      </c>
      <c r="F551" t="s">
        <v>803</v>
      </c>
      <c r="H551" t="str">
        <f t="shared" si="8"/>
        <v>(NULL,"9","19","1","Seminar &amp; Field Trip"),</v>
      </c>
      <c r="I551" t="str">
        <f>TextJoin(tblClasses[[#This Row],[STermID]:[Description]],"Value")</f>
        <v>"9","19","1","Seminar &amp; Field Trip"</v>
      </c>
    </row>
    <row r="552" spans="2:9" x14ac:dyDescent="0.25">
      <c r="B552">
        <v>550</v>
      </c>
      <c r="C552">
        <v>10</v>
      </c>
      <c r="D552">
        <v>19</v>
      </c>
      <c r="E552">
        <v>1</v>
      </c>
      <c r="F552" t="s">
        <v>270</v>
      </c>
      <c r="H552" t="str">
        <f t="shared" si="8"/>
        <v>(NULL,"10","19","1","Communication Skills 1"),</v>
      </c>
      <c r="I552" t="str">
        <f>TextJoin(tblClasses[[#This Row],[STermID]:[Description]],"Value")</f>
        <v>"10","19","1","Communication Skills 1"</v>
      </c>
    </row>
    <row r="553" spans="2:9" x14ac:dyDescent="0.25">
      <c r="B553">
        <v>551</v>
      </c>
      <c r="C553">
        <v>10</v>
      </c>
      <c r="D553">
        <v>19</v>
      </c>
      <c r="E553">
        <v>1</v>
      </c>
      <c r="F553" t="s">
        <v>272</v>
      </c>
      <c r="H553" t="str">
        <f t="shared" si="8"/>
        <v>(NULL,"10","19","1","College Algebra"),</v>
      </c>
      <c r="I553" t="str">
        <f>TextJoin(tblClasses[[#This Row],[STermID]:[Description]],"Value")</f>
        <v>"10","19","1","College Algebra"</v>
      </c>
    </row>
    <row r="554" spans="2:9" x14ac:dyDescent="0.25">
      <c r="B554">
        <v>552</v>
      </c>
      <c r="C554">
        <v>10</v>
      </c>
      <c r="D554">
        <v>19</v>
      </c>
      <c r="E554">
        <v>1</v>
      </c>
      <c r="F554" t="s">
        <v>804</v>
      </c>
      <c r="H554" t="str">
        <f t="shared" si="8"/>
        <v>(NULL,"10","19","1","Plane And Sperical Trigonometry"),</v>
      </c>
      <c r="I554" t="str">
        <f>TextJoin(tblClasses[[#This Row],[STermID]:[Description]],"Value")</f>
        <v>"10","19","1","Plane And Sperical Trigonometry"</v>
      </c>
    </row>
    <row r="555" spans="2:9" x14ac:dyDescent="0.25">
      <c r="B555">
        <v>553</v>
      </c>
      <c r="C555">
        <v>10</v>
      </c>
      <c r="D555">
        <v>19</v>
      </c>
      <c r="E555">
        <v>1</v>
      </c>
      <c r="F555" t="s">
        <v>276</v>
      </c>
      <c r="H555" t="str">
        <f t="shared" si="8"/>
        <v>(NULL,"10","19","1","General Inorganic Chemistry"),</v>
      </c>
      <c r="I555" t="str">
        <f>TextJoin(tblClasses[[#This Row],[STermID]:[Description]],"Value")</f>
        <v>"10","19","1","General Inorganic Chemistry"</v>
      </c>
    </row>
    <row r="556" spans="2:9" x14ac:dyDescent="0.25">
      <c r="B556">
        <v>554</v>
      </c>
      <c r="C556">
        <v>10</v>
      </c>
      <c r="D556">
        <v>19</v>
      </c>
      <c r="E556">
        <v>1</v>
      </c>
      <c r="F556" t="s">
        <v>278</v>
      </c>
      <c r="H556" t="str">
        <f t="shared" si="8"/>
        <v>(NULL,"10","19","1","Engineering Drawing 1"),</v>
      </c>
      <c r="I556" t="str">
        <f>TextJoin(tblClasses[[#This Row],[STermID]:[Description]],"Value")</f>
        <v>"10","19","1","Engineering Drawing 1"</v>
      </c>
    </row>
    <row r="557" spans="2:9" x14ac:dyDescent="0.25">
      <c r="B557">
        <v>555</v>
      </c>
      <c r="C557">
        <v>10</v>
      </c>
      <c r="D557">
        <v>19</v>
      </c>
      <c r="E557">
        <v>1</v>
      </c>
      <c r="F557" t="s">
        <v>280</v>
      </c>
      <c r="H557" t="str">
        <f t="shared" si="8"/>
        <v>(NULL,"10","19","1","Computer Fundamentals &amp; Programming"),</v>
      </c>
      <c r="I557" t="str">
        <f>TextJoin(tblClasses[[#This Row],[STermID]:[Description]],"Value")</f>
        <v>"10","19","1","Computer Fundamentals &amp; Programming"</v>
      </c>
    </row>
    <row r="558" spans="2:9" x14ac:dyDescent="0.25">
      <c r="B558">
        <v>556</v>
      </c>
      <c r="C558">
        <v>10</v>
      </c>
      <c r="D558">
        <v>19</v>
      </c>
      <c r="E558">
        <v>1</v>
      </c>
      <c r="F558" t="s">
        <v>805</v>
      </c>
      <c r="H558" t="str">
        <f t="shared" si="8"/>
        <v>(NULL,"10","19","1","Sining Ng Pakikipagtalastasan"),</v>
      </c>
      <c r="I558" t="str">
        <f>TextJoin(tblClasses[[#This Row],[STermID]:[Description]],"Value")</f>
        <v>"10","19","1","Sining Ng Pakikipagtalastasan"</v>
      </c>
    </row>
    <row r="559" spans="2:9" x14ac:dyDescent="0.25">
      <c r="B559">
        <v>557</v>
      </c>
      <c r="C559">
        <v>10</v>
      </c>
      <c r="D559">
        <v>19</v>
      </c>
      <c r="E559">
        <v>1</v>
      </c>
      <c r="F559" t="s">
        <v>806</v>
      </c>
      <c r="H559" t="str">
        <f t="shared" si="8"/>
        <v>(NULL,"10","19","1","Physical Fitness/ Gymnastics"),</v>
      </c>
      <c r="I559" t="str">
        <f>TextJoin(tblClasses[[#This Row],[STermID]:[Description]],"Value")</f>
        <v>"10","19","1","Physical Fitness/ Gymnastics"</v>
      </c>
    </row>
    <row r="560" spans="2:9" x14ac:dyDescent="0.25">
      <c r="B560">
        <v>558</v>
      </c>
      <c r="C560">
        <v>10</v>
      </c>
      <c r="D560">
        <v>19</v>
      </c>
      <c r="E560">
        <v>1</v>
      </c>
      <c r="F560" t="s">
        <v>807</v>
      </c>
      <c r="H560" t="str">
        <f t="shared" si="8"/>
        <v>(NULL,"10","19","1","National Service Traning Program 1"),</v>
      </c>
      <c r="I560" t="str">
        <f>TextJoin(tblClasses[[#This Row],[STermID]:[Description]],"Value")</f>
        <v>"10","19","1","National Service Traning Program 1"</v>
      </c>
    </row>
    <row r="561" spans="2:9" x14ac:dyDescent="0.25">
      <c r="B561">
        <v>559</v>
      </c>
      <c r="C561">
        <v>10</v>
      </c>
      <c r="D561">
        <v>19</v>
      </c>
      <c r="E561">
        <v>1</v>
      </c>
      <c r="F561" t="s">
        <v>808</v>
      </c>
      <c r="H561" t="str">
        <f t="shared" si="8"/>
        <v>(NULL,"10","19","1","It Fundamentals"),</v>
      </c>
      <c r="I561" t="str">
        <f>TextJoin(tblClasses[[#This Row],[STermID]:[Description]],"Value")</f>
        <v>"10","19","1","It Fundamentals"</v>
      </c>
    </row>
    <row r="562" spans="2:9" x14ac:dyDescent="0.25">
      <c r="B562">
        <v>560</v>
      </c>
      <c r="C562">
        <v>10</v>
      </c>
      <c r="D562">
        <v>19</v>
      </c>
      <c r="E562">
        <v>1</v>
      </c>
      <c r="F562" t="s">
        <v>432</v>
      </c>
      <c r="H562" t="str">
        <f t="shared" si="8"/>
        <v>(NULL,"10","19","1","Programming 1 (C+)"),</v>
      </c>
      <c r="I562" t="str">
        <f>TextJoin(tblClasses[[#This Row],[STermID]:[Description]],"Value")</f>
        <v>"10","19","1","Programming 1 (C+)"</v>
      </c>
    </row>
    <row r="563" spans="2:9" x14ac:dyDescent="0.25">
      <c r="B563">
        <v>561</v>
      </c>
      <c r="C563">
        <v>10</v>
      </c>
      <c r="D563">
        <v>19</v>
      </c>
      <c r="E563">
        <v>1</v>
      </c>
      <c r="F563" t="s">
        <v>434</v>
      </c>
      <c r="H563" t="str">
        <f t="shared" si="8"/>
        <v>(NULL,"10","19","1","Office Productivity"),</v>
      </c>
      <c r="I563" t="str">
        <f>TextJoin(tblClasses[[#This Row],[STermID]:[Description]],"Value")</f>
        <v>"10","19","1","Office Productivity"</v>
      </c>
    </row>
    <row r="564" spans="2:9" x14ac:dyDescent="0.25">
      <c r="B564">
        <v>562</v>
      </c>
      <c r="C564">
        <v>10</v>
      </c>
      <c r="D564">
        <v>19</v>
      </c>
      <c r="E564">
        <v>1</v>
      </c>
      <c r="F564" t="s">
        <v>331</v>
      </c>
      <c r="H564" t="str">
        <f t="shared" si="8"/>
        <v>(NULL,"10","19","1","General Psychology"),</v>
      </c>
      <c r="I564" t="str">
        <f>TextJoin(tblClasses[[#This Row],[STermID]:[Description]],"Value")</f>
        <v>"10","19","1","General Psychology"</v>
      </c>
    </row>
    <row r="565" spans="2:9" x14ac:dyDescent="0.25">
      <c r="B565">
        <v>563</v>
      </c>
      <c r="C565">
        <v>10</v>
      </c>
      <c r="D565">
        <v>19</v>
      </c>
      <c r="E565">
        <v>1</v>
      </c>
      <c r="F565" s="11" t="s">
        <v>307</v>
      </c>
      <c r="H565" t="str">
        <f t="shared" si="8"/>
        <v>(NULL,"10","19","1","Technical Communications"),</v>
      </c>
      <c r="I565" t="str">
        <f>TextJoin(tblClasses[[#This Row],[STermID]:[Description]],"Value")</f>
        <v>"10","19","1","Technical Communications"</v>
      </c>
    </row>
    <row r="566" spans="2:9" x14ac:dyDescent="0.25">
      <c r="B566">
        <v>564</v>
      </c>
      <c r="C566">
        <v>10</v>
      </c>
      <c r="D566">
        <v>19</v>
      </c>
      <c r="E566">
        <v>1</v>
      </c>
      <c r="F566" s="11" t="s">
        <v>309</v>
      </c>
      <c r="H566" t="str">
        <f t="shared" si="8"/>
        <v>(NULL,"10","19","1","Differential Calculus"),</v>
      </c>
      <c r="I566" t="str">
        <f>TextJoin(tblClasses[[#This Row],[STermID]:[Description]],"Value")</f>
        <v>"10","19","1","Differential Calculus"</v>
      </c>
    </row>
    <row r="567" spans="2:9" x14ac:dyDescent="0.25">
      <c r="B567">
        <v>565</v>
      </c>
      <c r="C567">
        <v>10</v>
      </c>
      <c r="D567">
        <v>19</v>
      </c>
      <c r="E567">
        <v>1</v>
      </c>
      <c r="F567" s="11" t="s">
        <v>311</v>
      </c>
      <c r="H567" t="str">
        <f t="shared" si="8"/>
        <v>(NULL,"10","19","1","General Physics 1"),</v>
      </c>
      <c r="I567" t="str">
        <f>TextJoin(tblClasses[[#This Row],[STermID]:[Description]],"Value")</f>
        <v>"10","19","1","General Physics 1"</v>
      </c>
    </row>
    <row r="568" spans="2:9" x14ac:dyDescent="0.25">
      <c r="B568">
        <v>566</v>
      </c>
      <c r="C568">
        <v>10</v>
      </c>
      <c r="D568">
        <v>19</v>
      </c>
      <c r="E568">
        <v>1</v>
      </c>
      <c r="F568" s="11" t="s">
        <v>752</v>
      </c>
      <c r="H568" t="str">
        <f t="shared" si="8"/>
        <v>(NULL,"10","19","1","Economics W/ Land Reform &amp; Taxation"),</v>
      </c>
      <c r="I568" t="str">
        <f>TextJoin(tblClasses[[#This Row],[STermID]:[Description]],"Value")</f>
        <v>"10","19","1","Economics W/ Land Reform &amp; Taxation"</v>
      </c>
    </row>
    <row r="569" spans="2:9" x14ac:dyDescent="0.25">
      <c r="B569">
        <v>567</v>
      </c>
      <c r="C569">
        <v>10</v>
      </c>
      <c r="D569">
        <v>19</v>
      </c>
      <c r="E569">
        <v>1</v>
      </c>
      <c r="F569" s="12" t="s">
        <v>315</v>
      </c>
      <c r="H569" t="str">
        <f t="shared" si="8"/>
        <v>(NULL,"10","19","1","Philippine History &amp; Culture"),</v>
      </c>
      <c r="I569" t="str">
        <f>TextJoin(tblClasses[[#This Row],[STermID]:[Description]],"Value")</f>
        <v>"10","19","1","Philippine History &amp; Culture"</v>
      </c>
    </row>
    <row r="570" spans="2:9" x14ac:dyDescent="0.25">
      <c r="B570">
        <v>568</v>
      </c>
      <c r="C570">
        <v>10</v>
      </c>
      <c r="D570">
        <v>19</v>
      </c>
      <c r="E570">
        <v>1</v>
      </c>
      <c r="F570" s="12" t="s">
        <v>317</v>
      </c>
      <c r="H570" t="str">
        <f t="shared" si="8"/>
        <v>(NULL,"10","19","1","Computer Hardware Fundamentals"),</v>
      </c>
      <c r="I570" t="str">
        <f>TextJoin(tblClasses[[#This Row],[STermID]:[Description]],"Value")</f>
        <v>"10","19","1","Computer Hardware Fundamentals"</v>
      </c>
    </row>
    <row r="571" spans="2:9" x14ac:dyDescent="0.25">
      <c r="B571">
        <v>569</v>
      </c>
      <c r="C571">
        <v>10</v>
      </c>
      <c r="D571">
        <v>19</v>
      </c>
      <c r="E571">
        <v>1</v>
      </c>
      <c r="F571" s="12" t="s">
        <v>319</v>
      </c>
      <c r="H571" t="str">
        <f t="shared" si="8"/>
        <v>(NULL,"10","19","1","Specialized Athletics"),</v>
      </c>
      <c r="I571" t="str">
        <f>TextJoin(tblClasses[[#This Row],[STermID]:[Description]],"Value")</f>
        <v>"10","19","1","Specialized Athletics"</v>
      </c>
    </row>
    <row r="572" spans="2:9" x14ac:dyDescent="0.25">
      <c r="B572">
        <v>570</v>
      </c>
      <c r="C572">
        <v>10</v>
      </c>
      <c r="D572">
        <v>19</v>
      </c>
      <c r="E572">
        <v>1</v>
      </c>
      <c r="F572" s="27" t="s">
        <v>608</v>
      </c>
      <c r="H572" t="str">
        <f t="shared" si="8"/>
        <v>(NULL,"10","19","1","Arts Appreciation"),</v>
      </c>
      <c r="I572" t="str">
        <f>TextJoin(tblClasses[[#This Row],[STermID]:[Description]],"Value")</f>
        <v>"10","19","1","Arts Appreciation"</v>
      </c>
    </row>
    <row r="573" spans="2:9" x14ac:dyDescent="0.25">
      <c r="B573">
        <v>571</v>
      </c>
      <c r="C573">
        <v>10</v>
      </c>
      <c r="D573">
        <v>19</v>
      </c>
      <c r="E573">
        <v>1</v>
      </c>
      <c r="F573" s="6" t="s">
        <v>753</v>
      </c>
      <c r="H573" t="str">
        <f t="shared" si="8"/>
        <v>(NULL,"10","19","1","Masining Na Pagpapahayag"),</v>
      </c>
      <c r="I573" t="str">
        <f>TextJoin(tblClasses[[#This Row],[STermID]:[Description]],"Value")</f>
        <v>"10","19","1","Masining Na Pagpapahayag"</v>
      </c>
    </row>
    <row r="574" spans="2:9" x14ac:dyDescent="0.25">
      <c r="B574">
        <v>572</v>
      </c>
      <c r="C574">
        <v>10</v>
      </c>
      <c r="D574">
        <v>19</v>
      </c>
      <c r="E574">
        <v>1</v>
      </c>
      <c r="F574" s="6" t="s">
        <v>754</v>
      </c>
      <c r="H574" t="str">
        <f t="shared" si="8"/>
        <v>(NULL,"10","19","1","Computer System Osrganization"),</v>
      </c>
      <c r="I574" t="str">
        <f>TextJoin(tblClasses[[#This Row],[STermID]:[Description]],"Value")</f>
        <v>"10","19","1","Computer System Osrganization"</v>
      </c>
    </row>
    <row r="575" spans="2:9" x14ac:dyDescent="0.25">
      <c r="B575">
        <v>573</v>
      </c>
      <c r="C575">
        <v>10</v>
      </c>
      <c r="D575">
        <v>19</v>
      </c>
      <c r="E575">
        <v>1</v>
      </c>
      <c r="F575" s="7" t="s">
        <v>455</v>
      </c>
      <c r="H575" t="str">
        <f t="shared" si="8"/>
        <v>(NULL,"10","19","1","Object Oriented Programming (Visual Basic)"),</v>
      </c>
      <c r="I575" t="str">
        <f>TextJoin(tblClasses[[#This Row],[STermID]:[Description]],"Value")</f>
        <v>"10","19","1","Object Oriented Programming (Visual Basic)"</v>
      </c>
    </row>
    <row r="576" spans="2:9" x14ac:dyDescent="0.25">
      <c r="B576">
        <v>574</v>
      </c>
      <c r="C576">
        <v>10</v>
      </c>
      <c r="D576">
        <v>19</v>
      </c>
      <c r="E576">
        <v>1</v>
      </c>
      <c r="F576" s="7" t="s">
        <v>755</v>
      </c>
      <c r="H576" t="str">
        <f t="shared" si="8"/>
        <v>(NULL,"10","19","1","Data Structures &amp; Algorithm Analysis"),</v>
      </c>
      <c r="I576" t="str">
        <f>TextJoin(tblClasses[[#This Row],[STermID]:[Description]],"Value")</f>
        <v>"10","19","1","Data Structures &amp; Algorithm Analysis"</v>
      </c>
    </row>
    <row r="577" spans="2:9" x14ac:dyDescent="0.25">
      <c r="B577">
        <v>575</v>
      </c>
      <c r="C577">
        <v>10</v>
      </c>
      <c r="D577">
        <v>19</v>
      </c>
      <c r="E577">
        <v>1</v>
      </c>
      <c r="F577" s="7" t="s">
        <v>756</v>
      </c>
      <c r="H577" t="str">
        <f t="shared" si="8"/>
        <v>(NULL,"10","19","1","Fundamentals Of Accounting"),</v>
      </c>
      <c r="I577" t="str">
        <f>TextJoin(tblClasses[[#This Row],[STermID]:[Description]],"Value")</f>
        <v>"10","19","1","Fundamentals Of Accounting"</v>
      </c>
    </row>
    <row r="578" spans="2:9" x14ac:dyDescent="0.25">
      <c r="B578">
        <v>576</v>
      </c>
      <c r="C578">
        <v>10</v>
      </c>
      <c r="D578">
        <v>19</v>
      </c>
      <c r="E578">
        <v>1</v>
      </c>
      <c r="F578" s="11" t="s">
        <v>757</v>
      </c>
      <c r="H578" t="str">
        <f t="shared" si="8"/>
        <v>(NULL,"10","19","1","Engineering Economy "),</v>
      </c>
      <c r="I578" t="str">
        <f>TextJoin(tblClasses[[#This Row],[STermID]:[Description]],"Value")</f>
        <v>"10","19","1","Engineering Economy "</v>
      </c>
    </row>
    <row r="579" spans="2:9" x14ac:dyDescent="0.25">
      <c r="B579">
        <v>577</v>
      </c>
      <c r="C579">
        <v>10</v>
      </c>
      <c r="D579">
        <v>19</v>
      </c>
      <c r="E579">
        <v>1</v>
      </c>
      <c r="F579" s="11" t="s">
        <v>616</v>
      </c>
      <c r="H579" t="str">
        <f t="shared" si="8"/>
        <v>(NULL,"10","19","1","Differential Equations"),</v>
      </c>
      <c r="I579" t="str">
        <f>TextJoin(tblClasses[[#This Row],[STermID]:[Description]],"Value")</f>
        <v>"10","19","1","Differential Equations"</v>
      </c>
    </row>
    <row r="580" spans="2:9" x14ac:dyDescent="0.25">
      <c r="B580">
        <v>578</v>
      </c>
      <c r="C580">
        <v>10</v>
      </c>
      <c r="D580">
        <v>19</v>
      </c>
      <c r="E580">
        <v>1</v>
      </c>
      <c r="F580" s="11" t="s">
        <v>758</v>
      </c>
      <c r="H580" t="str">
        <f t="shared" ref="H580:H613" si="9">"(NULL,"&amp;I580&amp;")"&amp;IF(H581&lt;&gt;"",",",";")</f>
        <v>(NULL,"10","19","1","Statics Of Rgid Bodies"),</v>
      </c>
      <c r="I580" t="str">
        <f>TextJoin(tblClasses[[#This Row],[STermID]:[Description]],"Value")</f>
        <v>"10","19","1","Statics Of Rgid Bodies"</v>
      </c>
    </row>
    <row r="581" spans="2:9" x14ac:dyDescent="0.25">
      <c r="B581">
        <v>579</v>
      </c>
      <c r="C581">
        <v>10</v>
      </c>
      <c r="D581">
        <v>19</v>
      </c>
      <c r="E581">
        <v>1</v>
      </c>
      <c r="F581" s="11" t="s">
        <v>344</v>
      </c>
      <c r="H581" t="str">
        <f t="shared" si="9"/>
        <v>(NULL,"10","19","1","Circuit Analysis 1"),</v>
      </c>
      <c r="I581" t="str">
        <f>TextJoin(tblClasses[[#This Row],[STermID]:[Description]],"Value")</f>
        <v>"10","19","1","Circuit Analysis 1"</v>
      </c>
    </row>
    <row r="582" spans="2:9" x14ac:dyDescent="0.25">
      <c r="B582">
        <v>580</v>
      </c>
      <c r="C582">
        <v>10</v>
      </c>
      <c r="D582">
        <v>19</v>
      </c>
      <c r="E582">
        <v>1</v>
      </c>
      <c r="F582" s="12" t="s">
        <v>346</v>
      </c>
      <c r="H582" t="str">
        <f t="shared" si="9"/>
        <v>(NULL,"10","19","1","Electromagnetics"),</v>
      </c>
      <c r="I582" t="str">
        <f>TextJoin(tblClasses[[#This Row],[STermID]:[Description]],"Value")</f>
        <v>"10","19","1","Electromagnetics"</v>
      </c>
    </row>
    <row r="583" spans="2:9" x14ac:dyDescent="0.25">
      <c r="B583">
        <v>581</v>
      </c>
      <c r="C583">
        <v>10</v>
      </c>
      <c r="D583">
        <v>19</v>
      </c>
      <c r="E583">
        <v>1</v>
      </c>
      <c r="F583" s="12" t="s">
        <v>348</v>
      </c>
      <c r="H583" t="str">
        <f t="shared" si="9"/>
        <v>(NULL,"10","19","1","Electronics 1"),</v>
      </c>
      <c r="I583" t="str">
        <f>TextJoin(tblClasses[[#This Row],[STermID]:[Description]],"Value")</f>
        <v>"10","19","1","Electronics 1"</v>
      </c>
    </row>
    <row r="584" spans="2:9" x14ac:dyDescent="0.25">
      <c r="B584">
        <v>582</v>
      </c>
      <c r="C584">
        <v>10</v>
      </c>
      <c r="D584">
        <v>19</v>
      </c>
      <c r="E584">
        <v>1</v>
      </c>
      <c r="F584" s="12" t="s">
        <v>759</v>
      </c>
      <c r="H584" t="str">
        <f t="shared" si="9"/>
        <v>(NULL,"10","19","1","Computer Systems Organization W/ Assembly Lang."),</v>
      </c>
      <c r="I584" t="str">
        <f>TextJoin(tblClasses[[#This Row],[STermID]:[Description]],"Value")</f>
        <v>"10","19","1","Computer Systems Organization W/ Assembly Lang."</v>
      </c>
    </row>
    <row r="585" spans="2:9" x14ac:dyDescent="0.25">
      <c r="B585">
        <v>583</v>
      </c>
      <c r="C585">
        <v>10</v>
      </c>
      <c r="D585">
        <v>19</v>
      </c>
      <c r="E585">
        <v>1</v>
      </c>
      <c r="F585" s="27" t="s">
        <v>610</v>
      </c>
      <c r="H585" t="str">
        <f t="shared" si="9"/>
        <v>(NULL,"10","19","1","Discrete Mathematics"),</v>
      </c>
      <c r="I585" t="str">
        <f>TextJoin(tblClasses[[#This Row],[STermID]:[Description]],"Value")</f>
        <v>"10","19","1","Discrete Mathematics"</v>
      </c>
    </row>
    <row r="586" spans="2:9" x14ac:dyDescent="0.25">
      <c r="B586">
        <v>584</v>
      </c>
      <c r="C586">
        <v>10</v>
      </c>
      <c r="D586">
        <v>19</v>
      </c>
      <c r="E586">
        <v>1</v>
      </c>
      <c r="F586" s="6" t="s">
        <v>476</v>
      </c>
      <c r="H586" t="str">
        <f t="shared" si="9"/>
        <v>(NULL,"10","19","1","Web Development"),</v>
      </c>
      <c r="I586" t="str">
        <f>TextJoin(tblClasses[[#This Row],[STermID]:[Description]],"Value")</f>
        <v>"10","19","1","Web Development"</v>
      </c>
    </row>
    <row r="587" spans="2:9" x14ac:dyDescent="0.25">
      <c r="B587">
        <v>585</v>
      </c>
      <c r="C587">
        <v>10</v>
      </c>
      <c r="D587">
        <v>19</v>
      </c>
      <c r="E587">
        <v>1</v>
      </c>
      <c r="F587" s="6" t="s">
        <v>389</v>
      </c>
      <c r="H587" t="str">
        <f t="shared" si="9"/>
        <v>(NULL,"10","19","1","Data Communications"),</v>
      </c>
      <c r="I587" t="str">
        <f>TextJoin(tblClasses[[#This Row],[STermID]:[Description]],"Value")</f>
        <v>"10","19","1","Data Communications"</v>
      </c>
    </row>
    <row r="588" spans="2:9" x14ac:dyDescent="0.25">
      <c r="B588">
        <v>586</v>
      </c>
      <c r="C588">
        <v>10</v>
      </c>
      <c r="D588">
        <v>19</v>
      </c>
      <c r="E588">
        <v>1</v>
      </c>
      <c r="F588" s="6" t="s">
        <v>760</v>
      </c>
      <c r="H588" t="str">
        <f t="shared" si="9"/>
        <v>(NULL,"10","19","1","It Elective 1 (Mis)"),</v>
      </c>
      <c r="I588" t="str">
        <f>TextJoin(tblClasses[[#This Row],[STermID]:[Description]],"Value")</f>
        <v>"10","19","1","It Elective 1 (Mis)"</v>
      </c>
    </row>
    <row r="589" spans="2:9" x14ac:dyDescent="0.25">
      <c r="B589">
        <v>587</v>
      </c>
      <c r="C589">
        <v>10</v>
      </c>
      <c r="D589">
        <v>19</v>
      </c>
      <c r="E589">
        <v>1</v>
      </c>
      <c r="F589" s="7" t="s">
        <v>359</v>
      </c>
      <c r="H589" t="str">
        <f t="shared" si="9"/>
        <v>(NULL,"10","19","1","CISCO 1"),</v>
      </c>
      <c r="I589" t="str">
        <f>TextJoin(tblClasses[[#This Row],[STermID]:[Description]],"Value")</f>
        <v>"10","19","1","CISCO 1"</v>
      </c>
    </row>
    <row r="590" spans="2:9" x14ac:dyDescent="0.25">
      <c r="B590">
        <v>588</v>
      </c>
      <c r="C590">
        <v>10</v>
      </c>
      <c r="D590">
        <v>19</v>
      </c>
      <c r="E590">
        <v>1</v>
      </c>
      <c r="F590" s="7" t="s">
        <v>613</v>
      </c>
      <c r="H590" t="str">
        <f t="shared" si="9"/>
        <v>(NULL,"10","19","1","Rizal'S Life, Works And Writing"),</v>
      </c>
      <c r="I590" t="str">
        <f>TextJoin(tblClasses[[#This Row],[STermID]:[Description]],"Value")</f>
        <v>"10","19","1","Rizal'S Life, Works And Writing"</v>
      </c>
    </row>
    <row r="591" spans="2:9" x14ac:dyDescent="0.25">
      <c r="B591">
        <v>589</v>
      </c>
      <c r="C591">
        <v>10</v>
      </c>
      <c r="D591">
        <v>19</v>
      </c>
      <c r="E591">
        <v>1</v>
      </c>
      <c r="F591" s="7" t="s">
        <v>483</v>
      </c>
      <c r="H591" t="str">
        <f t="shared" si="9"/>
        <v>(NULL,"10","19","1","Philippine Government &amp; Constitution"),</v>
      </c>
      <c r="I591" t="str">
        <f>TextJoin(tblClasses[[#This Row],[STermID]:[Description]],"Value")</f>
        <v>"10","19","1","Philippine Government &amp; Constitution"</v>
      </c>
    </row>
    <row r="592" spans="2:9" x14ac:dyDescent="0.25">
      <c r="B592">
        <v>590</v>
      </c>
      <c r="C592">
        <v>10</v>
      </c>
      <c r="D592">
        <v>19</v>
      </c>
      <c r="E592">
        <v>1</v>
      </c>
      <c r="F592" s="8" t="s">
        <v>333</v>
      </c>
      <c r="H592" t="str">
        <f t="shared" si="9"/>
        <v>(NULL,"10","19","1","Philippine Literature"),</v>
      </c>
      <c r="I592" t="str">
        <f>TextJoin(tblClasses[[#This Row],[STermID]:[Description]],"Value")</f>
        <v>"10","19","1","Philippine Literature"</v>
      </c>
    </row>
    <row r="593" spans="2:9" x14ac:dyDescent="0.25">
      <c r="B593">
        <v>591</v>
      </c>
      <c r="C593">
        <v>10</v>
      </c>
      <c r="D593">
        <v>19</v>
      </c>
      <c r="E593">
        <v>1</v>
      </c>
      <c r="F593" s="11" t="s">
        <v>761</v>
      </c>
      <c r="H593" t="str">
        <f t="shared" si="9"/>
        <v>(NULL,"10","19","1","Numerical Anaysis W/ Computer Pp."),</v>
      </c>
      <c r="I593" t="str">
        <f>TextJoin(tblClasses[[#This Row],[STermID]:[Description]],"Value")</f>
        <v>"10","19","1","Numerical Anaysis W/ Computer Pp."</v>
      </c>
    </row>
    <row r="594" spans="2:9" x14ac:dyDescent="0.25">
      <c r="B594">
        <v>592</v>
      </c>
      <c r="C594">
        <v>10</v>
      </c>
      <c r="D594">
        <v>19</v>
      </c>
      <c r="E594">
        <v>1</v>
      </c>
      <c r="F594" s="11" t="s">
        <v>371</v>
      </c>
      <c r="H594" t="str">
        <f t="shared" si="9"/>
        <v>(NULL,"10","19","1","CISCO 2"),</v>
      </c>
      <c r="I594" t="str">
        <f>TextJoin(tblClasses[[#This Row],[STermID]:[Description]],"Value")</f>
        <v>"10","19","1","CISCO 2"</v>
      </c>
    </row>
    <row r="595" spans="2:9" x14ac:dyDescent="0.25">
      <c r="B595">
        <v>593</v>
      </c>
      <c r="C595">
        <v>10</v>
      </c>
      <c r="D595">
        <v>19</v>
      </c>
      <c r="E595">
        <v>1</v>
      </c>
      <c r="F595" s="11" t="s">
        <v>762</v>
      </c>
      <c r="H595" t="str">
        <f t="shared" si="9"/>
        <v>(NULL,"10","19","1","Principles Of Communication "),</v>
      </c>
      <c r="I595" t="str">
        <f>TextJoin(tblClasses[[#This Row],[STermID]:[Description]],"Value")</f>
        <v>"10","19","1","Principles Of Communication "</v>
      </c>
    </row>
    <row r="596" spans="2:9" x14ac:dyDescent="0.25">
      <c r="B596">
        <v>594</v>
      </c>
      <c r="C596">
        <v>10</v>
      </c>
      <c r="D596">
        <v>19</v>
      </c>
      <c r="E596">
        <v>1</v>
      </c>
      <c r="F596" s="11" t="s">
        <v>763</v>
      </c>
      <c r="H596" t="str">
        <f t="shared" si="9"/>
        <v>(NULL,"10","19","1","Advanced Logic Design &amp; Switching Theory"),</v>
      </c>
      <c r="I596" t="str">
        <f>TextJoin(tblClasses[[#This Row],[STermID]:[Description]],"Value")</f>
        <v>"10","19","1","Advanced Logic Design &amp; Switching Theory"</v>
      </c>
    </row>
    <row r="597" spans="2:9" x14ac:dyDescent="0.25">
      <c r="B597">
        <v>595</v>
      </c>
      <c r="C597">
        <v>10</v>
      </c>
      <c r="D597">
        <v>19</v>
      </c>
      <c r="E597">
        <v>1</v>
      </c>
      <c r="F597" s="12" t="s">
        <v>377</v>
      </c>
      <c r="H597" t="str">
        <f t="shared" si="9"/>
        <v>(NULL,"10","19","1","Control Systems"),</v>
      </c>
      <c r="I597" t="str">
        <f>TextJoin(tblClasses[[#This Row],[STermID]:[Description]],"Value")</f>
        <v>"10","19","1","Control Systems"</v>
      </c>
    </row>
    <row r="598" spans="2:9" x14ac:dyDescent="0.25">
      <c r="B598">
        <v>596</v>
      </c>
      <c r="C598">
        <v>10</v>
      </c>
      <c r="D598">
        <v>19</v>
      </c>
      <c r="E598">
        <v>1</v>
      </c>
      <c r="F598" s="12" t="s">
        <v>764</v>
      </c>
      <c r="H598" t="str">
        <f t="shared" si="9"/>
        <v>(NULL,"10","19","1","Mechanics Deformable Bodies"),</v>
      </c>
      <c r="I598" t="str">
        <f>TextJoin(tblClasses[[#This Row],[STermID]:[Description]],"Value")</f>
        <v>"10","19","1","Mechanics Deformable Bodies"</v>
      </c>
    </row>
    <row r="599" spans="2:9" x14ac:dyDescent="0.25">
      <c r="B599">
        <v>597</v>
      </c>
      <c r="C599">
        <v>10</v>
      </c>
      <c r="D599">
        <v>19</v>
      </c>
      <c r="E599">
        <v>1</v>
      </c>
      <c r="F599" s="12" t="s">
        <v>765</v>
      </c>
      <c r="H599" t="str">
        <f t="shared" si="9"/>
        <v>(NULL,"10","19","1","Digital Signal Processing "),</v>
      </c>
      <c r="I599" t="str">
        <f>TextJoin(tblClasses[[#This Row],[STermID]:[Description]],"Value")</f>
        <v>"10","19","1","Digital Signal Processing "</v>
      </c>
    </row>
    <row r="600" spans="2:9" x14ac:dyDescent="0.25">
      <c r="B600">
        <v>598</v>
      </c>
      <c r="C600">
        <v>10</v>
      </c>
      <c r="D600">
        <v>19</v>
      </c>
      <c r="E600">
        <v>1</v>
      </c>
      <c r="F600" s="27" t="s">
        <v>766</v>
      </c>
      <c r="H600" t="str">
        <f t="shared" si="9"/>
        <v>(NULL,"10","19","1","Computer Engineering Drafting And Design"),</v>
      </c>
      <c r="I600" t="str">
        <f>TextJoin(tblClasses[[#This Row],[STermID]:[Description]],"Value")</f>
        <v>"10","19","1","Computer Engineering Drafting And Design"</v>
      </c>
    </row>
    <row r="601" spans="2:9" x14ac:dyDescent="0.25">
      <c r="B601">
        <v>599</v>
      </c>
      <c r="C601">
        <v>10</v>
      </c>
      <c r="D601">
        <v>19</v>
      </c>
      <c r="E601">
        <v>1</v>
      </c>
      <c r="F601" s="11" t="s">
        <v>767</v>
      </c>
      <c r="H601" t="str">
        <f t="shared" si="9"/>
        <v>(NULL,"10","19","1","Professional Ethics In It"),</v>
      </c>
      <c r="I601" t="str">
        <f>TextJoin(tblClasses[[#This Row],[STermID]:[Description]],"Value")</f>
        <v>"10","19","1","Professional Ethics In It"</v>
      </c>
    </row>
    <row r="602" spans="2:9" x14ac:dyDescent="0.25">
      <c r="B602">
        <v>600</v>
      </c>
      <c r="C602">
        <v>10</v>
      </c>
      <c r="D602">
        <v>19</v>
      </c>
      <c r="E602">
        <v>1</v>
      </c>
      <c r="F602" s="11" t="s">
        <v>501</v>
      </c>
      <c r="H602" t="str">
        <f t="shared" si="9"/>
        <v>(NULL,"10","19","1","Database Administration"),</v>
      </c>
      <c r="I602" t="str">
        <f>TextJoin(tblClasses[[#This Row],[STermID]:[Description]],"Value")</f>
        <v>"10","19","1","Database Administration"</v>
      </c>
    </row>
    <row r="603" spans="2:9" x14ac:dyDescent="0.25">
      <c r="B603">
        <v>601</v>
      </c>
      <c r="C603">
        <v>10</v>
      </c>
      <c r="D603">
        <v>19</v>
      </c>
      <c r="E603">
        <v>1</v>
      </c>
      <c r="F603" s="11" t="s">
        <v>391</v>
      </c>
      <c r="H603" t="str">
        <f t="shared" si="9"/>
        <v>(NULL,"10","19","1","Computer System Architecture"),</v>
      </c>
      <c r="I603" t="str">
        <f>TextJoin(tblClasses[[#This Row],[STermID]:[Description]],"Value")</f>
        <v>"10","19","1","Computer System Architecture"</v>
      </c>
    </row>
    <row r="604" spans="2:9" x14ac:dyDescent="0.25">
      <c r="B604">
        <v>602</v>
      </c>
      <c r="C604">
        <v>10</v>
      </c>
      <c r="D604">
        <v>19</v>
      </c>
      <c r="E604">
        <v>1</v>
      </c>
      <c r="F604" s="11" t="s">
        <v>768</v>
      </c>
      <c r="H604" t="str">
        <f t="shared" si="9"/>
        <v>(NULL,"10","19","1","Information Technology Design 1"),</v>
      </c>
      <c r="I604" t="str">
        <f>TextJoin(tblClasses[[#This Row],[STermID]:[Description]],"Value")</f>
        <v>"10","19","1","Information Technology Design 1"</v>
      </c>
    </row>
    <row r="605" spans="2:9" x14ac:dyDescent="0.25">
      <c r="B605">
        <v>603</v>
      </c>
      <c r="C605">
        <v>10</v>
      </c>
      <c r="D605">
        <v>19</v>
      </c>
      <c r="E605">
        <v>1</v>
      </c>
      <c r="F605" s="12" t="s">
        <v>769</v>
      </c>
      <c r="H605" t="str">
        <f t="shared" si="9"/>
        <v>(NULL,"10","19","1","It Elective 3(E-Business)"),</v>
      </c>
      <c r="I605" t="str">
        <f>TextJoin(tblClasses[[#This Row],[STermID]:[Description]],"Value")</f>
        <v>"10","19","1","It Elective 3(E-Business)"</v>
      </c>
    </row>
    <row r="606" spans="2:9" x14ac:dyDescent="0.25">
      <c r="B606">
        <v>604</v>
      </c>
      <c r="C606">
        <v>10</v>
      </c>
      <c r="D606">
        <v>19</v>
      </c>
      <c r="E606">
        <v>1</v>
      </c>
      <c r="F606" s="11" t="s">
        <v>415</v>
      </c>
      <c r="H606" t="str">
        <f t="shared" si="9"/>
        <v>(NULL,"10","19","1","CISCO 3"),</v>
      </c>
      <c r="I606" t="str">
        <f>TextJoin(tblClasses[[#This Row],[STermID]:[Description]],"Value")</f>
        <v>"10","19","1","CISCO 3"</v>
      </c>
    </row>
    <row r="607" spans="2:9" x14ac:dyDescent="0.25">
      <c r="B607">
        <v>605</v>
      </c>
      <c r="C607">
        <v>10</v>
      </c>
      <c r="D607">
        <v>19</v>
      </c>
      <c r="E607">
        <v>1</v>
      </c>
      <c r="F607" s="11" t="s">
        <v>401</v>
      </c>
      <c r="H607" t="str">
        <f t="shared" si="9"/>
        <v>(NULL,"10","19","1","System Analysis &amp; Design"),</v>
      </c>
      <c r="I607" t="str">
        <f>TextJoin(tblClasses[[#This Row],[STermID]:[Description]],"Value")</f>
        <v>"10","19","1","System Analysis &amp; Design"</v>
      </c>
    </row>
    <row r="608" spans="2:9" x14ac:dyDescent="0.25">
      <c r="B608">
        <v>606</v>
      </c>
      <c r="C608">
        <v>10</v>
      </c>
      <c r="D608">
        <v>19</v>
      </c>
      <c r="E608">
        <v>1</v>
      </c>
      <c r="F608" s="11" t="s">
        <v>770</v>
      </c>
      <c r="H608" t="str">
        <f t="shared" si="9"/>
        <v>(NULL,"10","19","1","Object Orriented Programming"),</v>
      </c>
      <c r="I608" t="str">
        <f>TextJoin(tblClasses[[#This Row],[STermID]:[Description]],"Value")</f>
        <v>"10","19","1","Object Orriented Programming"</v>
      </c>
    </row>
    <row r="609" spans="2:9" x14ac:dyDescent="0.25">
      <c r="B609">
        <v>607</v>
      </c>
      <c r="C609">
        <v>10</v>
      </c>
      <c r="D609">
        <v>19</v>
      </c>
      <c r="E609">
        <v>1</v>
      </c>
      <c r="F609" s="11" t="s">
        <v>771</v>
      </c>
      <c r="H609" t="str">
        <f t="shared" si="9"/>
        <v>(NULL,"10","19","1","Engineering Ethics And Computer Laws"),</v>
      </c>
      <c r="I609" t="str">
        <f>TextJoin(tblClasses[[#This Row],[STermID]:[Description]],"Value")</f>
        <v>"10","19","1","Engineering Ethics And Computer Laws"</v>
      </c>
    </row>
    <row r="610" spans="2:9" x14ac:dyDescent="0.25">
      <c r="B610">
        <v>608</v>
      </c>
      <c r="C610">
        <v>10</v>
      </c>
      <c r="D610">
        <v>19</v>
      </c>
      <c r="E610">
        <v>1</v>
      </c>
      <c r="F610" s="11" t="s">
        <v>407</v>
      </c>
      <c r="H610" t="str">
        <f t="shared" si="9"/>
        <v>(NULL,"10","19","1","Computer Networks"),</v>
      </c>
      <c r="I610" t="str">
        <f>TextJoin(tblClasses[[#This Row],[STermID]:[Description]],"Value")</f>
        <v>"10","19","1","Computer Networks"</v>
      </c>
    </row>
    <row r="611" spans="2:9" x14ac:dyDescent="0.25">
      <c r="B611">
        <v>609</v>
      </c>
      <c r="C611">
        <v>10</v>
      </c>
      <c r="D611">
        <v>19</v>
      </c>
      <c r="E611">
        <v>1</v>
      </c>
      <c r="F611" s="12" t="s">
        <v>772</v>
      </c>
      <c r="H611" t="str">
        <f t="shared" si="9"/>
        <v>(NULL,"10","19","1","Elevtive 2"),</v>
      </c>
      <c r="I611" t="str">
        <f>TextJoin(tblClasses[[#This Row],[STermID]:[Description]],"Value")</f>
        <v>"10","19","1","Elevtive 2"</v>
      </c>
    </row>
    <row r="612" spans="2:9" x14ac:dyDescent="0.25">
      <c r="B612">
        <v>610</v>
      </c>
      <c r="C612">
        <v>10</v>
      </c>
      <c r="D612">
        <v>19</v>
      </c>
      <c r="E612">
        <v>1</v>
      </c>
      <c r="F612" s="12" t="s">
        <v>411</v>
      </c>
      <c r="H612" t="str">
        <f t="shared" si="9"/>
        <v>(NULL,"10","19","1","Safety Engineering"),</v>
      </c>
      <c r="I612" t="str">
        <f>TextJoin(tblClasses[[#This Row],[STermID]:[Description]],"Value")</f>
        <v>"10","19","1","Safety Engineering"</v>
      </c>
    </row>
    <row r="613" spans="2:9" x14ac:dyDescent="0.25">
      <c r="B613">
        <v>611</v>
      </c>
      <c r="C613">
        <v>10</v>
      </c>
      <c r="D613">
        <v>19</v>
      </c>
      <c r="E613">
        <v>1</v>
      </c>
      <c r="F613" s="12" t="s">
        <v>773</v>
      </c>
      <c r="H613" t="str">
        <f t="shared" si="9"/>
        <v>(NULL,"10","19","1","Eng'G Design, Research &amp; Dev'T 1"),</v>
      </c>
      <c r="I613" t="str">
        <f>TextJoin(tblClasses[[#This Row],[STermID]:[Description]],"Value")</f>
        <v>"10","19","1","Eng'G Design, Research &amp; Dev'T 1"</v>
      </c>
    </row>
    <row r="614" spans="2:9" x14ac:dyDescent="0.25">
      <c r="B614">
        <v>612</v>
      </c>
      <c r="C614">
        <v>10</v>
      </c>
      <c r="D614">
        <v>19</v>
      </c>
      <c r="E614">
        <v>1</v>
      </c>
      <c r="F614" s="27" t="s">
        <v>508</v>
      </c>
      <c r="H614" t="str">
        <f>"(NULL,"&amp;I614&amp;")"&amp;IF(I615&lt;&gt;"",",",";")</f>
        <v>(NULL,"10","19","1","CISCO 4");</v>
      </c>
      <c r="I614" t="str">
        <f>TextJoin(tblClasses[[#This Row],[STermID]:[Description]],"Value")</f>
        <v>"10","19","1","CISCO 4"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K632"/>
  <sheetViews>
    <sheetView topLeftCell="A2" workbookViewId="0">
      <selection activeCell="C2" sqref="C2"/>
    </sheetView>
  </sheetViews>
  <sheetFormatPr defaultRowHeight="15" x14ac:dyDescent="0.25"/>
  <cols>
    <col min="1" max="1" width="0.85546875" customWidth="1"/>
    <col min="2" max="3" width="10.7109375" customWidth="1"/>
    <col min="4" max="4" width="11.5703125" customWidth="1"/>
    <col min="5" max="6" width="0" hidden="1" customWidth="1"/>
    <col min="7" max="7" width="51.28515625" hidden="1" customWidth="1"/>
    <col min="8" max="8" width="0" hidden="1" customWidth="1"/>
    <col min="9" max="9" width="0.85546875" customWidth="1"/>
    <col min="10" max="10" width="36" bestFit="1" customWidth="1"/>
  </cols>
  <sheetData>
    <row r="1" spans="2:11" ht="5.0999999999999996" customHeight="1" x14ac:dyDescent="0.25"/>
    <row r="2" spans="2:11" x14ac:dyDescent="0.25">
      <c r="B2" t="s">
        <v>25</v>
      </c>
      <c r="C2" t="s">
        <v>24</v>
      </c>
      <c r="D2" t="s">
        <v>18</v>
      </c>
    </row>
    <row r="3" spans="2:11" x14ac:dyDescent="0.25">
      <c r="B3">
        <v>1</v>
      </c>
      <c r="C3">
        <v>1</v>
      </c>
      <c r="D3">
        <v>111</v>
      </c>
      <c r="F3" t="s">
        <v>460</v>
      </c>
      <c r="G3" t="s">
        <v>461</v>
      </c>
      <c r="J3" t="str">
        <f>"(NULL,"&amp;K3&amp;")"&amp;IF(J4&lt;&gt;"",",",";")</f>
        <v>(NULL,"1","111"),</v>
      </c>
      <c r="K3" t="str">
        <f>TextJoin(tblClassSubjs[[#This Row],[ClassID]:[SubjectID]],"Value")</f>
        <v>"1","111"</v>
      </c>
    </row>
    <row r="4" spans="2:11" x14ac:dyDescent="0.25">
      <c r="B4">
        <v>2</v>
      </c>
      <c r="C4">
        <v>1</v>
      </c>
      <c r="D4">
        <v>65</v>
      </c>
      <c r="F4" t="s">
        <v>395</v>
      </c>
      <c r="G4" t="s">
        <v>396</v>
      </c>
      <c r="J4" t="str">
        <f t="shared" ref="J4:J67" si="0">"(NULL,"&amp;K4&amp;")"&amp;IF(J5&lt;&gt;"",",",";")</f>
        <v>(NULL,"1","65"),</v>
      </c>
      <c r="K4" t="str">
        <f>TextJoin(tblClassSubjs[[#This Row],[ClassID]:[SubjectID]],"Value")</f>
        <v>"1","65"</v>
      </c>
    </row>
    <row r="5" spans="2:11" x14ac:dyDescent="0.25">
      <c r="B5">
        <v>3</v>
      </c>
      <c r="C5">
        <v>2</v>
      </c>
      <c r="D5">
        <v>67</v>
      </c>
      <c r="F5" t="s">
        <v>400</v>
      </c>
      <c r="G5" t="s">
        <v>401</v>
      </c>
      <c r="J5" t="str">
        <f t="shared" si="0"/>
        <v>(NULL,"2","67"),</v>
      </c>
      <c r="K5" t="str">
        <f>TextJoin(tblClassSubjs[[#This Row],[ClassID]:[SubjectID]],"Value")</f>
        <v>"2","67"</v>
      </c>
    </row>
    <row r="6" spans="2:11" x14ac:dyDescent="0.25">
      <c r="B6">
        <v>4</v>
      </c>
      <c r="C6">
        <v>2</v>
      </c>
      <c r="D6">
        <v>112</v>
      </c>
      <c r="F6" t="s">
        <v>462</v>
      </c>
      <c r="G6" t="s">
        <v>401</v>
      </c>
      <c r="J6" t="str">
        <f t="shared" si="0"/>
        <v>(NULL,"2","112"),</v>
      </c>
      <c r="K6" t="str">
        <f>TextJoin(tblClassSubjs[[#This Row],[ClassID]:[SubjectID]],"Value")</f>
        <v>"2","112"</v>
      </c>
    </row>
    <row r="7" spans="2:11" x14ac:dyDescent="0.25">
      <c r="B7">
        <v>5</v>
      </c>
      <c r="C7">
        <v>3</v>
      </c>
      <c r="D7">
        <v>28</v>
      </c>
      <c r="F7" t="s">
        <v>322</v>
      </c>
      <c r="G7" t="s">
        <v>323</v>
      </c>
      <c r="J7" t="str">
        <f t="shared" si="0"/>
        <v>(NULL,"3","28"),</v>
      </c>
      <c r="K7" t="str">
        <f>TextJoin(tblClassSubjs[[#This Row],[ClassID]:[SubjectID]],"Value")</f>
        <v>"3","28"</v>
      </c>
    </row>
    <row r="8" spans="2:11" x14ac:dyDescent="0.25">
      <c r="B8">
        <v>6</v>
      </c>
      <c r="C8">
        <v>4</v>
      </c>
      <c r="D8">
        <v>113</v>
      </c>
      <c r="F8" t="s">
        <v>463</v>
      </c>
      <c r="G8" t="s">
        <v>464</v>
      </c>
      <c r="J8" t="str">
        <f t="shared" si="0"/>
        <v>(NULL,"4","113"),</v>
      </c>
      <c r="K8" t="str">
        <f>TextJoin(tblClassSubjs[[#This Row],[ClassID]:[SubjectID]],"Value")</f>
        <v>"4","113"</v>
      </c>
    </row>
    <row r="9" spans="2:11" x14ac:dyDescent="0.25">
      <c r="B9">
        <v>7</v>
      </c>
      <c r="C9">
        <v>5</v>
      </c>
      <c r="D9">
        <v>115</v>
      </c>
      <c r="F9" t="s">
        <v>467</v>
      </c>
      <c r="G9" t="s">
        <v>468</v>
      </c>
      <c r="J9" t="str">
        <f t="shared" si="0"/>
        <v>(NULL,"5","115"),</v>
      </c>
      <c r="K9" t="str">
        <f>TextJoin(tblClassSubjs[[#This Row],[ClassID]:[SubjectID]],"Value")</f>
        <v>"5","115"</v>
      </c>
    </row>
    <row r="10" spans="2:11" x14ac:dyDescent="0.25">
      <c r="B10">
        <v>8</v>
      </c>
      <c r="C10">
        <v>6</v>
      </c>
      <c r="D10">
        <v>117</v>
      </c>
      <c r="F10" t="s">
        <v>471</v>
      </c>
      <c r="G10" t="s">
        <v>327</v>
      </c>
      <c r="J10" t="str">
        <f t="shared" si="0"/>
        <v>(NULL,"6","117"),</v>
      </c>
      <c r="K10" t="str">
        <f>TextJoin(tblClassSubjs[[#This Row],[ClassID]:[SubjectID]],"Value")</f>
        <v>"6","117"</v>
      </c>
    </row>
    <row r="11" spans="2:11" x14ac:dyDescent="0.25">
      <c r="B11">
        <v>9</v>
      </c>
      <c r="C11">
        <v>7</v>
      </c>
      <c r="D11">
        <v>114</v>
      </c>
      <c r="F11" t="s">
        <v>465</v>
      </c>
      <c r="G11" t="s">
        <v>466</v>
      </c>
      <c r="J11" t="str">
        <f t="shared" si="0"/>
        <v>(NULL,"7","114"),</v>
      </c>
      <c r="K11" t="str">
        <f>TextJoin(tblClassSubjs[[#This Row],[ClassID]:[SubjectID]],"Value")</f>
        <v>"7","114"</v>
      </c>
    </row>
    <row r="12" spans="2:11" x14ac:dyDescent="0.25">
      <c r="B12">
        <v>10</v>
      </c>
      <c r="C12">
        <v>8</v>
      </c>
      <c r="D12">
        <v>118</v>
      </c>
      <c r="F12" t="s">
        <v>472</v>
      </c>
      <c r="G12" t="s">
        <v>473</v>
      </c>
      <c r="J12" t="str">
        <f t="shared" si="0"/>
        <v>(NULL,"8","118"),</v>
      </c>
      <c r="K12" t="str">
        <f>TextJoin(tblClassSubjs[[#This Row],[ClassID]:[SubjectID]],"Value")</f>
        <v>"8","118"</v>
      </c>
    </row>
    <row r="13" spans="2:11" x14ac:dyDescent="0.25">
      <c r="B13">
        <v>11</v>
      </c>
      <c r="C13">
        <v>9</v>
      </c>
      <c r="D13">
        <v>34</v>
      </c>
      <c r="F13" t="s">
        <v>334</v>
      </c>
      <c r="G13" t="s">
        <v>335</v>
      </c>
      <c r="J13" t="str">
        <f t="shared" si="0"/>
        <v>(NULL,"9","34"),</v>
      </c>
      <c r="K13" t="str">
        <f>TextJoin(tblClassSubjs[[#This Row],[ClassID]:[SubjectID]],"Value")</f>
        <v>"9","34"</v>
      </c>
    </row>
    <row r="14" spans="2:11" x14ac:dyDescent="0.25">
      <c r="B14">
        <v>12</v>
      </c>
      <c r="C14">
        <v>9</v>
      </c>
      <c r="D14">
        <v>119</v>
      </c>
      <c r="F14" t="s">
        <v>474</v>
      </c>
      <c r="G14" t="s">
        <v>335</v>
      </c>
      <c r="J14" t="str">
        <f t="shared" si="0"/>
        <v>(NULL,"9","119"),</v>
      </c>
      <c r="K14" t="str">
        <f>TextJoin(tblClassSubjs[[#This Row],[ClassID]:[SubjectID]],"Value")</f>
        <v>"9","119"</v>
      </c>
    </row>
    <row r="15" spans="2:11" x14ac:dyDescent="0.25">
      <c r="B15">
        <v>13</v>
      </c>
      <c r="C15">
        <v>10</v>
      </c>
      <c r="D15">
        <v>156</v>
      </c>
      <c r="F15" t="s">
        <v>525</v>
      </c>
      <c r="G15" t="s">
        <v>606</v>
      </c>
      <c r="J15" t="str">
        <f t="shared" si="0"/>
        <v>(NULL,"10","156"),</v>
      </c>
      <c r="K15" t="str">
        <f>TextJoin(tblClassSubjs[[#This Row],[ClassID]:[SubjectID]],"Value")</f>
        <v>"10","156"</v>
      </c>
    </row>
    <row r="16" spans="2:11" x14ac:dyDescent="0.25">
      <c r="B16">
        <v>14</v>
      </c>
      <c r="C16">
        <v>10</v>
      </c>
      <c r="D16">
        <v>220</v>
      </c>
      <c r="F16" t="s">
        <v>525</v>
      </c>
      <c r="G16" t="s">
        <v>606</v>
      </c>
      <c r="J16" t="str">
        <f t="shared" si="0"/>
        <v>(NULL,"10","220"),</v>
      </c>
      <c r="K16" t="str">
        <f>TextJoin(tblClassSubjs[[#This Row],[ClassID]:[SubjectID]],"Value")</f>
        <v>"10","220"</v>
      </c>
    </row>
    <row r="17" spans="2:11" x14ac:dyDescent="0.25">
      <c r="B17">
        <v>15</v>
      </c>
      <c r="C17">
        <v>11</v>
      </c>
      <c r="D17">
        <v>157</v>
      </c>
      <c r="F17" t="s">
        <v>526</v>
      </c>
      <c r="G17" t="s">
        <v>607</v>
      </c>
      <c r="J17" t="str">
        <f t="shared" si="0"/>
        <v>(NULL,"11","157"),</v>
      </c>
      <c r="K17" t="str">
        <f>TextJoin(tblClassSubjs[[#This Row],[ClassID]:[SubjectID]],"Value")</f>
        <v>"11","157"</v>
      </c>
    </row>
    <row r="18" spans="2:11" x14ac:dyDescent="0.25">
      <c r="B18">
        <v>16</v>
      </c>
      <c r="C18">
        <v>11</v>
      </c>
      <c r="D18">
        <v>221</v>
      </c>
      <c r="F18" t="s">
        <v>526</v>
      </c>
      <c r="G18" t="s">
        <v>607</v>
      </c>
      <c r="J18" t="str">
        <f t="shared" si="0"/>
        <v>(NULL,"11","221"),</v>
      </c>
      <c r="K18" t="str">
        <f>TextJoin(tblClassSubjs[[#This Row],[ClassID]:[SubjectID]],"Value")</f>
        <v>"11","221"</v>
      </c>
    </row>
    <row r="19" spans="2:11" x14ac:dyDescent="0.25">
      <c r="B19">
        <v>17</v>
      </c>
      <c r="C19">
        <v>12</v>
      </c>
      <c r="D19">
        <v>158</v>
      </c>
      <c r="F19" t="s">
        <v>527</v>
      </c>
      <c r="G19" t="s">
        <v>608</v>
      </c>
      <c r="J19" t="str">
        <f t="shared" si="0"/>
        <v>(NULL,"12","158"),</v>
      </c>
      <c r="K19" t="str">
        <f>TextJoin(tblClassSubjs[[#This Row],[ClassID]:[SubjectID]],"Value")</f>
        <v>"12","158"</v>
      </c>
    </row>
    <row r="20" spans="2:11" x14ac:dyDescent="0.25">
      <c r="B20">
        <v>18</v>
      </c>
      <c r="C20">
        <v>12</v>
      </c>
      <c r="D20">
        <v>222</v>
      </c>
      <c r="F20" t="s">
        <v>527</v>
      </c>
      <c r="G20" t="s">
        <v>608</v>
      </c>
      <c r="J20" t="str">
        <f t="shared" si="0"/>
        <v>(NULL,"12","222"),</v>
      </c>
      <c r="K20" t="str">
        <f>TextJoin(tblClassSubjs[[#This Row],[ClassID]:[SubjectID]],"Value")</f>
        <v>"12","222"</v>
      </c>
    </row>
    <row r="21" spans="2:11" x14ac:dyDescent="0.25">
      <c r="B21">
        <v>19</v>
      </c>
      <c r="C21">
        <v>13</v>
      </c>
      <c r="D21">
        <v>223</v>
      </c>
      <c r="F21" t="s">
        <v>569</v>
      </c>
      <c r="G21" t="s">
        <v>653</v>
      </c>
      <c r="J21" t="str">
        <f t="shared" si="0"/>
        <v>(NULL,"13","223"),</v>
      </c>
      <c r="K21" t="str">
        <f>TextJoin(tblClassSubjs[[#This Row],[ClassID]:[SubjectID]],"Value")</f>
        <v>"13","223"</v>
      </c>
    </row>
    <row r="22" spans="2:11" x14ac:dyDescent="0.25">
      <c r="B22">
        <v>20</v>
      </c>
      <c r="C22">
        <v>14</v>
      </c>
      <c r="D22">
        <v>224</v>
      </c>
      <c r="F22" t="s">
        <v>570</v>
      </c>
      <c r="G22" t="s">
        <v>654</v>
      </c>
      <c r="J22" t="str">
        <f t="shared" si="0"/>
        <v>(NULL,"14","224"),</v>
      </c>
      <c r="K22" t="str">
        <f>TextJoin(tblClassSubjs[[#This Row],[ClassID]:[SubjectID]],"Value")</f>
        <v>"14","224"</v>
      </c>
    </row>
    <row r="23" spans="2:11" x14ac:dyDescent="0.25">
      <c r="B23">
        <v>21</v>
      </c>
      <c r="C23">
        <v>15</v>
      </c>
      <c r="D23">
        <v>162</v>
      </c>
      <c r="F23" t="s">
        <v>289</v>
      </c>
      <c r="G23" t="s">
        <v>610</v>
      </c>
      <c r="J23" t="str">
        <f t="shared" si="0"/>
        <v>(NULL,"15","162"),</v>
      </c>
      <c r="K23" t="str">
        <f>TextJoin(tblClassSubjs[[#This Row],[ClassID]:[SubjectID]],"Value")</f>
        <v>"15","162"</v>
      </c>
    </row>
    <row r="24" spans="2:11" x14ac:dyDescent="0.25">
      <c r="B24">
        <v>22</v>
      </c>
      <c r="C24">
        <v>15</v>
      </c>
      <c r="D24">
        <v>225</v>
      </c>
      <c r="F24" t="s">
        <v>571</v>
      </c>
      <c r="G24" t="s">
        <v>610</v>
      </c>
      <c r="J24" t="str">
        <f t="shared" si="0"/>
        <v>(NULL,"15","225"),</v>
      </c>
      <c r="K24" t="str">
        <f>TextJoin(tblClassSubjs[[#This Row],[ClassID]:[SubjectID]],"Value")</f>
        <v>"15","225"</v>
      </c>
    </row>
    <row r="25" spans="2:11" x14ac:dyDescent="0.25">
      <c r="B25">
        <v>23</v>
      </c>
      <c r="C25">
        <v>16</v>
      </c>
      <c r="D25">
        <v>163</v>
      </c>
      <c r="F25" t="s">
        <v>449</v>
      </c>
      <c r="G25" t="s">
        <v>611</v>
      </c>
      <c r="J25" t="str">
        <f t="shared" si="0"/>
        <v>(NULL,"16","163"),</v>
      </c>
      <c r="K25" t="str">
        <f>TextJoin(tblClassSubjs[[#This Row],[ClassID]:[SubjectID]],"Value")</f>
        <v>"16","163"</v>
      </c>
    </row>
    <row r="26" spans="2:11" x14ac:dyDescent="0.25">
      <c r="B26">
        <v>24</v>
      </c>
      <c r="C26">
        <v>16</v>
      </c>
      <c r="D26">
        <v>226</v>
      </c>
      <c r="F26" t="s">
        <v>449</v>
      </c>
      <c r="G26" t="s">
        <v>611</v>
      </c>
      <c r="J26" t="str">
        <f t="shared" si="0"/>
        <v>(NULL,"16","226"),</v>
      </c>
      <c r="K26" t="str">
        <f>TextJoin(tblClassSubjs[[#This Row],[ClassID]:[SubjectID]],"Value")</f>
        <v>"16","226"</v>
      </c>
    </row>
    <row r="27" spans="2:11" x14ac:dyDescent="0.25">
      <c r="B27">
        <v>25</v>
      </c>
      <c r="C27">
        <v>17</v>
      </c>
      <c r="D27">
        <v>164</v>
      </c>
      <c r="F27" t="s">
        <v>530</v>
      </c>
      <c r="G27" t="s">
        <v>612</v>
      </c>
      <c r="J27" t="str">
        <f t="shared" si="0"/>
        <v>(NULL,"17","164"),</v>
      </c>
      <c r="K27" t="str">
        <f>TextJoin(tblClassSubjs[[#This Row],[ClassID]:[SubjectID]],"Value")</f>
        <v>"17","164"</v>
      </c>
    </row>
    <row r="28" spans="2:11" x14ac:dyDescent="0.25">
      <c r="B28">
        <v>26</v>
      </c>
      <c r="C28">
        <v>17</v>
      </c>
      <c r="D28">
        <v>227</v>
      </c>
      <c r="F28" t="s">
        <v>530</v>
      </c>
      <c r="G28" t="s">
        <v>612</v>
      </c>
      <c r="J28" t="str">
        <f t="shared" si="0"/>
        <v>(NULL,"17","227"),</v>
      </c>
      <c r="K28" t="str">
        <f>TextJoin(tblClassSubjs[[#This Row],[ClassID]:[SubjectID]],"Value")</f>
        <v>"17","227"</v>
      </c>
    </row>
    <row r="29" spans="2:11" x14ac:dyDescent="0.25">
      <c r="B29">
        <v>27</v>
      </c>
      <c r="C29">
        <v>18</v>
      </c>
      <c r="D29">
        <v>159</v>
      </c>
      <c r="F29" t="s">
        <v>528</v>
      </c>
      <c r="G29" t="s">
        <v>609</v>
      </c>
      <c r="J29" t="str">
        <f t="shared" si="0"/>
        <v>(NULL,"18","159"),</v>
      </c>
      <c r="K29" t="str">
        <f>TextJoin(tblClassSubjs[[#This Row],[ClassID]:[SubjectID]],"Value")</f>
        <v>"18","159"</v>
      </c>
    </row>
    <row r="30" spans="2:11" x14ac:dyDescent="0.25">
      <c r="B30">
        <v>28</v>
      </c>
      <c r="C30">
        <v>19</v>
      </c>
      <c r="D30">
        <v>160</v>
      </c>
      <c r="F30" t="s">
        <v>529</v>
      </c>
      <c r="G30" t="s">
        <v>739</v>
      </c>
      <c r="J30" t="str">
        <f t="shared" si="0"/>
        <v>(NULL,"19","160"),</v>
      </c>
      <c r="K30" t="str">
        <f>TextJoin(tblClassSubjs[[#This Row],[ClassID]:[SubjectID]],"Value")</f>
        <v>"19","160"</v>
      </c>
    </row>
    <row r="31" spans="2:11" x14ac:dyDescent="0.25">
      <c r="B31">
        <v>29</v>
      </c>
      <c r="C31">
        <v>20</v>
      </c>
      <c r="D31">
        <v>161</v>
      </c>
      <c r="F31" t="s">
        <v>441</v>
      </c>
      <c r="G31" t="s">
        <v>403</v>
      </c>
      <c r="J31" t="str">
        <f t="shared" si="0"/>
        <v>(NULL,"20","161"),</v>
      </c>
      <c r="K31" t="str">
        <f>TextJoin(tblClassSubjs[[#This Row],[ClassID]:[SubjectID]],"Value")</f>
        <v>"20","161"</v>
      </c>
    </row>
    <row r="32" spans="2:11" x14ac:dyDescent="0.25">
      <c r="B32">
        <v>30</v>
      </c>
      <c r="C32">
        <v>21</v>
      </c>
      <c r="D32">
        <v>76</v>
      </c>
      <c r="F32" t="s">
        <v>418</v>
      </c>
      <c r="G32" t="s">
        <v>419</v>
      </c>
      <c r="J32" t="str">
        <f t="shared" si="0"/>
        <v>(NULL,"21","76"),</v>
      </c>
      <c r="K32" t="str">
        <f>TextJoin(tblClassSubjs[[#This Row],[ClassID]:[SubjectID]],"Value")</f>
        <v>"21","76"</v>
      </c>
    </row>
    <row r="33" spans="2:11" x14ac:dyDescent="0.25">
      <c r="B33">
        <v>31</v>
      </c>
      <c r="C33">
        <v>21</v>
      </c>
      <c r="D33">
        <v>128</v>
      </c>
      <c r="F33" t="s">
        <v>486</v>
      </c>
      <c r="G33" t="s">
        <v>419</v>
      </c>
      <c r="J33" t="str">
        <f t="shared" si="0"/>
        <v>(NULL,"21","128"),</v>
      </c>
      <c r="K33" t="str">
        <f>TextJoin(tblClassSubjs[[#This Row],[ClassID]:[SubjectID]],"Value")</f>
        <v>"21","128"</v>
      </c>
    </row>
    <row r="34" spans="2:11" x14ac:dyDescent="0.25">
      <c r="B34">
        <v>32</v>
      </c>
      <c r="C34">
        <v>22</v>
      </c>
      <c r="D34">
        <v>129</v>
      </c>
      <c r="F34" t="s">
        <v>487</v>
      </c>
      <c r="G34" t="s">
        <v>488</v>
      </c>
      <c r="J34" t="str">
        <f t="shared" si="0"/>
        <v>(NULL,"22","129"),</v>
      </c>
      <c r="K34" t="str">
        <f>TextJoin(tblClassSubjs[[#This Row],[ClassID]:[SubjectID]],"Value")</f>
        <v>"22","129"</v>
      </c>
    </row>
    <row r="35" spans="2:11" x14ac:dyDescent="0.25">
      <c r="B35">
        <v>33</v>
      </c>
      <c r="C35">
        <v>23</v>
      </c>
      <c r="D35">
        <v>130</v>
      </c>
      <c r="F35" t="s">
        <v>489</v>
      </c>
      <c r="G35" t="s">
        <v>490</v>
      </c>
      <c r="J35" t="str">
        <f t="shared" si="0"/>
        <v>(NULL,"23","130"),</v>
      </c>
      <c r="K35" t="str">
        <f>TextJoin(tblClassSubjs[[#This Row],[ClassID]:[SubjectID]],"Value")</f>
        <v>"23","130"</v>
      </c>
    </row>
    <row r="36" spans="2:11" x14ac:dyDescent="0.25">
      <c r="B36">
        <v>34</v>
      </c>
      <c r="C36">
        <v>24</v>
      </c>
      <c r="D36">
        <v>131</v>
      </c>
      <c r="F36" t="s">
        <v>491</v>
      </c>
      <c r="G36" t="s">
        <v>492</v>
      </c>
      <c r="J36" t="str">
        <f t="shared" si="0"/>
        <v>(NULL,"24","131"),</v>
      </c>
      <c r="K36" t="str">
        <f>TextJoin(tblClassSubjs[[#This Row],[ClassID]:[SubjectID]],"Value")</f>
        <v>"24","131"</v>
      </c>
    </row>
    <row r="37" spans="2:11" x14ac:dyDescent="0.25">
      <c r="B37">
        <v>35</v>
      </c>
      <c r="C37">
        <v>24</v>
      </c>
      <c r="D37">
        <v>77</v>
      </c>
      <c r="F37" t="s">
        <v>420</v>
      </c>
      <c r="G37" t="s">
        <v>421</v>
      </c>
      <c r="J37" t="str">
        <f t="shared" si="0"/>
        <v>(NULL,"24","77"),</v>
      </c>
      <c r="K37" t="str">
        <f>TextJoin(tblClassSubjs[[#This Row],[ClassID]:[SubjectID]],"Value")</f>
        <v>"24","77"</v>
      </c>
    </row>
    <row r="38" spans="2:11" x14ac:dyDescent="0.25">
      <c r="B38">
        <v>36</v>
      </c>
      <c r="C38">
        <v>25</v>
      </c>
      <c r="D38">
        <v>59</v>
      </c>
      <c r="F38" t="s">
        <v>384</v>
      </c>
      <c r="G38" t="s">
        <v>385</v>
      </c>
      <c r="J38" t="str">
        <f t="shared" si="0"/>
        <v>(NULL,"25","59"),</v>
      </c>
      <c r="K38" t="str">
        <f>TextJoin(tblClassSubjs[[#This Row],[ClassID]:[SubjectID]],"Value")</f>
        <v>"25","59"</v>
      </c>
    </row>
    <row r="39" spans="2:11" x14ac:dyDescent="0.25">
      <c r="B39">
        <v>37</v>
      </c>
      <c r="C39">
        <v>25</v>
      </c>
      <c r="D39">
        <v>133</v>
      </c>
      <c r="F39" t="s">
        <v>494</v>
      </c>
      <c r="G39" t="s">
        <v>385</v>
      </c>
      <c r="J39" t="str">
        <f t="shared" si="0"/>
        <v>(NULL,"25","133"),</v>
      </c>
      <c r="K39" t="str">
        <f>TextJoin(tblClassSubjs[[#This Row],[ClassID]:[SubjectID]],"Value")</f>
        <v>"25","133"</v>
      </c>
    </row>
    <row r="40" spans="2:11" x14ac:dyDescent="0.25">
      <c r="B40">
        <v>38</v>
      </c>
      <c r="C40">
        <v>26</v>
      </c>
      <c r="D40">
        <v>134</v>
      </c>
      <c r="F40" t="s">
        <v>495</v>
      </c>
      <c r="G40" t="s">
        <v>496</v>
      </c>
      <c r="J40" t="str">
        <f t="shared" si="0"/>
        <v>(NULL,"26","134"),</v>
      </c>
      <c r="K40" t="str">
        <f>TextJoin(tblClassSubjs[[#This Row],[ClassID]:[SubjectID]],"Value")</f>
        <v>"26","134"</v>
      </c>
    </row>
    <row r="41" spans="2:11" x14ac:dyDescent="0.25">
      <c r="B41">
        <v>39</v>
      </c>
      <c r="C41">
        <v>27</v>
      </c>
      <c r="D41">
        <v>52</v>
      </c>
      <c r="F41" t="s">
        <v>370</v>
      </c>
      <c r="G41" t="s">
        <v>371</v>
      </c>
      <c r="J41" t="str">
        <f t="shared" si="0"/>
        <v>(NULL,"27","52"),</v>
      </c>
      <c r="K41" t="str">
        <f>TextJoin(tblClassSubjs[[#This Row],[ClassID]:[SubjectID]],"Value")</f>
        <v>"27","52"</v>
      </c>
    </row>
    <row r="42" spans="2:11" x14ac:dyDescent="0.25">
      <c r="B42">
        <v>40</v>
      </c>
      <c r="C42">
        <v>27</v>
      </c>
      <c r="D42">
        <v>64</v>
      </c>
      <c r="F42" t="s">
        <v>394</v>
      </c>
      <c r="G42" t="s">
        <v>371</v>
      </c>
      <c r="J42" t="str">
        <f t="shared" si="0"/>
        <v>(NULL,"27","64"),</v>
      </c>
      <c r="K42" t="str">
        <f>TextJoin(tblClassSubjs[[#This Row],[ClassID]:[SubjectID]],"Value")</f>
        <v>"27","64"</v>
      </c>
    </row>
    <row r="43" spans="2:11" x14ac:dyDescent="0.25">
      <c r="B43">
        <v>41</v>
      </c>
      <c r="C43">
        <v>28</v>
      </c>
      <c r="D43">
        <v>60</v>
      </c>
      <c r="F43" t="s">
        <v>386</v>
      </c>
      <c r="G43" t="s">
        <v>387</v>
      </c>
      <c r="J43" t="str">
        <f t="shared" si="0"/>
        <v>(NULL,"28","60"),</v>
      </c>
      <c r="K43" t="str">
        <f>TextJoin(tblClassSubjs[[#This Row],[ClassID]:[SubjectID]],"Value")</f>
        <v>"28","60"</v>
      </c>
    </row>
    <row r="44" spans="2:11" x14ac:dyDescent="0.25">
      <c r="B44">
        <v>42</v>
      </c>
      <c r="C44">
        <v>29</v>
      </c>
      <c r="D44">
        <v>61</v>
      </c>
      <c r="F44" t="s">
        <v>388</v>
      </c>
      <c r="G44" t="s">
        <v>389</v>
      </c>
      <c r="J44" t="str">
        <f t="shared" si="0"/>
        <v>(NULL,"29","61"),</v>
      </c>
      <c r="K44" t="str">
        <f>TextJoin(tblClassSubjs[[#This Row],[ClassID]:[SubjectID]],"Value")</f>
        <v>"29","61"</v>
      </c>
    </row>
    <row r="45" spans="2:11" x14ac:dyDescent="0.25">
      <c r="B45">
        <v>43</v>
      </c>
      <c r="C45">
        <v>30</v>
      </c>
      <c r="D45">
        <v>62</v>
      </c>
      <c r="F45" t="s">
        <v>390</v>
      </c>
      <c r="G45" t="s">
        <v>391</v>
      </c>
      <c r="J45" t="str">
        <f t="shared" si="0"/>
        <v>(NULL,"30","62"),</v>
      </c>
      <c r="K45" t="str">
        <f>TextJoin(tblClassSubjs[[#This Row],[ClassID]:[SubjectID]],"Value")</f>
        <v>"30","62"</v>
      </c>
    </row>
    <row r="46" spans="2:11" x14ac:dyDescent="0.25">
      <c r="B46">
        <v>44</v>
      </c>
      <c r="C46">
        <v>31</v>
      </c>
      <c r="D46">
        <v>63</v>
      </c>
      <c r="F46" t="s">
        <v>392</v>
      </c>
      <c r="G46" t="s">
        <v>393</v>
      </c>
      <c r="J46" t="str">
        <f t="shared" si="0"/>
        <v>(NULL,"31","63"),</v>
      </c>
      <c r="K46" t="str">
        <f>TextJoin(tblClassSubjs[[#This Row],[ClassID]:[SubjectID]],"Value")</f>
        <v>"31","63"</v>
      </c>
    </row>
    <row r="47" spans="2:11" x14ac:dyDescent="0.25">
      <c r="B47">
        <v>45</v>
      </c>
      <c r="C47">
        <v>32</v>
      </c>
      <c r="D47">
        <v>142</v>
      </c>
      <c r="F47" t="s">
        <v>509</v>
      </c>
      <c r="G47" t="s">
        <v>510</v>
      </c>
      <c r="J47" t="str">
        <f t="shared" si="0"/>
        <v>(NULL,"32","142"),</v>
      </c>
      <c r="K47" t="str">
        <f>TextJoin(tblClassSubjs[[#This Row],[ClassID]:[SubjectID]],"Value")</f>
        <v>"32","142"</v>
      </c>
    </row>
    <row r="48" spans="2:11" x14ac:dyDescent="0.25">
      <c r="B48">
        <v>46</v>
      </c>
      <c r="C48">
        <v>32</v>
      </c>
      <c r="D48">
        <v>78</v>
      </c>
      <c r="F48" t="s">
        <v>422</v>
      </c>
      <c r="G48" t="s">
        <v>423</v>
      </c>
      <c r="J48" t="str">
        <f t="shared" si="0"/>
        <v>(NULL,"32","78"),</v>
      </c>
      <c r="K48" t="str">
        <f>TextJoin(tblClassSubjs[[#This Row],[ClassID]:[SubjectID]],"Value")</f>
        <v>"32","78"</v>
      </c>
    </row>
    <row r="49" spans="2:11" x14ac:dyDescent="0.25">
      <c r="B49">
        <v>47</v>
      </c>
      <c r="C49">
        <v>33</v>
      </c>
      <c r="D49">
        <v>143</v>
      </c>
      <c r="F49" t="s">
        <v>511</v>
      </c>
      <c r="G49" t="s">
        <v>512</v>
      </c>
      <c r="J49" t="str">
        <f t="shared" si="0"/>
        <v>(NULL,"33","143"),</v>
      </c>
      <c r="K49" t="str">
        <f>TextJoin(tblClassSubjs[[#This Row],[ClassID]:[SubjectID]],"Value")</f>
        <v>"33","143"</v>
      </c>
    </row>
    <row r="50" spans="2:11" x14ac:dyDescent="0.25">
      <c r="B50">
        <v>48</v>
      </c>
      <c r="C50">
        <v>33</v>
      </c>
      <c r="D50">
        <v>79</v>
      </c>
      <c r="F50" t="s">
        <v>424</v>
      </c>
      <c r="G50" t="s">
        <v>425</v>
      </c>
      <c r="J50" t="str">
        <f t="shared" si="0"/>
        <v>(NULL,"33","79"),</v>
      </c>
      <c r="K50" t="str">
        <f>TextJoin(tblClassSubjs[[#This Row],[ClassID]:[SubjectID]],"Value")</f>
        <v>"33","79"</v>
      </c>
    </row>
    <row r="51" spans="2:11" x14ac:dyDescent="0.25">
      <c r="B51">
        <v>49</v>
      </c>
      <c r="C51">
        <v>34</v>
      </c>
      <c r="D51">
        <v>144</v>
      </c>
      <c r="F51" t="s">
        <v>513</v>
      </c>
      <c r="G51" t="s">
        <v>514</v>
      </c>
      <c r="J51" t="str">
        <f t="shared" si="0"/>
        <v>(NULL,"34","144"),</v>
      </c>
      <c r="K51" t="str">
        <f>TextJoin(tblClassSubjs[[#This Row],[ClassID]:[SubjectID]],"Value")</f>
        <v>"34","144"</v>
      </c>
    </row>
    <row r="52" spans="2:11" x14ac:dyDescent="0.25">
      <c r="B52">
        <v>50</v>
      </c>
      <c r="C52">
        <v>35</v>
      </c>
      <c r="D52">
        <v>145</v>
      </c>
      <c r="F52" t="s">
        <v>515</v>
      </c>
      <c r="G52" t="s">
        <v>508</v>
      </c>
      <c r="J52" t="str">
        <f t="shared" si="0"/>
        <v>(NULL,"35","145"),</v>
      </c>
      <c r="K52" t="str">
        <f>TextJoin(tblClassSubjs[[#This Row],[ClassID]:[SubjectID]],"Value")</f>
        <v>"35","145"</v>
      </c>
    </row>
    <row r="53" spans="2:11" x14ac:dyDescent="0.25">
      <c r="B53">
        <v>51</v>
      </c>
      <c r="C53">
        <v>35</v>
      </c>
      <c r="D53">
        <v>141</v>
      </c>
      <c r="F53" t="s">
        <v>507</v>
      </c>
      <c r="G53" t="s">
        <v>508</v>
      </c>
      <c r="J53" t="str">
        <f t="shared" si="0"/>
        <v>(NULL,"35","141"),</v>
      </c>
      <c r="K53" t="str">
        <f>TextJoin(tblClassSubjs[[#This Row],[ClassID]:[SubjectID]],"Value")</f>
        <v>"35","141"</v>
      </c>
    </row>
    <row r="54" spans="2:11" x14ac:dyDescent="0.25">
      <c r="B54">
        <v>52</v>
      </c>
      <c r="C54">
        <v>36</v>
      </c>
      <c r="D54">
        <v>80</v>
      </c>
      <c r="F54" t="s">
        <v>426</v>
      </c>
      <c r="G54" t="s">
        <v>427</v>
      </c>
      <c r="J54" t="str">
        <f t="shared" si="0"/>
        <v>(NULL,"36","80"),</v>
      </c>
      <c r="K54" t="str">
        <f>TextJoin(tblClassSubjs[[#This Row],[ClassID]:[SubjectID]],"Value")</f>
        <v>"36","80"</v>
      </c>
    </row>
    <row r="55" spans="2:11" x14ac:dyDescent="0.25">
      <c r="B55">
        <v>53</v>
      </c>
      <c r="C55">
        <v>36</v>
      </c>
      <c r="D55">
        <v>146</v>
      </c>
      <c r="F55" t="s">
        <v>516</v>
      </c>
      <c r="G55" t="s">
        <v>427</v>
      </c>
      <c r="J55" t="str">
        <f t="shared" si="0"/>
        <v>(NULL,"36","146"),</v>
      </c>
      <c r="K55" t="str">
        <f>TextJoin(tblClassSubjs[[#This Row],[ClassID]:[SubjectID]],"Value")</f>
        <v>"36","146"</v>
      </c>
    </row>
    <row r="56" spans="2:11" x14ac:dyDescent="0.25">
      <c r="B56">
        <v>54</v>
      </c>
      <c r="C56">
        <v>37</v>
      </c>
      <c r="D56">
        <v>75</v>
      </c>
      <c r="F56" t="s">
        <v>416</v>
      </c>
      <c r="G56" t="s">
        <v>417</v>
      </c>
      <c r="J56" t="str">
        <f t="shared" si="0"/>
        <v>(NULL,"37","75"),</v>
      </c>
      <c r="K56" t="str">
        <f>TextJoin(tblClassSubjs[[#This Row],[ClassID]:[SubjectID]],"Value")</f>
        <v>"37","75"</v>
      </c>
    </row>
    <row r="57" spans="2:11" x14ac:dyDescent="0.25">
      <c r="B57">
        <v>55</v>
      </c>
      <c r="C57">
        <v>38</v>
      </c>
      <c r="D57">
        <v>45</v>
      </c>
      <c r="E57" s="28"/>
      <c r="F57" s="28"/>
      <c r="G57" s="28" t="s">
        <v>749</v>
      </c>
      <c r="H57" s="28"/>
      <c r="J57" t="str">
        <f t="shared" si="0"/>
        <v>(NULL,"38","45"),</v>
      </c>
      <c r="K57" t="str">
        <f>TextJoin(tblClassSubjs[[#This Row],[ClassID]:[SubjectID]],"Value")</f>
        <v>"38","45"</v>
      </c>
    </row>
    <row r="58" spans="2:11" x14ac:dyDescent="0.25">
      <c r="B58">
        <v>56</v>
      </c>
      <c r="C58">
        <v>39</v>
      </c>
      <c r="D58">
        <v>132</v>
      </c>
      <c r="G58" t="s">
        <v>640</v>
      </c>
      <c r="J58" t="str">
        <f t="shared" si="0"/>
        <v>(NULL,"39","132"),</v>
      </c>
      <c r="K58" t="str">
        <f>TextJoin(tblClassSubjs[[#This Row],[ClassID]:[SubjectID]],"Value")</f>
        <v>"39","132"</v>
      </c>
    </row>
    <row r="59" spans="2:11" x14ac:dyDescent="0.25">
      <c r="B59">
        <v>57</v>
      </c>
      <c r="C59">
        <v>40</v>
      </c>
      <c r="D59">
        <v>66</v>
      </c>
      <c r="G59" t="s">
        <v>744</v>
      </c>
      <c r="J59" t="str">
        <f t="shared" si="0"/>
        <v>(NULL,"40","66"),</v>
      </c>
      <c r="K59" t="str">
        <f>TextJoin(tblClassSubjs[[#This Row],[ClassID]:[SubjectID]],"Value")</f>
        <v>"40","66"</v>
      </c>
    </row>
    <row r="60" spans="2:11" x14ac:dyDescent="0.25">
      <c r="B60">
        <v>58</v>
      </c>
      <c r="C60">
        <v>40</v>
      </c>
      <c r="D60">
        <v>135</v>
      </c>
      <c r="G60" t="s">
        <v>745</v>
      </c>
      <c r="J60" t="str">
        <f t="shared" si="0"/>
        <v>(NULL,"40","135"),</v>
      </c>
      <c r="K60" t="str">
        <f>TextJoin(tblClassSubjs[[#This Row],[ClassID]:[SubjectID]],"Value")</f>
        <v>"40","135"</v>
      </c>
    </row>
    <row r="61" spans="2:11" x14ac:dyDescent="0.25">
      <c r="B61">
        <v>59</v>
      </c>
      <c r="C61">
        <v>41</v>
      </c>
      <c r="D61">
        <v>16</v>
      </c>
      <c r="G61" t="s">
        <v>746</v>
      </c>
      <c r="J61" t="str">
        <f t="shared" si="0"/>
        <v>(NULL,"41","16"),</v>
      </c>
      <c r="K61" t="str">
        <f>TextJoin(tblClassSubjs[[#This Row],[ClassID]:[SubjectID]],"Value")</f>
        <v>"41","16"</v>
      </c>
    </row>
    <row r="62" spans="2:11" x14ac:dyDescent="0.25">
      <c r="B62">
        <v>60</v>
      </c>
      <c r="C62">
        <v>42</v>
      </c>
      <c r="D62">
        <v>31</v>
      </c>
      <c r="G62" t="s">
        <v>747</v>
      </c>
      <c r="J62" t="str">
        <f t="shared" si="0"/>
        <v>(NULL,"42","31"),</v>
      </c>
      <c r="K62" t="str">
        <f>TextJoin(tblClassSubjs[[#This Row],[ClassID]:[SubjectID]],"Value")</f>
        <v>"42","31"</v>
      </c>
    </row>
    <row r="63" spans="2:11" x14ac:dyDescent="0.25">
      <c r="B63">
        <v>61</v>
      </c>
      <c r="C63">
        <v>43</v>
      </c>
      <c r="D63">
        <v>14</v>
      </c>
      <c r="G63" t="s">
        <v>296</v>
      </c>
      <c r="J63" t="str">
        <f t="shared" si="0"/>
        <v>(NULL,"43","14"),</v>
      </c>
      <c r="K63" t="str">
        <f>TextJoin(tblClassSubjs[[#This Row],[ClassID]:[SubjectID]],"Value")</f>
        <v>"43","14"</v>
      </c>
    </row>
    <row r="64" spans="2:11" x14ac:dyDescent="0.25">
      <c r="B64">
        <v>62</v>
      </c>
      <c r="C64">
        <v>44</v>
      </c>
      <c r="D64">
        <v>72</v>
      </c>
      <c r="G64" t="s">
        <v>411</v>
      </c>
      <c r="J64" t="str">
        <f t="shared" si="0"/>
        <v>(NULL,"44","72"),</v>
      </c>
      <c r="K64" t="str">
        <f>TextJoin(tblClassSubjs[[#This Row],[ClassID]:[SubjectID]],"Value")</f>
        <v>"44","72"</v>
      </c>
    </row>
    <row r="65" spans="2:11" x14ac:dyDescent="0.25">
      <c r="B65">
        <v>63</v>
      </c>
      <c r="C65">
        <v>45</v>
      </c>
      <c r="D65">
        <v>69</v>
      </c>
      <c r="G65" t="s">
        <v>750</v>
      </c>
      <c r="J65" t="str">
        <f t="shared" si="0"/>
        <v>(NULL,"45","69"),</v>
      </c>
      <c r="K65" t="str">
        <f>TextJoin(tblClassSubjs[[#This Row],[ClassID]:[SubjectID]],"Value")</f>
        <v>"45","69"</v>
      </c>
    </row>
    <row r="66" spans="2:11" x14ac:dyDescent="0.25">
      <c r="B66">
        <v>64</v>
      </c>
      <c r="C66">
        <v>46</v>
      </c>
      <c r="D66">
        <v>87</v>
      </c>
      <c r="G66" t="s">
        <v>751</v>
      </c>
      <c r="J66" t="str">
        <f t="shared" si="0"/>
        <v>(NULL,"46","87"),</v>
      </c>
      <c r="K66" t="str">
        <f>TextJoin(tblClassSubjs[[#This Row],[ClassID]:[SubjectID]],"Value")</f>
        <v>"46","87"</v>
      </c>
    </row>
    <row r="67" spans="2:11" x14ac:dyDescent="0.25">
      <c r="B67">
        <v>65</v>
      </c>
      <c r="C67">
        <v>47</v>
      </c>
      <c r="D67">
        <v>147</v>
      </c>
      <c r="E67" s="28"/>
      <c r="F67" s="28" t="s">
        <v>521</v>
      </c>
      <c r="G67" s="28" t="s">
        <v>597</v>
      </c>
      <c r="H67" s="28">
        <v>2</v>
      </c>
      <c r="J67" t="str">
        <f t="shared" si="0"/>
        <v>(NULL,"47","147"),</v>
      </c>
      <c r="K67" t="str">
        <f>TextJoin(tblClassSubjs[[#This Row],[ClassID]:[SubjectID]],"Value")</f>
        <v>"47","147"</v>
      </c>
    </row>
    <row r="68" spans="2:11" x14ac:dyDescent="0.25">
      <c r="B68">
        <v>66</v>
      </c>
      <c r="C68">
        <v>48</v>
      </c>
      <c r="D68">
        <v>148</v>
      </c>
      <c r="F68" t="s">
        <v>522</v>
      </c>
      <c r="G68" t="s">
        <v>598</v>
      </c>
      <c r="J68" t="str">
        <f t="shared" ref="J68:J131" si="1">"(NULL,"&amp;K68&amp;")"&amp;IF(J69&lt;&gt;"",",",";")</f>
        <v>(NULL,"48","148"),</v>
      </c>
      <c r="K68" t="str">
        <f>TextJoin(tblClassSubjs[[#This Row],[ClassID]:[SubjectID]],"Value")</f>
        <v>"48","148"</v>
      </c>
    </row>
    <row r="69" spans="2:11" x14ac:dyDescent="0.25">
      <c r="B69">
        <v>67</v>
      </c>
      <c r="C69">
        <v>49</v>
      </c>
      <c r="D69">
        <v>149</v>
      </c>
      <c r="F69" t="s">
        <v>523</v>
      </c>
      <c r="G69" t="s">
        <v>599</v>
      </c>
      <c r="J69" t="str">
        <f t="shared" si="1"/>
        <v>(NULL,"49","149"),</v>
      </c>
      <c r="K69" t="str">
        <f>TextJoin(tblClassSubjs[[#This Row],[ClassID]:[SubjectID]],"Value")</f>
        <v>"49","149"</v>
      </c>
    </row>
    <row r="70" spans="2:11" x14ac:dyDescent="0.25">
      <c r="B70">
        <v>68</v>
      </c>
      <c r="C70">
        <v>50</v>
      </c>
      <c r="D70">
        <v>150</v>
      </c>
      <c r="F70" t="s">
        <v>271</v>
      </c>
      <c r="G70" t="s">
        <v>600</v>
      </c>
      <c r="J70" t="str">
        <f t="shared" si="1"/>
        <v>(NULL,"50","150"),</v>
      </c>
      <c r="K70" t="str">
        <f>TextJoin(tblClassSubjs[[#This Row],[ClassID]:[SubjectID]],"Value")</f>
        <v>"50","150"</v>
      </c>
    </row>
    <row r="71" spans="2:11" x14ac:dyDescent="0.25">
      <c r="B71">
        <v>69</v>
      </c>
      <c r="C71">
        <v>51</v>
      </c>
      <c r="D71">
        <v>151</v>
      </c>
      <c r="F71" t="s">
        <v>436</v>
      </c>
      <c r="G71" t="s">
        <v>601</v>
      </c>
      <c r="J71" t="str">
        <f t="shared" si="1"/>
        <v>(NULL,"51","151"),</v>
      </c>
      <c r="K71" t="str">
        <f>TextJoin(tblClassSubjs[[#This Row],[ClassID]:[SubjectID]],"Value")</f>
        <v>"51","151"</v>
      </c>
    </row>
    <row r="72" spans="2:11" x14ac:dyDescent="0.25">
      <c r="B72">
        <v>70</v>
      </c>
      <c r="C72">
        <v>52</v>
      </c>
      <c r="D72">
        <v>152</v>
      </c>
      <c r="F72" t="s">
        <v>275</v>
      </c>
      <c r="G72" t="s">
        <v>602</v>
      </c>
      <c r="J72" t="str">
        <f t="shared" si="1"/>
        <v>(NULL,"52","152"),</v>
      </c>
      <c r="K72" t="str">
        <f>TextJoin(tblClassSubjs[[#This Row],[ClassID]:[SubjectID]],"Value")</f>
        <v>"52","152"</v>
      </c>
    </row>
    <row r="73" spans="2:11" x14ac:dyDescent="0.25">
      <c r="B73">
        <v>71</v>
      </c>
      <c r="C73">
        <v>53</v>
      </c>
      <c r="D73">
        <v>153</v>
      </c>
      <c r="F73" t="s">
        <v>431</v>
      </c>
      <c r="G73" t="s">
        <v>603</v>
      </c>
      <c r="J73" t="str">
        <f t="shared" si="1"/>
        <v>(NULL,"53","153"),</v>
      </c>
      <c r="K73" t="str">
        <f>TextJoin(tblClassSubjs[[#This Row],[ClassID]:[SubjectID]],"Value")</f>
        <v>"53","153"</v>
      </c>
    </row>
    <row r="74" spans="2:11" x14ac:dyDescent="0.25">
      <c r="B74">
        <v>72</v>
      </c>
      <c r="C74">
        <v>54</v>
      </c>
      <c r="D74">
        <v>154</v>
      </c>
      <c r="F74" t="s">
        <v>437</v>
      </c>
      <c r="G74" t="s">
        <v>604</v>
      </c>
      <c r="J74" t="str">
        <f t="shared" si="1"/>
        <v>(NULL,"54","154"),</v>
      </c>
      <c r="K74" t="str">
        <f>TextJoin(tblClassSubjs[[#This Row],[ClassID]:[SubjectID]],"Value")</f>
        <v>"54","154"</v>
      </c>
    </row>
    <row r="75" spans="2:11" x14ac:dyDescent="0.25">
      <c r="B75">
        <v>73</v>
      </c>
      <c r="C75">
        <v>55</v>
      </c>
      <c r="D75">
        <v>155</v>
      </c>
      <c r="F75" t="s">
        <v>524</v>
      </c>
      <c r="G75" t="s">
        <v>605</v>
      </c>
      <c r="J75" t="str">
        <f t="shared" si="1"/>
        <v>(NULL,"55","155"),</v>
      </c>
      <c r="K75" t="str">
        <f>TextJoin(tblClassSubjs[[#This Row],[ClassID]:[SubjectID]],"Value")</f>
        <v>"55","155"</v>
      </c>
    </row>
    <row r="76" spans="2:11" x14ac:dyDescent="0.25">
      <c r="B76">
        <v>74</v>
      </c>
      <c r="C76">
        <v>56</v>
      </c>
      <c r="D76">
        <v>215</v>
      </c>
      <c r="F76" t="s">
        <v>431</v>
      </c>
      <c r="G76" t="s">
        <v>650</v>
      </c>
      <c r="J76" t="str">
        <f t="shared" si="1"/>
        <v>(NULL,"56","215"),</v>
      </c>
      <c r="K76" t="str">
        <f>TextJoin(tblClassSubjs[[#This Row],[ClassID]:[SubjectID]],"Value")</f>
        <v>"56","215"</v>
      </c>
    </row>
    <row r="77" spans="2:11" x14ac:dyDescent="0.25">
      <c r="B77">
        <v>75</v>
      </c>
      <c r="C77">
        <v>57</v>
      </c>
      <c r="D77">
        <v>216</v>
      </c>
      <c r="F77" t="s">
        <v>567</v>
      </c>
      <c r="G77" t="s">
        <v>651</v>
      </c>
      <c r="J77" t="str">
        <f t="shared" si="1"/>
        <v>(NULL,"57","216"),</v>
      </c>
      <c r="K77" t="str">
        <f>TextJoin(tblClassSubjs[[#This Row],[ClassID]:[SubjectID]],"Value")</f>
        <v>"57","216"</v>
      </c>
    </row>
    <row r="78" spans="2:11" x14ac:dyDescent="0.25">
      <c r="B78">
        <v>76</v>
      </c>
      <c r="C78">
        <v>58</v>
      </c>
      <c r="D78">
        <v>217</v>
      </c>
      <c r="F78" t="s">
        <v>568</v>
      </c>
      <c r="G78" t="s">
        <v>652</v>
      </c>
      <c r="J78" t="str">
        <f t="shared" si="1"/>
        <v>(NULL,"58","217"),</v>
      </c>
      <c r="K78" t="str">
        <f>TextJoin(tblClassSubjs[[#This Row],[ClassID]:[SubjectID]],"Value")</f>
        <v>"58","217"</v>
      </c>
    </row>
    <row r="79" spans="2:11" x14ac:dyDescent="0.25">
      <c r="B79">
        <v>77</v>
      </c>
      <c r="C79">
        <v>59</v>
      </c>
      <c r="D79">
        <v>20</v>
      </c>
      <c r="F79" t="s">
        <v>306</v>
      </c>
      <c r="G79" t="s">
        <v>307</v>
      </c>
      <c r="J79" t="str">
        <f t="shared" si="1"/>
        <v>(NULL,"59","20"),</v>
      </c>
      <c r="K79" t="str">
        <f>TextJoin(tblClassSubjs[[#This Row],[ClassID]:[SubjectID]],"Value")</f>
        <v>"59","20"</v>
      </c>
    </row>
    <row r="80" spans="2:11" x14ac:dyDescent="0.25">
      <c r="B80">
        <v>78</v>
      </c>
      <c r="C80">
        <v>60</v>
      </c>
      <c r="D80">
        <v>21</v>
      </c>
      <c r="F80" t="s">
        <v>308</v>
      </c>
      <c r="G80" t="s">
        <v>309</v>
      </c>
      <c r="J80" t="str">
        <f t="shared" si="1"/>
        <v>(NULL,"60","21"),</v>
      </c>
      <c r="K80" t="str">
        <f>TextJoin(tblClassSubjs[[#This Row],[ClassID]:[SubjectID]],"Value")</f>
        <v>"60","21"</v>
      </c>
    </row>
    <row r="81" spans="2:11" x14ac:dyDescent="0.25">
      <c r="B81">
        <v>79</v>
      </c>
      <c r="C81">
        <v>61</v>
      </c>
      <c r="D81">
        <v>22</v>
      </c>
      <c r="F81" t="s">
        <v>310</v>
      </c>
      <c r="G81" t="s">
        <v>311</v>
      </c>
      <c r="J81" t="str">
        <f t="shared" si="1"/>
        <v>(NULL,"61","22"),</v>
      </c>
      <c r="K81" t="str">
        <f>TextJoin(tblClassSubjs[[#This Row],[ClassID]:[SubjectID]],"Value")</f>
        <v>"61","22"</v>
      </c>
    </row>
    <row r="82" spans="2:11" x14ac:dyDescent="0.25">
      <c r="B82">
        <v>80</v>
      </c>
      <c r="C82">
        <v>62</v>
      </c>
      <c r="D82">
        <v>23</v>
      </c>
      <c r="F82" t="s">
        <v>312</v>
      </c>
      <c r="G82" t="s">
        <v>313</v>
      </c>
      <c r="J82" t="str">
        <f t="shared" si="1"/>
        <v>(NULL,"62","23"),</v>
      </c>
      <c r="K82" t="str">
        <f>TextJoin(tblClassSubjs[[#This Row],[ClassID]:[SubjectID]],"Value")</f>
        <v>"62","23"</v>
      </c>
    </row>
    <row r="83" spans="2:11" x14ac:dyDescent="0.25">
      <c r="B83">
        <v>81</v>
      </c>
      <c r="C83">
        <v>63</v>
      </c>
      <c r="D83">
        <v>24</v>
      </c>
      <c r="E83" s="4"/>
      <c r="F83" s="4" t="s">
        <v>314</v>
      </c>
      <c r="G83" s="4" t="s">
        <v>315</v>
      </c>
      <c r="J83" t="str">
        <f t="shared" si="1"/>
        <v>(NULL,"63","24"),</v>
      </c>
      <c r="K83" t="str">
        <f>TextJoin(tblClassSubjs[[#This Row],[ClassID]:[SubjectID]],"Value")</f>
        <v>"63","24"</v>
      </c>
    </row>
    <row r="84" spans="2:11" x14ac:dyDescent="0.25">
      <c r="B84">
        <v>82</v>
      </c>
      <c r="C84">
        <v>64</v>
      </c>
      <c r="D84">
        <v>25</v>
      </c>
      <c r="F84" t="s">
        <v>316</v>
      </c>
      <c r="G84" t="s">
        <v>317</v>
      </c>
      <c r="J84" t="str">
        <f t="shared" si="1"/>
        <v>(NULL,"64","25"),</v>
      </c>
      <c r="K84" t="str">
        <f>TextJoin(tblClassSubjs[[#This Row],[ClassID]:[SubjectID]],"Value")</f>
        <v>"64","25"</v>
      </c>
    </row>
    <row r="85" spans="2:11" x14ac:dyDescent="0.25">
      <c r="B85">
        <v>83</v>
      </c>
      <c r="C85">
        <v>65</v>
      </c>
      <c r="D85">
        <v>26</v>
      </c>
      <c r="F85" t="s">
        <v>318</v>
      </c>
      <c r="G85" t="s">
        <v>319</v>
      </c>
      <c r="J85" t="str">
        <f t="shared" si="1"/>
        <v>(NULL,"65","26"),</v>
      </c>
      <c r="K85" t="str">
        <f>TextJoin(tblClassSubjs[[#This Row],[ClassID]:[SubjectID]],"Value")</f>
        <v>"65","26"</v>
      </c>
    </row>
    <row r="86" spans="2:11" x14ac:dyDescent="0.25">
      <c r="B86">
        <v>84</v>
      </c>
      <c r="C86">
        <v>66</v>
      </c>
      <c r="D86">
        <v>27</v>
      </c>
      <c r="F86" t="s">
        <v>320</v>
      </c>
      <c r="G86" t="s">
        <v>321</v>
      </c>
      <c r="J86" t="str">
        <f t="shared" si="1"/>
        <v>(NULL,"66","27"),</v>
      </c>
      <c r="K86" t="str">
        <f>TextJoin(tblClassSubjs[[#This Row],[ClassID]:[SubjectID]],"Value")</f>
        <v>"66","27"</v>
      </c>
    </row>
    <row r="87" spans="2:11" x14ac:dyDescent="0.25">
      <c r="B87">
        <v>85</v>
      </c>
      <c r="C87">
        <v>67</v>
      </c>
      <c r="D87">
        <v>103</v>
      </c>
      <c r="F87" t="s">
        <v>450</v>
      </c>
      <c r="G87" t="s">
        <v>451</v>
      </c>
      <c r="J87" t="str">
        <f t="shared" si="1"/>
        <v>(NULL,"67","103"),</v>
      </c>
      <c r="K87" t="str">
        <f>TextJoin(tblClassSubjs[[#This Row],[ClassID]:[SubjectID]],"Value")</f>
        <v>"67","103"</v>
      </c>
    </row>
    <row r="88" spans="2:11" x14ac:dyDescent="0.25">
      <c r="B88">
        <v>86</v>
      </c>
      <c r="C88">
        <v>68</v>
      </c>
      <c r="D88">
        <v>104</v>
      </c>
      <c r="F88" t="s">
        <v>452</v>
      </c>
      <c r="G88" t="s">
        <v>453</v>
      </c>
      <c r="J88" t="str">
        <f t="shared" si="1"/>
        <v>(NULL,"68","104"),</v>
      </c>
      <c r="K88" t="str">
        <f>TextJoin(tblClassSubjs[[#This Row],[ClassID]:[SubjectID]],"Value")</f>
        <v>"68","104"</v>
      </c>
    </row>
    <row r="89" spans="2:11" x14ac:dyDescent="0.25">
      <c r="B89">
        <v>87</v>
      </c>
      <c r="C89">
        <v>69</v>
      </c>
      <c r="D89">
        <v>105</v>
      </c>
      <c r="F89" t="s">
        <v>454</v>
      </c>
      <c r="G89" t="s">
        <v>455</v>
      </c>
      <c r="J89" t="str">
        <f t="shared" si="1"/>
        <v>(NULL,"69","105"),</v>
      </c>
      <c r="K89" t="str">
        <f>TextJoin(tblClassSubjs[[#This Row],[ClassID]:[SubjectID]],"Value")</f>
        <v>"69","105"</v>
      </c>
    </row>
    <row r="90" spans="2:11" x14ac:dyDescent="0.25">
      <c r="B90">
        <v>88</v>
      </c>
      <c r="C90">
        <v>70</v>
      </c>
      <c r="D90">
        <v>106</v>
      </c>
      <c r="F90" t="s">
        <v>456</v>
      </c>
      <c r="G90" t="s">
        <v>329</v>
      </c>
      <c r="J90" t="str">
        <f t="shared" si="1"/>
        <v>(NULL,"70","106"),</v>
      </c>
      <c r="K90" t="str">
        <f>TextJoin(tblClassSubjs[[#This Row],[ClassID]:[SubjectID]],"Value")</f>
        <v>"70","106"</v>
      </c>
    </row>
    <row r="91" spans="2:11" x14ac:dyDescent="0.25">
      <c r="B91">
        <v>89</v>
      </c>
      <c r="C91">
        <v>71</v>
      </c>
      <c r="D91">
        <v>107</v>
      </c>
      <c r="F91" t="s">
        <v>457</v>
      </c>
      <c r="G91" t="s">
        <v>458</v>
      </c>
      <c r="J91" t="str">
        <f t="shared" si="1"/>
        <v>(NULL,"71","107"),</v>
      </c>
      <c r="K91" t="str">
        <f>TextJoin(tblClassSubjs[[#This Row],[ClassID]:[SubjectID]],"Value")</f>
        <v>"71","107"</v>
      </c>
    </row>
    <row r="92" spans="2:11" x14ac:dyDescent="0.25">
      <c r="B92">
        <v>90</v>
      </c>
      <c r="C92">
        <v>72</v>
      </c>
      <c r="D92">
        <v>35</v>
      </c>
      <c r="F92" t="s">
        <v>337</v>
      </c>
      <c r="G92" t="s">
        <v>338</v>
      </c>
      <c r="J92" t="str">
        <f t="shared" si="1"/>
        <v>(NULL,"72","35"),</v>
      </c>
      <c r="K92" t="str">
        <f>TextJoin(tblClassSubjs[[#This Row],[ClassID]:[SubjectID]],"Value")</f>
        <v>"72","35"</v>
      </c>
    </row>
    <row r="93" spans="2:11" x14ac:dyDescent="0.25">
      <c r="B93">
        <v>91</v>
      </c>
      <c r="C93">
        <v>73</v>
      </c>
      <c r="D93">
        <v>36</v>
      </c>
      <c r="F93" t="s">
        <v>339</v>
      </c>
      <c r="G93" t="s">
        <v>340</v>
      </c>
      <c r="J93" t="str">
        <f t="shared" si="1"/>
        <v>(NULL,"73","36"),</v>
      </c>
      <c r="K93" t="str">
        <f>TextJoin(tblClassSubjs[[#This Row],[ClassID]:[SubjectID]],"Value")</f>
        <v>"73","36"</v>
      </c>
    </row>
    <row r="94" spans="2:11" x14ac:dyDescent="0.25">
      <c r="B94">
        <v>92</v>
      </c>
      <c r="C94">
        <v>74</v>
      </c>
      <c r="D94">
        <v>37</v>
      </c>
      <c r="F94" t="s">
        <v>341</v>
      </c>
      <c r="G94" t="s">
        <v>342</v>
      </c>
      <c r="J94" t="str">
        <f t="shared" si="1"/>
        <v>(NULL,"74","37"),</v>
      </c>
      <c r="K94" t="str">
        <f>TextJoin(tblClassSubjs[[#This Row],[ClassID]:[SubjectID]],"Value")</f>
        <v>"74","37"</v>
      </c>
    </row>
    <row r="95" spans="2:11" x14ac:dyDescent="0.25">
      <c r="B95">
        <v>93</v>
      </c>
      <c r="C95">
        <v>75</v>
      </c>
      <c r="D95">
        <v>38</v>
      </c>
      <c r="F95" t="s">
        <v>343</v>
      </c>
      <c r="G95" t="s">
        <v>344</v>
      </c>
      <c r="J95" t="str">
        <f t="shared" si="1"/>
        <v>(NULL,"75","38"),</v>
      </c>
      <c r="K95" t="str">
        <f>TextJoin(tblClassSubjs[[#This Row],[ClassID]:[SubjectID]],"Value")</f>
        <v>"75","38"</v>
      </c>
    </row>
    <row r="96" spans="2:11" x14ac:dyDescent="0.25">
      <c r="B96">
        <v>94</v>
      </c>
      <c r="C96">
        <v>76</v>
      </c>
      <c r="D96">
        <v>39</v>
      </c>
      <c r="F96" t="s">
        <v>345</v>
      </c>
      <c r="G96" t="s">
        <v>346</v>
      </c>
      <c r="J96" t="str">
        <f t="shared" si="1"/>
        <v>(NULL,"76","39"),</v>
      </c>
      <c r="K96" t="str">
        <f>TextJoin(tblClassSubjs[[#This Row],[ClassID]:[SubjectID]],"Value")</f>
        <v>"76","39"</v>
      </c>
    </row>
    <row r="97" spans="2:11" x14ac:dyDescent="0.25">
      <c r="B97">
        <v>95</v>
      </c>
      <c r="C97">
        <v>77</v>
      </c>
      <c r="D97">
        <v>40</v>
      </c>
      <c r="F97" t="s">
        <v>347</v>
      </c>
      <c r="G97" t="s">
        <v>348</v>
      </c>
      <c r="J97" t="str">
        <f t="shared" si="1"/>
        <v>(NULL,"77","40"),</v>
      </c>
      <c r="K97" t="str">
        <f>TextJoin(tblClassSubjs[[#This Row],[ClassID]:[SubjectID]],"Value")</f>
        <v>"77","40"</v>
      </c>
    </row>
    <row r="98" spans="2:11" x14ac:dyDescent="0.25">
      <c r="B98">
        <v>96</v>
      </c>
      <c r="C98">
        <v>78</v>
      </c>
      <c r="D98">
        <v>41</v>
      </c>
      <c r="F98" t="s">
        <v>349</v>
      </c>
      <c r="G98" t="s">
        <v>350</v>
      </c>
      <c r="J98" t="str">
        <f t="shared" si="1"/>
        <v>(NULL,"78","41"),</v>
      </c>
      <c r="K98" t="str">
        <f>TextJoin(tblClassSubjs[[#This Row],[ClassID]:[SubjectID]],"Value")</f>
        <v>"78","41"</v>
      </c>
    </row>
    <row r="99" spans="2:11" x14ac:dyDescent="0.25">
      <c r="B99">
        <v>97</v>
      </c>
      <c r="C99">
        <v>79</v>
      </c>
      <c r="D99">
        <v>42</v>
      </c>
      <c r="F99" t="s">
        <v>351</v>
      </c>
      <c r="G99" t="s">
        <v>610</v>
      </c>
      <c r="J99" t="str">
        <f t="shared" si="1"/>
        <v>(NULL,"79","42"),</v>
      </c>
      <c r="K99" t="str">
        <f>TextJoin(tblClassSubjs[[#This Row],[ClassID]:[SubjectID]],"Value")</f>
        <v>"79","42"</v>
      </c>
    </row>
    <row r="100" spans="2:11" x14ac:dyDescent="0.25">
      <c r="B100">
        <v>98</v>
      </c>
      <c r="C100">
        <v>80</v>
      </c>
      <c r="D100">
        <v>120</v>
      </c>
      <c r="F100" t="s">
        <v>475</v>
      </c>
      <c r="G100" t="s">
        <v>476</v>
      </c>
      <c r="J100" t="str">
        <f t="shared" si="1"/>
        <v>(NULL,"80","120"),</v>
      </c>
      <c r="K100" t="str">
        <f>TextJoin(tblClassSubjs[[#This Row],[ClassID]:[SubjectID]],"Value")</f>
        <v>"80","120"</v>
      </c>
    </row>
    <row r="101" spans="2:11" x14ac:dyDescent="0.25">
      <c r="B101">
        <v>99</v>
      </c>
      <c r="C101">
        <v>81</v>
      </c>
      <c r="D101">
        <v>121</v>
      </c>
      <c r="F101" t="s">
        <v>477</v>
      </c>
      <c r="G101" t="s">
        <v>389</v>
      </c>
      <c r="J101" t="str">
        <f t="shared" si="1"/>
        <v>(NULL,"81","121"),</v>
      </c>
      <c r="K101" t="str">
        <f>TextJoin(tblClassSubjs[[#This Row],[ClassID]:[SubjectID]],"Value")</f>
        <v>"81","121"</v>
      </c>
    </row>
    <row r="102" spans="2:11" x14ac:dyDescent="0.25">
      <c r="B102">
        <v>100</v>
      </c>
      <c r="C102">
        <v>82</v>
      </c>
      <c r="D102">
        <v>122</v>
      </c>
      <c r="F102" t="s">
        <v>478</v>
      </c>
      <c r="G102" t="s">
        <v>479</v>
      </c>
      <c r="J102" t="str">
        <f t="shared" si="1"/>
        <v>(NULL,"82","122"),</v>
      </c>
      <c r="K102" t="str">
        <f>TextJoin(tblClassSubjs[[#This Row],[ClassID]:[SubjectID]],"Value")</f>
        <v>"82","122"</v>
      </c>
    </row>
    <row r="103" spans="2:11" x14ac:dyDescent="0.25">
      <c r="B103">
        <v>101</v>
      </c>
      <c r="C103">
        <v>83</v>
      </c>
      <c r="D103">
        <v>123</v>
      </c>
      <c r="F103" t="s">
        <v>480</v>
      </c>
      <c r="G103" t="s">
        <v>359</v>
      </c>
      <c r="J103" t="str">
        <f t="shared" si="1"/>
        <v>(NULL,"83","123"),</v>
      </c>
      <c r="K103" t="str">
        <f>TextJoin(tblClassSubjs[[#This Row],[ClassID]:[SubjectID]],"Value")</f>
        <v>"83","123"</v>
      </c>
    </row>
    <row r="104" spans="2:11" x14ac:dyDescent="0.25">
      <c r="B104">
        <v>102</v>
      </c>
      <c r="C104">
        <v>84</v>
      </c>
      <c r="D104">
        <v>124</v>
      </c>
      <c r="F104" t="s">
        <v>481</v>
      </c>
      <c r="G104" t="s">
        <v>298</v>
      </c>
      <c r="J104" t="str">
        <f t="shared" si="1"/>
        <v>(NULL,"84","124"),</v>
      </c>
      <c r="K104" t="str">
        <f>TextJoin(tblClassSubjs[[#This Row],[ClassID]:[SubjectID]],"Value")</f>
        <v>"84","124"</v>
      </c>
    </row>
    <row r="105" spans="2:11" x14ac:dyDescent="0.25">
      <c r="B105">
        <v>103</v>
      </c>
      <c r="C105">
        <v>85</v>
      </c>
      <c r="D105">
        <v>125</v>
      </c>
      <c r="F105" t="s">
        <v>482</v>
      </c>
      <c r="G105" t="s">
        <v>483</v>
      </c>
      <c r="J105" t="str">
        <f t="shared" si="1"/>
        <v>(NULL,"85","125"),</v>
      </c>
      <c r="K105" t="str">
        <f>TextJoin(tblClassSubjs[[#This Row],[ClassID]:[SubjectID]],"Value")</f>
        <v>"85","125"</v>
      </c>
    </row>
    <row r="106" spans="2:11" x14ac:dyDescent="0.25">
      <c r="B106">
        <v>104</v>
      </c>
      <c r="C106">
        <v>86</v>
      </c>
      <c r="D106">
        <v>126</v>
      </c>
      <c r="F106" t="s">
        <v>484</v>
      </c>
      <c r="G106" t="s">
        <v>333</v>
      </c>
      <c r="J106" t="str">
        <f t="shared" si="1"/>
        <v>(NULL,"86","126"),</v>
      </c>
      <c r="K106" t="str">
        <f>TextJoin(tblClassSubjs[[#This Row],[ClassID]:[SubjectID]],"Value")</f>
        <v>"86","126"</v>
      </c>
    </row>
    <row r="107" spans="2:11" x14ac:dyDescent="0.25">
      <c r="B107">
        <v>105</v>
      </c>
      <c r="C107">
        <v>87</v>
      </c>
      <c r="D107">
        <v>51</v>
      </c>
      <c r="F107" t="s">
        <v>368</v>
      </c>
      <c r="G107" t="s">
        <v>369</v>
      </c>
      <c r="J107" t="str">
        <f t="shared" si="1"/>
        <v>(NULL,"87","51"),</v>
      </c>
      <c r="K107" t="str">
        <f>TextJoin(tblClassSubjs[[#This Row],[ClassID]:[SubjectID]],"Value")</f>
        <v>"87","51"</v>
      </c>
    </row>
    <row r="108" spans="2:11" x14ac:dyDescent="0.25">
      <c r="B108">
        <v>106</v>
      </c>
      <c r="C108">
        <v>88</v>
      </c>
      <c r="D108">
        <v>52</v>
      </c>
      <c r="F108" t="s">
        <v>370</v>
      </c>
      <c r="G108" t="s">
        <v>371</v>
      </c>
      <c r="J108" t="str">
        <f t="shared" si="1"/>
        <v>(NULL,"88","52"),</v>
      </c>
      <c r="K108" t="str">
        <f>TextJoin(tblClassSubjs[[#This Row],[ClassID]:[SubjectID]],"Value")</f>
        <v>"88","52"</v>
      </c>
    </row>
    <row r="109" spans="2:11" x14ac:dyDescent="0.25">
      <c r="B109">
        <v>107</v>
      </c>
      <c r="C109">
        <v>89</v>
      </c>
      <c r="D109">
        <v>53</v>
      </c>
      <c r="F109" t="s">
        <v>372</v>
      </c>
      <c r="G109" t="s">
        <v>373</v>
      </c>
      <c r="J109" t="str">
        <f t="shared" si="1"/>
        <v>(NULL,"89","53"),</v>
      </c>
      <c r="K109" t="str">
        <f>TextJoin(tblClassSubjs[[#This Row],[ClassID]:[SubjectID]],"Value")</f>
        <v>"89","53"</v>
      </c>
    </row>
    <row r="110" spans="2:11" x14ac:dyDescent="0.25">
      <c r="B110">
        <v>108</v>
      </c>
      <c r="C110">
        <v>90</v>
      </c>
      <c r="D110">
        <v>54</v>
      </c>
      <c r="F110" t="s">
        <v>374</v>
      </c>
      <c r="G110" t="s">
        <v>375</v>
      </c>
      <c r="J110" t="str">
        <f t="shared" si="1"/>
        <v>(NULL,"90","54"),</v>
      </c>
      <c r="K110" t="str">
        <f>TextJoin(tblClassSubjs[[#This Row],[ClassID]:[SubjectID]],"Value")</f>
        <v>"90","54"</v>
      </c>
    </row>
    <row r="111" spans="2:11" x14ac:dyDescent="0.25">
      <c r="B111">
        <v>109</v>
      </c>
      <c r="C111">
        <v>91</v>
      </c>
      <c r="D111">
        <v>55</v>
      </c>
      <c r="F111" t="s">
        <v>376</v>
      </c>
      <c r="G111" t="s">
        <v>377</v>
      </c>
      <c r="J111" t="str">
        <f t="shared" si="1"/>
        <v>(NULL,"91","55"),</v>
      </c>
      <c r="K111" t="str">
        <f>TextJoin(tblClassSubjs[[#This Row],[ClassID]:[SubjectID]],"Value")</f>
        <v>"91","55"</v>
      </c>
    </row>
    <row r="112" spans="2:11" x14ac:dyDescent="0.25">
      <c r="B112">
        <v>110</v>
      </c>
      <c r="C112">
        <v>92</v>
      </c>
      <c r="D112">
        <v>56</v>
      </c>
      <c r="F112" t="s">
        <v>378</v>
      </c>
      <c r="G112" t="s">
        <v>379</v>
      </c>
      <c r="J112" t="str">
        <f t="shared" si="1"/>
        <v>(NULL,"92","56"),</v>
      </c>
      <c r="K112" t="str">
        <f>TextJoin(tblClassSubjs[[#This Row],[ClassID]:[SubjectID]],"Value")</f>
        <v>"92","56"</v>
      </c>
    </row>
    <row r="113" spans="2:11" x14ac:dyDescent="0.25">
      <c r="B113">
        <v>111</v>
      </c>
      <c r="C113">
        <v>93</v>
      </c>
      <c r="D113">
        <v>57</v>
      </c>
      <c r="F113" t="s">
        <v>380</v>
      </c>
      <c r="G113" t="s">
        <v>381</v>
      </c>
      <c r="J113" t="str">
        <f t="shared" si="1"/>
        <v>(NULL,"93","57"),</v>
      </c>
      <c r="K113" t="str">
        <f>TextJoin(tblClassSubjs[[#This Row],[ClassID]:[SubjectID]],"Value")</f>
        <v>"93","57"</v>
      </c>
    </row>
    <row r="114" spans="2:11" x14ac:dyDescent="0.25">
      <c r="B114">
        <v>112</v>
      </c>
      <c r="C114">
        <v>94</v>
      </c>
      <c r="D114">
        <v>58</v>
      </c>
      <c r="F114" t="s">
        <v>382</v>
      </c>
      <c r="G114" t="s">
        <v>383</v>
      </c>
      <c r="J114" t="str">
        <f t="shared" si="1"/>
        <v>(NULL,"94","58"),</v>
      </c>
      <c r="K114" t="str">
        <f>TextJoin(tblClassSubjs[[#This Row],[ClassID]:[SubjectID]],"Value")</f>
        <v>"94","58"</v>
      </c>
    </row>
    <row r="115" spans="2:11" x14ac:dyDescent="0.25">
      <c r="B115">
        <v>113</v>
      </c>
      <c r="C115">
        <v>95</v>
      </c>
      <c r="D115">
        <v>136</v>
      </c>
      <c r="F115" t="s">
        <v>498</v>
      </c>
      <c r="G115" t="s">
        <v>499</v>
      </c>
      <c r="J115" t="str">
        <f t="shared" si="1"/>
        <v>(NULL,"95","136"),</v>
      </c>
      <c r="K115" t="str">
        <f>TextJoin(tblClassSubjs[[#This Row],[ClassID]:[SubjectID]],"Value")</f>
        <v>"95","136"</v>
      </c>
    </row>
    <row r="116" spans="2:11" x14ac:dyDescent="0.25">
      <c r="B116">
        <v>114</v>
      </c>
      <c r="C116">
        <v>96</v>
      </c>
      <c r="D116">
        <v>137</v>
      </c>
      <c r="F116" t="s">
        <v>500</v>
      </c>
      <c r="G116" t="s">
        <v>501</v>
      </c>
      <c r="J116" t="str">
        <f t="shared" si="1"/>
        <v>(NULL,"96","137"),</v>
      </c>
      <c r="K116" t="str">
        <f>TextJoin(tblClassSubjs[[#This Row],[ClassID]:[SubjectID]],"Value")</f>
        <v>"96","137"</v>
      </c>
    </row>
    <row r="117" spans="2:11" x14ac:dyDescent="0.25">
      <c r="B117">
        <v>115</v>
      </c>
      <c r="C117">
        <v>97</v>
      </c>
      <c r="D117">
        <v>138</v>
      </c>
      <c r="F117" t="s">
        <v>502</v>
      </c>
      <c r="G117" t="s">
        <v>391</v>
      </c>
      <c r="J117" t="str">
        <f t="shared" si="1"/>
        <v>(NULL,"97","138"),</v>
      </c>
      <c r="K117" t="str">
        <f>TextJoin(tblClassSubjs[[#This Row],[ClassID]:[SubjectID]],"Value")</f>
        <v>"97","138"</v>
      </c>
    </row>
    <row r="118" spans="2:11" x14ac:dyDescent="0.25">
      <c r="B118">
        <v>116</v>
      </c>
      <c r="C118">
        <v>98</v>
      </c>
      <c r="D118">
        <v>139</v>
      </c>
      <c r="F118" t="s">
        <v>503</v>
      </c>
      <c r="G118" t="s">
        <v>504</v>
      </c>
      <c r="J118" t="str">
        <f t="shared" si="1"/>
        <v>(NULL,"98","139"),</v>
      </c>
      <c r="K118" t="str">
        <f>TextJoin(tblClassSubjs[[#This Row],[ClassID]:[SubjectID]],"Value")</f>
        <v>"98","139"</v>
      </c>
    </row>
    <row r="119" spans="2:11" x14ac:dyDescent="0.25">
      <c r="B119">
        <v>117</v>
      </c>
      <c r="C119">
        <v>99</v>
      </c>
      <c r="D119">
        <v>140</v>
      </c>
      <c r="F119" t="s">
        <v>505</v>
      </c>
      <c r="G119" t="s">
        <v>506</v>
      </c>
      <c r="J119" t="str">
        <f t="shared" si="1"/>
        <v>(NULL,"99","140"),</v>
      </c>
      <c r="K119" t="str">
        <f>TextJoin(tblClassSubjs[[#This Row],[ClassID]:[SubjectID]],"Value")</f>
        <v>"99","140"</v>
      </c>
    </row>
    <row r="120" spans="2:11" x14ac:dyDescent="0.25">
      <c r="B120">
        <v>118</v>
      </c>
      <c r="C120">
        <v>100</v>
      </c>
      <c r="D120">
        <v>132</v>
      </c>
      <c r="F120" t="s">
        <v>493</v>
      </c>
      <c r="G120" t="s">
        <v>415</v>
      </c>
      <c r="J120" t="str">
        <f t="shared" si="1"/>
        <v>(NULL,"100","132"),</v>
      </c>
      <c r="K120" t="str">
        <f>TextJoin(tblClassSubjs[[#This Row],[ClassID]:[SubjectID]],"Value")</f>
        <v>"100","132"</v>
      </c>
    </row>
    <row r="121" spans="2:11" x14ac:dyDescent="0.25">
      <c r="B121">
        <v>119</v>
      </c>
      <c r="C121">
        <v>101</v>
      </c>
      <c r="D121">
        <v>67</v>
      </c>
      <c r="F121" t="s">
        <v>400</v>
      </c>
      <c r="G121" t="s">
        <v>401</v>
      </c>
      <c r="J121" t="str">
        <f t="shared" si="1"/>
        <v>(NULL,"101","67"),</v>
      </c>
      <c r="K121" t="str">
        <f>TextJoin(tblClassSubjs[[#This Row],[ClassID]:[SubjectID]],"Value")</f>
        <v>"101","67"</v>
      </c>
    </row>
    <row r="122" spans="2:11" x14ac:dyDescent="0.25">
      <c r="B122">
        <v>120</v>
      </c>
      <c r="C122">
        <v>102</v>
      </c>
      <c r="D122">
        <v>68</v>
      </c>
      <c r="F122" t="s">
        <v>402</v>
      </c>
      <c r="G122" t="s">
        <v>403</v>
      </c>
      <c r="J122" t="str">
        <f t="shared" si="1"/>
        <v>(NULL,"102","68"),</v>
      </c>
      <c r="K122" t="str">
        <f>TextJoin(tblClassSubjs[[#This Row],[ClassID]:[SubjectID]],"Value")</f>
        <v>"102","68"</v>
      </c>
    </row>
    <row r="123" spans="2:11" x14ac:dyDescent="0.25">
      <c r="B123">
        <v>121</v>
      </c>
      <c r="C123">
        <v>103</v>
      </c>
      <c r="D123">
        <v>69</v>
      </c>
      <c r="F123" t="s">
        <v>404</v>
      </c>
      <c r="G123" t="s">
        <v>405</v>
      </c>
      <c r="J123" t="str">
        <f t="shared" si="1"/>
        <v>(NULL,"103","69"),</v>
      </c>
      <c r="K123" t="str">
        <f>TextJoin(tblClassSubjs[[#This Row],[ClassID]:[SubjectID]],"Value")</f>
        <v>"103","69"</v>
      </c>
    </row>
    <row r="124" spans="2:11" x14ac:dyDescent="0.25">
      <c r="B124">
        <v>122</v>
      </c>
      <c r="C124">
        <v>104</v>
      </c>
      <c r="D124">
        <v>70</v>
      </c>
      <c r="F124" t="s">
        <v>406</v>
      </c>
      <c r="G124" t="s">
        <v>407</v>
      </c>
      <c r="J124" t="str">
        <f t="shared" si="1"/>
        <v>(NULL,"104","70"),</v>
      </c>
      <c r="K124" t="str">
        <f>TextJoin(tblClassSubjs[[#This Row],[ClassID]:[SubjectID]],"Value")</f>
        <v>"104","70"</v>
      </c>
    </row>
    <row r="125" spans="2:11" x14ac:dyDescent="0.25">
      <c r="B125">
        <v>123</v>
      </c>
      <c r="C125">
        <v>105</v>
      </c>
      <c r="D125">
        <v>71</v>
      </c>
      <c r="F125" t="s">
        <v>408</v>
      </c>
      <c r="G125" t="s">
        <v>409</v>
      </c>
      <c r="J125" t="str">
        <f t="shared" si="1"/>
        <v>(NULL,"105","71"),</v>
      </c>
      <c r="K125" t="str">
        <f>TextJoin(tblClassSubjs[[#This Row],[ClassID]:[SubjectID]],"Value")</f>
        <v>"105","71"</v>
      </c>
    </row>
    <row r="126" spans="2:11" x14ac:dyDescent="0.25">
      <c r="B126">
        <v>124</v>
      </c>
      <c r="C126">
        <v>106</v>
      </c>
      <c r="D126">
        <v>72</v>
      </c>
      <c r="F126" t="s">
        <v>410</v>
      </c>
      <c r="G126" t="s">
        <v>411</v>
      </c>
      <c r="J126" t="str">
        <f t="shared" si="1"/>
        <v>(NULL,"106","72"),</v>
      </c>
      <c r="K126" t="str">
        <f>TextJoin(tblClassSubjs[[#This Row],[ClassID]:[SubjectID]],"Value")</f>
        <v>"106","72"</v>
      </c>
    </row>
    <row r="127" spans="2:11" x14ac:dyDescent="0.25">
      <c r="B127">
        <v>125</v>
      </c>
      <c r="C127">
        <v>107</v>
      </c>
      <c r="D127">
        <v>73</v>
      </c>
      <c r="F127" t="s">
        <v>412</v>
      </c>
      <c r="G127" t="s">
        <v>413</v>
      </c>
      <c r="J127" t="str">
        <f t="shared" si="1"/>
        <v>(NULL,"107","73"),</v>
      </c>
      <c r="K127" t="str">
        <f>TextJoin(tblClassSubjs[[#This Row],[ClassID]:[SubjectID]],"Value")</f>
        <v>"107","73"</v>
      </c>
    </row>
    <row r="128" spans="2:11" x14ac:dyDescent="0.25">
      <c r="B128">
        <v>126</v>
      </c>
      <c r="C128">
        <v>108</v>
      </c>
      <c r="D128">
        <v>141</v>
      </c>
      <c r="F128" s="29" t="s">
        <v>507</v>
      </c>
      <c r="G128" s="29" t="s">
        <v>508</v>
      </c>
      <c r="H128" s="29">
        <v>2</v>
      </c>
      <c r="J128" t="str">
        <f t="shared" si="1"/>
        <v>(NULL,"108","141"),</v>
      </c>
      <c r="K128" t="str">
        <f>TextJoin(tblClassSubjs[[#This Row],[ClassID]:[SubjectID]],"Value")</f>
        <v>"108","141"</v>
      </c>
    </row>
    <row r="129" spans="2:11" x14ac:dyDescent="0.25">
      <c r="B129">
        <v>127</v>
      </c>
      <c r="C129">
        <v>109</v>
      </c>
      <c r="D129">
        <v>10</v>
      </c>
      <c r="F129" t="s">
        <v>287</v>
      </c>
      <c r="G129" t="s">
        <v>288</v>
      </c>
      <c r="H129">
        <v>3</v>
      </c>
      <c r="J129" t="str">
        <f t="shared" si="1"/>
        <v>(NULL,"109","10"),</v>
      </c>
      <c r="K129" t="str">
        <f>TextJoin(tblClassSubjs[[#This Row],[ClassID]:[SubjectID]],"Value")</f>
        <v>"109","10"</v>
      </c>
    </row>
    <row r="130" spans="2:11" x14ac:dyDescent="0.25">
      <c r="B130">
        <v>128</v>
      </c>
      <c r="C130">
        <v>110</v>
      </c>
      <c r="D130">
        <v>11</v>
      </c>
      <c r="F130" t="s">
        <v>289</v>
      </c>
      <c r="G130" t="s">
        <v>290</v>
      </c>
      <c r="J130" t="str">
        <f t="shared" si="1"/>
        <v>(NULL,"110","11"),</v>
      </c>
      <c r="K130" t="str">
        <f>TextJoin(tblClassSubjs[[#This Row],[ClassID]:[SubjectID]],"Value")</f>
        <v>"110","11"</v>
      </c>
    </row>
    <row r="131" spans="2:11" x14ac:dyDescent="0.25">
      <c r="B131">
        <v>129</v>
      </c>
      <c r="C131">
        <v>111</v>
      </c>
      <c r="D131">
        <v>12</v>
      </c>
      <c r="F131" t="s">
        <v>291</v>
      </c>
      <c r="G131" t="s">
        <v>292</v>
      </c>
      <c r="J131" t="str">
        <f t="shared" si="1"/>
        <v>(NULL,"111","12"),</v>
      </c>
      <c r="K131" t="str">
        <f>TextJoin(tblClassSubjs[[#This Row],[ClassID]:[SubjectID]],"Value")</f>
        <v>"111","12"</v>
      </c>
    </row>
    <row r="132" spans="2:11" x14ac:dyDescent="0.25">
      <c r="B132">
        <v>130</v>
      </c>
      <c r="C132">
        <v>112</v>
      </c>
      <c r="D132">
        <v>13</v>
      </c>
      <c r="F132" t="s">
        <v>293</v>
      </c>
      <c r="G132" t="s">
        <v>294</v>
      </c>
      <c r="J132" t="str">
        <f t="shared" ref="J132:J195" si="2">"(NULL,"&amp;K132&amp;")"&amp;IF(J133&lt;&gt;"",",",";")</f>
        <v>(NULL,"112","13"),</v>
      </c>
      <c r="K132" t="str">
        <f>TextJoin(tblClassSubjs[[#This Row],[ClassID]:[SubjectID]],"Value")</f>
        <v>"112","13"</v>
      </c>
    </row>
    <row r="133" spans="2:11" x14ac:dyDescent="0.25">
      <c r="B133">
        <v>131</v>
      </c>
      <c r="C133">
        <v>113</v>
      </c>
      <c r="D133">
        <v>14</v>
      </c>
      <c r="F133" t="s">
        <v>295</v>
      </c>
      <c r="G133" t="s">
        <v>296</v>
      </c>
      <c r="J133" t="str">
        <f t="shared" si="2"/>
        <v>(NULL,"113","14"),</v>
      </c>
      <c r="K133" t="str">
        <f>TextJoin(tblClassSubjs[[#This Row],[ClassID]:[SubjectID]],"Value")</f>
        <v>"113","14"</v>
      </c>
    </row>
    <row r="134" spans="2:11" x14ac:dyDescent="0.25">
      <c r="B134">
        <v>132</v>
      </c>
      <c r="C134">
        <v>114</v>
      </c>
      <c r="D134">
        <v>15</v>
      </c>
      <c r="F134" t="s">
        <v>297</v>
      </c>
      <c r="G134" t="s">
        <v>298</v>
      </c>
      <c r="J134" t="str">
        <f t="shared" si="2"/>
        <v>(NULL,"114","15"),</v>
      </c>
      <c r="K134" t="str">
        <f>TextJoin(tblClassSubjs[[#This Row],[ClassID]:[SubjectID]],"Value")</f>
        <v>"114","15"</v>
      </c>
    </row>
    <row r="135" spans="2:11" x14ac:dyDescent="0.25">
      <c r="B135">
        <v>133</v>
      </c>
      <c r="C135">
        <v>115</v>
      </c>
      <c r="D135">
        <v>16</v>
      </c>
      <c r="F135" t="s">
        <v>447</v>
      </c>
      <c r="G135" t="s">
        <v>299</v>
      </c>
      <c r="J135" t="str">
        <f t="shared" si="2"/>
        <v>(NULL,"115","16"),</v>
      </c>
      <c r="K135" t="str">
        <f>TextJoin(tblClassSubjs[[#This Row],[ClassID]:[SubjectID]],"Value")</f>
        <v>"115","16"</v>
      </c>
    </row>
    <row r="136" spans="2:11" x14ac:dyDescent="0.25">
      <c r="B136">
        <v>134</v>
      </c>
      <c r="C136">
        <v>116</v>
      </c>
      <c r="D136">
        <v>17</v>
      </c>
      <c r="F136" t="s">
        <v>300</v>
      </c>
      <c r="G136" t="s">
        <v>301</v>
      </c>
      <c r="J136" t="str">
        <f t="shared" si="2"/>
        <v>(NULL,"116","17"),</v>
      </c>
      <c r="K136" t="str">
        <f>TextJoin(tblClassSubjs[[#This Row],[ClassID]:[SubjectID]],"Value")</f>
        <v>"116","17"</v>
      </c>
    </row>
    <row r="137" spans="2:11" x14ac:dyDescent="0.25">
      <c r="B137">
        <v>135</v>
      </c>
      <c r="C137">
        <v>117</v>
      </c>
      <c r="D137">
        <v>18</v>
      </c>
      <c r="F137" t="s">
        <v>302</v>
      </c>
      <c r="G137" t="s">
        <v>303</v>
      </c>
      <c r="J137" t="str">
        <f t="shared" si="2"/>
        <v>(NULL,"117","18"),</v>
      </c>
      <c r="K137" t="str">
        <f>TextJoin(tblClassSubjs[[#This Row],[ClassID]:[SubjectID]],"Value")</f>
        <v>"117","18"</v>
      </c>
    </row>
    <row r="138" spans="2:11" x14ac:dyDescent="0.25">
      <c r="B138">
        <v>136</v>
      </c>
      <c r="C138">
        <v>118</v>
      </c>
      <c r="D138">
        <v>19</v>
      </c>
      <c r="F138" t="s">
        <v>304</v>
      </c>
      <c r="G138" t="s">
        <v>305</v>
      </c>
      <c r="J138" t="str">
        <f t="shared" si="2"/>
        <v>(NULL,"118","19"),</v>
      </c>
      <c r="K138" t="str">
        <f>TextJoin(tblClassSubjs[[#This Row],[ClassID]:[SubjectID]],"Value")</f>
        <v>"118","19"</v>
      </c>
    </row>
    <row r="139" spans="2:11" x14ac:dyDescent="0.25">
      <c r="B139">
        <v>137</v>
      </c>
      <c r="C139">
        <v>119</v>
      </c>
      <c r="D139">
        <v>92</v>
      </c>
      <c r="F139" t="s">
        <v>291</v>
      </c>
      <c r="G139" t="s">
        <v>439</v>
      </c>
      <c r="J139" t="str">
        <f t="shared" si="2"/>
        <v>(NULL,"119","92"),</v>
      </c>
      <c r="K139" t="str">
        <f>TextJoin(tblClassSubjs[[#This Row],[ClassID]:[SubjectID]],"Value")</f>
        <v>"119","92"</v>
      </c>
    </row>
    <row r="140" spans="2:11" x14ac:dyDescent="0.25">
      <c r="B140">
        <v>138</v>
      </c>
      <c r="C140">
        <v>120</v>
      </c>
      <c r="D140">
        <v>93</v>
      </c>
      <c r="F140" t="s">
        <v>273</v>
      </c>
      <c r="G140" t="s">
        <v>440</v>
      </c>
      <c r="J140" t="str">
        <f t="shared" si="2"/>
        <v>(NULL,"120","93"),</v>
      </c>
      <c r="K140" t="str">
        <f>TextJoin(tblClassSubjs[[#This Row],[ClassID]:[SubjectID]],"Value")</f>
        <v>"120","93"</v>
      </c>
    </row>
    <row r="141" spans="2:11" x14ac:dyDescent="0.25">
      <c r="B141">
        <v>139</v>
      </c>
      <c r="C141">
        <v>121</v>
      </c>
      <c r="D141">
        <v>94</v>
      </c>
      <c r="F141" t="s">
        <v>441</v>
      </c>
      <c r="G141" t="s">
        <v>442</v>
      </c>
      <c r="J141" t="str">
        <f t="shared" si="2"/>
        <v>(NULL,"121","94"),</v>
      </c>
      <c r="K141" t="str">
        <f>TextJoin(tblClassSubjs[[#This Row],[ClassID]:[SubjectID]],"Value")</f>
        <v>"121","94"</v>
      </c>
    </row>
    <row r="142" spans="2:11" x14ac:dyDescent="0.25">
      <c r="B142">
        <v>140</v>
      </c>
      <c r="C142">
        <v>122</v>
      </c>
      <c r="D142">
        <v>95</v>
      </c>
      <c r="F142" t="s">
        <v>443</v>
      </c>
      <c r="G142" t="s">
        <v>444</v>
      </c>
      <c r="J142" t="str">
        <f t="shared" si="2"/>
        <v>(NULL,"122","95"),</v>
      </c>
      <c r="K142" t="str">
        <f>TextJoin(tblClassSubjs[[#This Row],[ClassID]:[SubjectID]],"Value")</f>
        <v>"122","95"</v>
      </c>
    </row>
    <row r="143" spans="2:11" x14ac:dyDescent="0.25">
      <c r="B143">
        <v>141</v>
      </c>
      <c r="C143">
        <v>123</v>
      </c>
      <c r="D143">
        <v>96</v>
      </c>
      <c r="F143" t="s">
        <v>445</v>
      </c>
      <c r="G143" t="s">
        <v>446</v>
      </c>
      <c r="J143" t="str">
        <f t="shared" si="2"/>
        <v>(NULL,"123","96"),</v>
      </c>
      <c r="K143" t="str">
        <f>TextJoin(tblClassSubjs[[#This Row],[ClassID]:[SubjectID]],"Value")</f>
        <v>"123","96"</v>
      </c>
    </row>
    <row r="144" spans="2:11" x14ac:dyDescent="0.25">
      <c r="B144">
        <v>142</v>
      </c>
      <c r="C144">
        <v>124</v>
      </c>
      <c r="D144">
        <v>98</v>
      </c>
      <c r="F144" t="s">
        <v>304</v>
      </c>
      <c r="G144" t="s">
        <v>305</v>
      </c>
      <c r="J144" t="str">
        <f t="shared" si="2"/>
        <v>(NULL,"124","98"),</v>
      </c>
      <c r="K144" t="str">
        <f>TextJoin(tblClassSubjs[[#This Row],[ClassID]:[SubjectID]],"Value")</f>
        <v>"124","98"</v>
      </c>
    </row>
    <row r="145" spans="2:11" x14ac:dyDescent="0.25">
      <c r="B145">
        <v>143</v>
      </c>
      <c r="C145">
        <v>125</v>
      </c>
      <c r="D145">
        <v>99</v>
      </c>
      <c r="F145" t="s">
        <v>448</v>
      </c>
      <c r="G145" t="s">
        <v>311</v>
      </c>
      <c r="J145" t="str">
        <f t="shared" si="2"/>
        <v>(NULL,"125","99"),</v>
      </c>
      <c r="K145" t="str">
        <f>TextJoin(tblClassSubjs[[#This Row],[ClassID]:[SubjectID]],"Value")</f>
        <v>"125","99"</v>
      </c>
    </row>
    <row r="146" spans="2:11" x14ac:dyDescent="0.25">
      <c r="B146">
        <v>144</v>
      </c>
      <c r="C146">
        <v>126</v>
      </c>
      <c r="D146">
        <v>28</v>
      </c>
      <c r="F146" t="s">
        <v>322</v>
      </c>
      <c r="G146" t="s">
        <v>323</v>
      </c>
      <c r="J146" t="str">
        <f t="shared" si="2"/>
        <v>(NULL,"126","28"),</v>
      </c>
      <c r="K146" t="str">
        <f>TextJoin(tblClassSubjs[[#This Row],[ClassID]:[SubjectID]],"Value")</f>
        <v>"126","28"</v>
      </c>
    </row>
    <row r="147" spans="2:11" x14ac:dyDescent="0.25">
      <c r="B147">
        <v>145</v>
      </c>
      <c r="C147">
        <v>127</v>
      </c>
      <c r="D147">
        <v>29</v>
      </c>
      <c r="F147" t="s">
        <v>324</v>
      </c>
      <c r="G147" t="s">
        <v>325</v>
      </c>
      <c r="J147" t="str">
        <f t="shared" si="2"/>
        <v>(NULL,"127","29"),</v>
      </c>
      <c r="K147" t="str">
        <f>TextJoin(tblClassSubjs[[#This Row],[ClassID]:[SubjectID]],"Value")</f>
        <v>"127","29"</v>
      </c>
    </row>
    <row r="148" spans="2:11" x14ac:dyDescent="0.25">
      <c r="B148">
        <v>146</v>
      </c>
      <c r="C148">
        <v>128</v>
      </c>
      <c r="D148">
        <v>30</v>
      </c>
      <c r="F148" t="s">
        <v>326</v>
      </c>
      <c r="G148" t="s">
        <v>327</v>
      </c>
      <c r="J148" t="str">
        <f t="shared" si="2"/>
        <v>(NULL,"128","30"),</v>
      </c>
      <c r="K148" t="str">
        <f>TextJoin(tblClassSubjs[[#This Row],[ClassID]:[SubjectID]],"Value")</f>
        <v>"128","30"</v>
      </c>
    </row>
    <row r="149" spans="2:11" x14ac:dyDescent="0.25">
      <c r="B149">
        <v>147</v>
      </c>
      <c r="C149">
        <v>129</v>
      </c>
      <c r="D149">
        <v>31</v>
      </c>
      <c r="F149" t="s">
        <v>328</v>
      </c>
      <c r="G149" t="s">
        <v>329</v>
      </c>
      <c r="J149" t="str">
        <f t="shared" si="2"/>
        <v>(NULL,"129","31"),</v>
      </c>
      <c r="K149" t="str">
        <f>TextJoin(tblClassSubjs[[#This Row],[ClassID]:[SubjectID]],"Value")</f>
        <v>"129","31"</v>
      </c>
    </row>
    <row r="150" spans="2:11" x14ac:dyDescent="0.25">
      <c r="B150">
        <v>148</v>
      </c>
      <c r="C150">
        <v>130</v>
      </c>
      <c r="D150">
        <v>32</v>
      </c>
      <c r="F150" t="s">
        <v>330</v>
      </c>
      <c r="G150" t="s">
        <v>331</v>
      </c>
      <c r="J150" t="str">
        <f t="shared" si="2"/>
        <v>(NULL,"130","32"),</v>
      </c>
      <c r="K150" t="str">
        <f>TextJoin(tblClassSubjs[[#This Row],[ClassID]:[SubjectID]],"Value")</f>
        <v>"130","32"</v>
      </c>
    </row>
    <row r="151" spans="2:11" x14ac:dyDescent="0.25">
      <c r="B151">
        <v>149</v>
      </c>
      <c r="C151">
        <v>131</v>
      </c>
      <c r="D151">
        <v>33</v>
      </c>
      <c r="F151" t="s">
        <v>332</v>
      </c>
      <c r="G151" t="s">
        <v>333</v>
      </c>
      <c r="J151" t="str">
        <f t="shared" si="2"/>
        <v>(NULL,"131","33"),</v>
      </c>
      <c r="K151" t="str">
        <f>TextJoin(tblClassSubjs[[#This Row],[ClassID]:[SubjectID]],"Value")</f>
        <v>"131","33"</v>
      </c>
    </row>
    <row r="152" spans="2:11" x14ac:dyDescent="0.25">
      <c r="B152">
        <v>150</v>
      </c>
      <c r="C152">
        <v>132</v>
      </c>
      <c r="D152">
        <v>34</v>
      </c>
      <c r="F152" t="s">
        <v>334</v>
      </c>
      <c r="G152" t="s">
        <v>335</v>
      </c>
      <c r="J152" t="str">
        <f t="shared" si="2"/>
        <v>(NULL,"132","34"),</v>
      </c>
      <c r="K152" t="str">
        <f>TextJoin(tblClassSubjs[[#This Row],[ClassID]:[SubjectID]],"Value")</f>
        <v>"132","34"</v>
      </c>
    </row>
    <row r="153" spans="2:11" x14ac:dyDescent="0.25">
      <c r="B153">
        <v>151</v>
      </c>
      <c r="C153">
        <v>133</v>
      </c>
      <c r="D153">
        <v>111</v>
      </c>
      <c r="F153" t="s">
        <v>460</v>
      </c>
      <c r="G153" t="s">
        <v>461</v>
      </c>
      <c r="J153" t="str">
        <f t="shared" si="2"/>
        <v>(NULL,"133","111"),</v>
      </c>
      <c r="K153" t="str">
        <f>TextJoin(tblClassSubjs[[#This Row],[ClassID]:[SubjectID]],"Value")</f>
        <v>"133","111"</v>
      </c>
    </row>
    <row r="154" spans="2:11" x14ac:dyDescent="0.25">
      <c r="B154">
        <v>152</v>
      </c>
      <c r="C154">
        <v>134</v>
      </c>
      <c r="D154">
        <v>112</v>
      </c>
      <c r="F154" t="s">
        <v>462</v>
      </c>
      <c r="G154" t="s">
        <v>401</v>
      </c>
      <c r="J154" t="str">
        <f t="shared" si="2"/>
        <v>(NULL,"134","112"),</v>
      </c>
      <c r="K154" t="str">
        <f>TextJoin(tblClassSubjs[[#This Row],[ClassID]:[SubjectID]],"Value")</f>
        <v>"134","112"</v>
      </c>
    </row>
    <row r="155" spans="2:11" x14ac:dyDescent="0.25">
      <c r="B155">
        <v>153</v>
      </c>
      <c r="C155">
        <v>135</v>
      </c>
      <c r="D155">
        <v>113</v>
      </c>
      <c r="F155" t="s">
        <v>463</v>
      </c>
      <c r="G155" t="s">
        <v>464</v>
      </c>
      <c r="J155" t="str">
        <f t="shared" si="2"/>
        <v>(NULL,"135","113"),</v>
      </c>
      <c r="K155" t="str">
        <f>TextJoin(tblClassSubjs[[#This Row],[ClassID]:[SubjectID]],"Value")</f>
        <v>"135","113"</v>
      </c>
    </row>
    <row r="156" spans="2:11" x14ac:dyDescent="0.25">
      <c r="B156">
        <v>154</v>
      </c>
      <c r="C156">
        <v>136</v>
      </c>
      <c r="D156">
        <v>114</v>
      </c>
      <c r="F156" t="s">
        <v>465</v>
      </c>
      <c r="G156" t="s">
        <v>466</v>
      </c>
      <c r="J156" t="str">
        <f t="shared" si="2"/>
        <v>(NULL,"136","114"),</v>
      </c>
      <c r="K156" t="str">
        <f>TextJoin(tblClassSubjs[[#This Row],[ClassID]:[SubjectID]],"Value")</f>
        <v>"136","114"</v>
      </c>
    </row>
    <row r="157" spans="2:11" x14ac:dyDescent="0.25">
      <c r="B157">
        <v>155</v>
      </c>
      <c r="C157">
        <v>137</v>
      </c>
      <c r="D157">
        <v>115</v>
      </c>
      <c r="F157" t="s">
        <v>467</v>
      </c>
      <c r="G157" t="s">
        <v>468</v>
      </c>
      <c r="J157" t="str">
        <f t="shared" si="2"/>
        <v>(NULL,"137","115"),</v>
      </c>
      <c r="K157" t="str">
        <f>TextJoin(tblClassSubjs[[#This Row],[ClassID]:[SubjectID]],"Value")</f>
        <v>"137","115"</v>
      </c>
    </row>
    <row r="158" spans="2:11" x14ac:dyDescent="0.25">
      <c r="B158">
        <v>156</v>
      </c>
      <c r="C158">
        <v>138</v>
      </c>
      <c r="D158">
        <v>118</v>
      </c>
      <c r="F158" t="s">
        <v>472</v>
      </c>
      <c r="G158" t="s">
        <v>473</v>
      </c>
      <c r="J158" t="str">
        <f t="shared" si="2"/>
        <v>(NULL,"138","118"),</v>
      </c>
      <c r="K158" t="str">
        <f>TextJoin(tblClassSubjs[[#This Row],[ClassID]:[SubjectID]],"Value")</f>
        <v>"138","118"</v>
      </c>
    </row>
    <row r="159" spans="2:11" x14ac:dyDescent="0.25">
      <c r="B159">
        <v>157</v>
      </c>
      <c r="C159">
        <v>139</v>
      </c>
      <c r="D159">
        <v>43</v>
      </c>
      <c r="F159" t="s">
        <v>352</v>
      </c>
      <c r="G159" t="s">
        <v>353</v>
      </c>
      <c r="J159" t="str">
        <f t="shared" si="2"/>
        <v>(NULL,"139","43"),</v>
      </c>
      <c r="K159" t="str">
        <f>TextJoin(tblClassSubjs[[#This Row],[ClassID]:[SubjectID]],"Value")</f>
        <v>"139","43"</v>
      </c>
    </row>
    <row r="160" spans="2:11" x14ac:dyDescent="0.25">
      <c r="B160">
        <v>158</v>
      </c>
      <c r="C160">
        <v>140</v>
      </c>
      <c r="D160">
        <v>44</v>
      </c>
      <c r="F160" t="s">
        <v>354</v>
      </c>
      <c r="G160" t="s">
        <v>355</v>
      </c>
      <c r="J160" t="str">
        <f t="shared" si="2"/>
        <v>(NULL,"140","44"),</v>
      </c>
      <c r="K160" t="str">
        <f>TextJoin(tblClassSubjs[[#This Row],[ClassID]:[SubjectID]],"Value")</f>
        <v>"140","44"</v>
      </c>
    </row>
    <row r="161" spans="2:11" x14ac:dyDescent="0.25">
      <c r="B161">
        <v>159</v>
      </c>
      <c r="C161">
        <v>141</v>
      </c>
      <c r="D161">
        <v>45</v>
      </c>
      <c r="F161" t="s">
        <v>356</v>
      </c>
      <c r="G161" t="s">
        <v>357</v>
      </c>
      <c r="J161" t="str">
        <f t="shared" si="2"/>
        <v>(NULL,"141","45"),</v>
      </c>
      <c r="K161" t="str">
        <f>TextJoin(tblClassSubjs[[#This Row],[ClassID]:[SubjectID]],"Value")</f>
        <v>"141","45"</v>
      </c>
    </row>
    <row r="162" spans="2:11" x14ac:dyDescent="0.25">
      <c r="B162">
        <v>160</v>
      </c>
      <c r="C162">
        <v>142</v>
      </c>
      <c r="D162">
        <v>46</v>
      </c>
      <c r="F162" t="s">
        <v>358</v>
      </c>
      <c r="G162" t="s">
        <v>359</v>
      </c>
      <c r="J162" t="str">
        <f t="shared" si="2"/>
        <v>(NULL,"142","46"),</v>
      </c>
      <c r="K162" t="str">
        <f>TextJoin(tblClassSubjs[[#This Row],[ClassID]:[SubjectID]],"Value")</f>
        <v>"142","46"</v>
      </c>
    </row>
    <row r="163" spans="2:11" x14ac:dyDescent="0.25">
      <c r="B163">
        <v>161</v>
      </c>
      <c r="C163">
        <v>143</v>
      </c>
      <c r="D163">
        <v>47</v>
      </c>
      <c r="F163" t="s">
        <v>360</v>
      </c>
      <c r="G163" t="s">
        <v>361</v>
      </c>
      <c r="J163" t="str">
        <f t="shared" si="2"/>
        <v>(NULL,"143","47"),</v>
      </c>
      <c r="K163" t="str">
        <f>TextJoin(tblClassSubjs[[#This Row],[ClassID]:[SubjectID]],"Value")</f>
        <v>"143","47"</v>
      </c>
    </row>
    <row r="164" spans="2:11" x14ac:dyDescent="0.25">
      <c r="B164">
        <v>162</v>
      </c>
      <c r="C164">
        <v>144</v>
      </c>
      <c r="D164">
        <v>48</v>
      </c>
      <c r="F164" t="s">
        <v>362</v>
      </c>
      <c r="G164" t="s">
        <v>363</v>
      </c>
      <c r="J164" t="str">
        <f t="shared" si="2"/>
        <v>(NULL,"144","48"),</v>
      </c>
      <c r="K164" t="str">
        <f>TextJoin(tblClassSubjs[[#This Row],[ClassID]:[SubjectID]],"Value")</f>
        <v>"144","48"</v>
      </c>
    </row>
    <row r="165" spans="2:11" x14ac:dyDescent="0.25">
      <c r="B165">
        <v>163</v>
      </c>
      <c r="C165">
        <v>145</v>
      </c>
      <c r="D165">
        <v>49</v>
      </c>
      <c r="F165" t="s">
        <v>364</v>
      </c>
      <c r="G165" t="s">
        <v>365</v>
      </c>
      <c r="J165" t="str">
        <f t="shared" si="2"/>
        <v>(NULL,"145","49"),</v>
      </c>
      <c r="K165" t="str">
        <f>TextJoin(tblClassSubjs[[#This Row],[ClassID]:[SubjectID]],"Value")</f>
        <v>"145","49"</v>
      </c>
    </row>
    <row r="166" spans="2:11" x14ac:dyDescent="0.25">
      <c r="B166">
        <v>164</v>
      </c>
      <c r="C166">
        <v>146</v>
      </c>
      <c r="D166">
        <v>50</v>
      </c>
      <c r="F166" t="s">
        <v>366</v>
      </c>
      <c r="G166" t="s">
        <v>367</v>
      </c>
      <c r="J166" t="str">
        <f t="shared" si="2"/>
        <v>(NULL,"146","50"),</v>
      </c>
      <c r="K166" t="str">
        <f>TextJoin(tblClassSubjs[[#This Row],[ClassID]:[SubjectID]],"Value")</f>
        <v>"146","50"</v>
      </c>
    </row>
    <row r="167" spans="2:11" x14ac:dyDescent="0.25">
      <c r="B167">
        <v>165</v>
      </c>
      <c r="C167">
        <v>147</v>
      </c>
      <c r="D167">
        <v>128</v>
      </c>
      <c r="F167" t="s">
        <v>486</v>
      </c>
      <c r="G167" t="s">
        <v>419</v>
      </c>
      <c r="J167" t="str">
        <f t="shared" si="2"/>
        <v>(NULL,"147","128"),</v>
      </c>
      <c r="K167" t="str">
        <f>TextJoin(tblClassSubjs[[#This Row],[ClassID]:[SubjectID]],"Value")</f>
        <v>"147","128"</v>
      </c>
    </row>
    <row r="168" spans="2:11" x14ac:dyDescent="0.25">
      <c r="B168">
        <v>166</v>
      </c>
      <c r="C168">
        <v>148</v>
      </c>
      <c r="D168">
        <v>129</v>
      </c>
      <c r="F168" t="s">
        <v>487</v>
      </c>
      <c r="G168" t="s">
        <v>488</v>
      </c>
      <c r="J168" t="str">
        <f t="shared" si="2"/>
        <v>(NULL,"148","129"),</v>
      </c>
      <c r="K168" t="str">
        <f>TextJoin(tblClassSubjs[[#This Row],[ClassID]:[SubjectID]],"Value")</f>
        <v>"148","129"</v>
      </c>
    </row>
    <row r="169" spans="2:11" x14ac:dyDescent="0.25">
      <c r="B169">
        <v>167</v>
      </c>
      <c r="C169">
        <v>149</v>
      </c>
      <c r="D169">
        <v>130</v>
      </c>
      <c r="F169" t="s">
        <v>489</v>
      </c>
      <c r="G169" t="s">
        <v>490</v>
      </c>
      <c r="J169" t="str">
        <f t="shared" si="2"/>
        <v>(NULL,"149","130"),</v>
      </c>
      <c r="K169" t="str">
        <f>TextJoin(tblClassSubjs[[#This Row],[ClassID]:[SubjectID]],"Value")</f>
        <v>"149","130"</v>
      </c>
    </row>
    <row r="170" spans="2:11" x14ac:dyDescent="0.25">
      <c r="B170">
        <v>168</v>
      </c>
      <c r="C170">
        <v>150</v>
      </c>
      <c r="D170">
        <v>131</v>
      </c>
      <c r="F170" t="s">
        <v>491</v>
      </c>
      <c r="G170" t="s">
        <v>492</v>
      </c>
      <c r="J170" t="str">
        <f t="shared" si="2"/>
        <v>(NULL,"150","131"),</v>
      </c>
      <c r="K170" t="str">
        <f>TextJoin(tblClassSubjs[[#This Row],[ClassID]:[SubjectID]],"Value")</f>
        <v>"150","131"</v>
      </c>
    </row>
    <row r="171" spans="2:11" x14ac:dyDescent="0.25">
      <c r="B171">
        <v>169</v>
      </c>
      <c r="C171">
        <v>151</v>
      </c>
      <c r="D171">
        <v>132</v>
      </c>
      <c r="F171" t="s">
        <v>493</v>
      </c>
      <c r="G171" t="s">
        <v>415</v>
      </c>
      <c r="J171" t="str">
        <f t="shared" si="2"/>
        <v>(NULL,"151","132"),</v>
      </c>
      <c r="K171" t="str">
        <f>TextJoin(tblClassSubjs[[#This Row],[ClassID]:[SubjectID]],"Value")</f>
        <v>"151","132"</v>
      </c>
    </row>
    <row r="172" spans="2:11" x14ac:dyDescent="0.25">
      <c r="B172">
        <v>170</v>
      </c>
      <c r="C172">
        <v>152</v>
      </c>
      <c r="D172">
        <v>133</v>
      </c>
      <c r="F172" t="s">
        <v>494</v>
      </c>
      <c r="G172" t="s">
        <v>385</v>
      </c>
      <c r="J172" t="str">
        <f t="shared" si="2"/>
        <v>(NULL,"152","133"),</v>
      </c>
      <c r="K172" t="str">
        <f>TextJoin(tblClassSubjs[[#This Row],[ClassID]:[SubjectID]],"Value")</f>
        <v>"152","133"</v>
      </c>
    </row>
    <row r="173" spans="2:11" x14ac:dyDescent="0.25">
      <c r="B173">
        <v>171</v>
      </c>
      <c r="C173">
        <v>153</v>
      </c>
      <c r="D173">
        <v>134</v>
      </c>
      <c r="F173" t="s">
        <v>495</v>
      </c>
      <c r="G173" t="s">
        <v>496</v>
      </c>
      <c r="J173" t="str">
        <f t="shared" si="2"/>
        <v>(NULL,"153","134"),</v>
      </c>
      <c r="K173" t="str">
        <f>TextJoin(tblClassSubjs[[#This Row],[ClassID]:[SubjectID]],"Value")</f>
        <v>"153","134"</v>
      </c>
    </row>
    <row r="174" spans="2:11" x14ac:dyDescent="0.25">
      <c r="B174">
        <v>172</v>
      </c>
      <c r="C174">
        <v>154</v>
      </c>
      <c r="D174">
        <v>59</v>
      </c>
      <c r="F174" t="s">
        <v>384</v>
      </c>
      <c r="G174" t="s">
        <v>385</v>
      </c>
      <c r="J174" t="str">
        <f t="shared" si="2"/>
        <v>(NULL,"154","59"),</v>
      </c>
      <c r="K174" t="str">
        <f>TextJoin(tblClassSubjs[[#This Row],[ClassID]:[SubjectID]],"Value")</f>
        <v>"154","59"</v>
      </c>
    </row>
    <row r="175" spans="2:11" x14ac:dyDescent="0.25">
      <c r="B175">
        <v>173</v>
      </c>
      <c r="C175">
        <v>155</v>
      </c>
      <c r="D175">
        <v>60</v>
      </c>
      <c r="F175" t="s">
        <v>386</v>
      </c>
      <c r="G175" t="s">
        <v>387</v>
      </c>
      <c r="J175" t="str">
        <f t="shared" si="2"/>
        <v>(NULL,"155","60"),</v>
      </c>
      <c r="K175" t="str">
        <f>TextJoin(tblClassSubjs[[#This Row],[ClassID]:[SubjectID]],"Value")</f>
        <v>"155","60"</v>
      </c>
    </row>
    <row r="176" spans="2:11" x14ac:dyDescent="0.25">
      <c r="B176">
        <v>174</v>
      </c>
      <c r="C176">
        <v>156</v>
      </c>
      <c r="D176">
        <v>61</v>
      </c>
      <c r="F176" t="s">
        <v>388</v>
      </c>
      <c r="G176" t="s">
        <v>389</v>
      </c>
      <c r="J176" t="str">
        <f t="shared" si="2"/>
        <v>(NULL,"156","61"),</v>
      </c>
      <c r="K176" t="str">
        <f>TextJoin(tblClassSubjs[[#This Row],[ClassID]:[SubjectID]],"Value")</f>
        <v>"156","61"</v>
      </c>
    </row>
    <row r="177" spans="2:11" x14ac:dyDescent="0.25">
      <c r="B177">
        <v>175</v>
      </c>
      <c r="C177">
        <v>157</v>
      </c>
      <c r="D177">
        <v>62</v>
      </c>
      <c r="F177" t="s">
        <v>390</v>
      </c>
      <c r="G177" t="s">
        <v>391</v>
      </c>
      <c r="J177" t="str">
        <f t="shared" si="2"/>
        <v>(NULL,"157","62"),</v>
      </c>
      <c r="K177" t="str">
        <f>TextJoin(tblClassSubjs[[#This Row],[ClassID]:[SubjectID]],"Value")</f>
        <v>"157","62"</v>
      </c>
    </row>
    <row r="178" spans="2:11" x14ac:dyDescent="0.25">
      <c r="B178">
        <v>176</v>
      </c>
      <c r="C178">
        <v>158</v>
      </c>
      <c r="D178">
        <v>63</v>
      </c>
      <c r="F178" t="s">
        <v>392</v>
      </c>
      <c r="G178" t="s">
        <v>393</v>
      </c>
      <c r="J178" t="str">
        <f t="shared" si="2"/>
        <v>(NULL,"158","63"),</v>
      </c>
      <c r="K178" t="str">
        <f>TextJoin(tblClassSubjs[[#This Row],[ClassID]:[SubjectID]],"Value")</f>
        <v>"158","63"</v>
      </c>
    </row>
    <row r="179" spans="2:11" x14ac:dyDescent="0.25">
      <c r="B179">
        <v>177</v>
      </c>
      <c r="C179">
        <v>159</v>
      </c>
      <c r="D179">
        <v>64</v>
      </c>
      <c r="F179" t="s">
        <v>394</v>
      </c>
      <c r="G179" t="s">
        <v>371</v>
      </c>
      <c r="J179" t="str">
        <f t="shared" si="2"/>
        <v>(NULL,"159","64"),</v>
      </c>
      <c r="K179" t="str">
        <f>TextJoin(tblClassSubjs[[#This Row],[ClassID]:[SubjectID]],"Value")</f>
        <v>"159","64"</v>
      </c>
    </row>
    <row r="180" spans="2:11" x14ac:dyDescent="0.25">
      <c r="B180">
        <v>178</v>
      </c>
      <c r="C180">
        <v>160</v>
      </c>
      <c r="D180">
        <v>65</v>
      </c>
      <c r="F180" t="s">
        <v>395</v>
      </c>
      <c r="G180" t="s">
        <v>396</v>
      </c>
      <c r="J180" t="str">
        <f t="shared" si="2"/>
        <v>(NULL,"160","65"),</v>
      </c>
      <c r="K180" t="str">
        <f>TextJoin(tblClassSubjs[[#This Row],[ClassID]:[SubjectID]],"Value")</f>
        <v>"160","65"</v>
      </c>
    </row>
    <row r="181" spans="2:11" x14ac:dyDescent="0.25">
      <c r="B181">
        <v>179</v>
      </c>
      <c r="C181">
        <v>161</v>
      </c>
      <c r="D181">
        <v>142</v>
      </c>
      <c r="F181" t="s">
        <v>509</v>
      </c>
      <c r="G181" t="s">
        <v>510</v>
      </c>
      <c r="J181" t="str">
        <f t="shared" si="2"/>
        <v>(NULL,"161","142"),</v>
      </c>
      <c r="K181" t="str">
        <f>TextJoin(tblClassSubjs[[#This Row],[ClassID]:[SubjectID]],"Value")</f>
        <v>"161","142"</v>
      </c>
    </row>
    <row r="182" spans="2:11" x14ac:dyDescent="0.25">
      <c r="B182">
        <v>180</v>
      </c>
      <c r="C182">
        <v>162</v>
      </c>
      <c r="D182">
        <v>143</v>
      </c>
      <c r="F182" t="s">
        <v>511</v>
      </c>
      <c r="G182" t="s">
        <v>512</v>
      </c>
      <c r="J182" t="str">
        <f t="shared" si="2"/>
        <v>(NULL,"162","143"),</v>
      </c>
      <c r="K182" t="str">
        <f>TextJoin(tblClassSubjs[[#This Row],[ClassID]:[SubjectID]],"Value")</f>
        <v>"162","143"</v>
      </c>
    </row>
    <row r="183" spans="2:11" x14ac:dyDescent="0.25">
      <c r="B183">
        <v>181</v>
      </c>
      <c r="C183">
        <v>163</v>
      </c>
      <c r="D183">
        <v>144</v>
      </c>
      <c r="F183" t="s">
        <v>513</v>
      </c>
      <c r="G183" t="s">
        <v>514</v>
      </c>
      <c r="J183" t="str">
        <f t="shared" si="2"/>
        <v>(NULL,"163","144"),</v>
      </c>
      <c r="K183" t="str">
        <f>TextJoin(tblClassSubjs[[#This Row],[ClassID]:[SubjectID]],"Value")</f>
        <v>"163","144"</v>
      </c>
    </row>
    <row r="184" spans="2:11" x14ac:dyDescent="0.25">
      <c r="B184">
        <v>182</v>
      </c>
      <c r="C184">
        <v>164</v>
      </c>
      <c r="D184">
        <v>145</v>
      </c>
      <c r="F184" t="s">
        <v>515</v>
      </c>
      <c r="G184" t="s">
        <v>508</v>
      </c>
      <c r="J184" t="str">
        <f t="shared" si="2"/>
        <v>(NULL,"164","145"),</v>
      </c>
      <c r="K184" t="str">
        <f>TextJoin(tblClassSubjs[[#This Row],[ClassID]:[SubjectID]],"Value")</f>
        <v>"164","145"</v>
      </c>
    </row>
    <row r="185" spans="2:11" x14ac:dyDescent="0.25">
      <c r="B185">
        <v>183</v>
      </c>
      <c r="C185">
        <v>165</v>
      </c>
      <c r="D185">
        <v>146</v>
      </c>
      <c r="F185" t="s">
        <v>516</v>
      </c>
      <c r="G185" t="s">
        <v>427</v>
      </c>
      <c r="J185" t="str">
        <f t="shared" si="2"/>
        <v>(NULL,"165","146"),</v>
      </c>
      <c r="K185" t="str">
        <f>TextJoin(tblClassSubjs[[#This Row],[ClassID]:[SubjectID]],"Value")</f>
        <v>"165","146"</v>
      </c>
    </row>
    <row r="186" spans="2:11" x14ac:dyDescent="0.25">
      <c r="B186">
        <v>184</v>
      </c>
      <c r="C186">
        <v>166</v>
      </c>
      <c r="D186">
        <v>75</v>
      </c>
      <c r="F186" t="s">
        <v>416</v>
      </c>
      <c r="G186" t="s">
        <v>417</v>
      </c>
      <c r="J186" t="str">
        <f t="shared" si="2"/>
        <v>(NULL,"166","75"),</v>
      </c>
      <c r="K186" t="str">
        <f>TextJoin(tblClassSubjs[[#This Row],[ClassID]:[SubjectID]],"Value")</f>
        <v>"166","75"</v>
      </c>
    </row>
    <row r="187" spans="2:11" x14ac:dyDescent="0.25">
      <c r="B187">
        <v>185</v>
      </c>
      <c r="C187">
        <v>167</v>
      </c>
      <c r="D187">
        <v>76</v>
      </c>
      <c r="F187" t="s">
        <v>418</v>
      </c>
      <c r="G187" t="s">
        <v>419</v>
      </c>
      <c r="J187" t="str">
        <f t="shared" si="2"/>
        <v>(NULL,"167","76"),</v>
      </c>
      <c r="K187" t="str">
        <f>TextJoin(tblClassSubjs[[#This Row],[ClassID]:[SubjectID]],"Value")</f>
        <v>"167","76"</v>
      </c>
    </row>
    <row r="188" spans="2:11" x14ac:dyDescent="0.25">
      <c r="B188">
        <v>186</v>
      </c>
      <c r="C188">
        <v>168</v>
      </c>
      <c r="D188">
        <v>77</v>
      </c>
      <c r="F188" t="s">
        <v>420</v>
      </c>
      <c r="G188" t="s">
        <v>421</v>
      </c>
      <c r="J188" t="str">
        <f t="shared" si="2"/>
        <v>(NULL,"168","77"),</v>
      </c>
      <c r="K188" t="str">
        <f>TextJoin(tblClassSubjs[[#This Row],[ClassID]:[SubjectID]],"Value")</f>
        <v>"168","77"</v>
      </c>
    </row>
    <row r="189" spans="2:11" x14ac:dyDescent="0.25">
      <c r="B189">
        <v>187</v>
      </c>
      <c r="C189">
        <v>169</v>
      </c>
      <c r="D189">
        <v>78</v>
      </c>
      <c r="F189" t="s">
        <v>422</v>
      </c>
      <c r="G189" t="s">
        <v>423</v>
      </c>
      <c r="J189" t="str">
        <f t="shared" si="2"/>
        <v>(NULL,"169","78"),</v>
      </c>
      <c r="K189" t="str">
        <f>TextJoin(tblClassSubjs[[#This Row],[ClassID]:[SubjectID]],"Value")</f>
        <v>"169","78"</v>
      </c>
    </row>
    <row r="190" spans="2:11" x14ac:dyDescent="0.25">
      <c r="B190">
        <v>188</v>
      </c>
      <c r="C190">
        <v>170</v>
      </c>
      <c r="D190">
        <v>79</v>
      </c>
      <c r="F190" t="s">
        <v>424</v>
      </c>
      <c r="G190" t="s">
        <v>425</v>
      </c>
      <c r="J190" t="str">
        <f t="shared" si="2"/>
        <v>(NULL,"170","79"),</v>
      </c>
      <c r="K190" t="str">
        <f>TextJoin(tblClassSubjs[[#This Row],[ClassID]:[SubjectID]],"Value")</f>
        <v>"170","79"</v>
      </c>
    </row>
    <row r="191" spans="2:11" x14ac:dyDescent="0.25">
      <c r="B191">
        <v>189</v>
      </c>
      <c r="C191">
        <v>171</v>
      </c>
      <c r="D191">
        <v>80</v>
      </c>
      <c r="E191" s="29"/>
      <c r="F191" s="29" t="s">
        <v>426</v>
      </c>
      <c r="G191" s="29" t="s">
        <v>427</v>
      </c>
      <c r="H191" s="29">
        <v>3</v>
      </c>
      <c r="J191" t="str">
        <f t="shared" si="2"/>
        <v>(NULL,"171","80"),</v>
      </c>
      <c r="K191" t="str">
        <f>TextJoin(tblClassSubjs[[#This Row],[ClassID]:[SubjectID]],"Value")</f>
        <v>"171","80"</v>
      </c>
    </row>
    <row r="192" spans="2:11" x14ac:dyDescent="0.25">
      <c r="B192">
        <v>190</v>
      </c>
      <c r="C192">
        <v>172</v>
      </c>
      <c r="D192">
        <v>1</v>
      </c>
      <c r="F192" t="s">
        <v>269</v>
      </c>
      <c r="G192" t="s">
        <v>270</v>
      </c>
      <c r="H192">
        <v>4</v>
      </c>
      <c r="J192" t="str">
        <f t="shared" si="2"/>
        <v>(NULL,"172","1"),</v>
      </c>
      <c r="K192" t="str">
        <f>TextJoin(tblClassSubjs[[#This Row],[ClassID]:[SubjectID]],"Value")</f>
        <v>"172","1"</v>
      </c>
    </row>
    <row r="193" spans="2:11" x14ac:dyDescent="0.25">
      <c r="B193">
        <v>191</v>
      </c>
      <c r="C193">
        <v>173</v>
      </c>
      <c r="D193">
        <v>2</v>
      </c>
      <c r="F193" t="s">
        <v>271</v>
      </c>
      <c r="G193" t="s">
        <v>272</v>
      </c>
      <c r="J193" t="str">
        <f t="shared" si="2"/>
        <v>(NULL,"173","2"),</v>
      </c>
      <c r="K193" t="str">
        <f>TextJoin(tblClassSubjs[[#This Row],[ClassID]:[SubjectID]],"Value")</f>
        <v>"173","2"</v>
      </c>
    </row>
    <row r="194" spans="2:11" x14ac:dyDescent="0.25">
      <c r="B194">
        <v>192</v>
      </c>
      <c r="C194">
        <v>174</v>
      </c>
      <c r="D194">
        <v>3</v>
      </c>
      <c r="F194" t="s">
        <v>273</v>
      </c>
      <c r="G194" t="s">
        <v>274</v>
      </c>
      <c r="J194" t="str">
        <f t="shared" si="2"/>
        <v>(NULL,"174","3"),</v>
      </c>
      <c r="K194" t="str">
        <f>TextJoin(tblClassSubjs[[#This Row],[ClassID]:[SubjectID]],"Value")</f>
        <v>"174","3"</v>
      </c>
    </row>
    <row r="195" spans="2:11" x14ac:dyDescent="0.25">
      <c r="B195">
        <v>193</v>
      </c>
      <c r="C195">
        <v>175</v>
      </c>
      <c r="D195">
        <v>4</v>
      </c>
      <c r="F195" t="s">
        <v>275</v>
      </c>
      <c r="G195" t="s">
        <v>276</v>
      </c>
      <c r="J195" t="str">
        <f t="shared" si="2"/>
        <v>(NULL,"175","4"),</v>
      </c>
      <c r="K195" t="str">
        <f>TextJoin(tblClassSubjs[[#This Row],[ClassID]:[SubjectID]],"Value")</f>
        <v>"175","4"</v>
      </c>
    </row>
    <row r="196" spans="2:11" x14ac:dyDescent="0.25">
      <c r="B196">
        <v>194</v>
      </c>
      <c r="C196">
        <v>176</v>
      </c>
      <c r="D196">
        <v>5</v>
      </c>
      <c r="F196" t="s">
        <v>277</v>
      </c>
      <c r="G196" t="s">
        <v>278</v>
      </c>
      <c r="J196" t="str">
        <f t="shared" ref="J196:J259" si="3">"(NULL,"&amp;K196&amp;")"&amp;IF(J197&lt;&gt;"",",",";")</f>
        <v>(NULL,"176","5"),</v>
      </c>
      <c r="K196" t="str">
        <f>TextJoin(tblClassSubjs[[#This Row],[ClassID]:[SubjectID]],"Value")</f>
        <v>"176","5"</v>
      </c>
    </row>
    <row r="197" spans="2:11" x14ac:dyDescent="0.25">
      <c r="B197">
        <v>195</v>
      </c>
      <c r="C197">
        <v>177</v>
      </c>
      <c r="D197">
        <v>6</v>
      </c>
      <c r="F197" t="s">
        <v>279</v>
      </c>
      <c r="G197" t="s">
        <v>280</v>
      </c>
      <c r="J197" t="str">
        <f t="shared" si="3"/>
        <v>(NULL,"177","6"),</v>
      </c>
      <c r="K197" t="str">
        <f>TextJoin(tblClassSubjs[[#This Row],[ClassID]:[SubjectID]],"Value")</f>
        <v>"177","6"</v>
      </c>
    </row>
    <row r="198" spans="2:11" x14ac:dyDescent="0.25">
      <c r="B198">
        <v>196</v>
      </c>
      <c r="C198">
        <v>178</v>
      </c>
      <c r="D198">
        <v>7</v>
      </c>
      <c r="F198" t="s">
        <v>281</v>
      </c>
      <c r="G198" t="s">
        <v>282</v>
      </c>
      <c r="J198" t="str">
        <f t="shared" si="3"/>
        <v>(NULL,"178","7"),</v>
      </c>
      <c r="K198" t="str">
        <f>TextJoin(tblClassSubjs[[#This Row],[ClassID]:[SubjectID]],"Value")</f>
        <v>"178","7"</v>
      </c>
    </row>
    <row r="199" spans="2:11" x14ac:dyDescent="0.25">
      <c r="B199">
        <v>197</v>
      </c>
      <c r="C199">
        <v>179</v>
      </c>
      <c r="D199">
        <v>8</v>
      </c>
      <c r="F199" t="s">
        <v>283</v>
      </c>
      <c r="G199" t="s">
        <v>284</v>
      </c>
      <c r="J199" t="str">
        <f t="shared" si="3"/>
        <v>(NULL,"179","8"),</v>
      </c>
      <c r="K199" t="str">
        <f>TextJoin(tblClassSubjs[[#This Row],[ClassID]:[SubjectID]],"Value")</f>
        <v>"179","8"</v>
      </c>
    </row>
    <row r="200" spans="2:11" x14ac:dyDescent="0.25">
      <c r="B200">
        <v>198</v>
      </c>
      <c r="C200">
        <v>180</v>
      </c>
      <c r="D200">
        <v>9</v>
      </c>
      <c r="F200" t="s">
        <v>285</v>
      </c>
      <c r="G200" t="s">
        <v>286</v>
      </c>
      <c r="J200" t="str">
        <f t="shared" si="3"/>
        <v>(NULL,"180","9"),</v>
      </c>
      <c r="K200" t="str">
        <f>TextJoin(tblClassSubjs[[#This Row],[ClassID]:[SubjectID]],"Value")</f>
        <v>"180","9"</v>
      </c>
    </row>
    <row r="201" spans="2:11" x14ac:dyDescent="0.25">
      <c r="B201">
        <v>199</v>
      </c>
      <c r="C201">
        <v>181</v>
      </c>
      <c r="D201">
        <v>84</v>
      </c>
      <c r="F201" t="s">
        <v>429</v>
      </c>
      <c r="G201" t="s">
        <v>430</v>
      </c>
      <c r="J201" t="str">
        <f t="shared" si="3"/>
        <v>(NULL,"181","84"),</v>
      </c>
      <c r="K201" t="str">
        <f>TextJoin(tblClassSubjs[[#This Row],[ClassID]:[SubjectID]],"Value")</f>
        <v>"181","84"</v>
      </c>
    </row>
    <row r="202" spans="2:11" x14ac:dyDescent="0.25">
      <c r="B202">
        <v>200</v>
      </c>
      <c r="C202">
        <v>182</v>
      </c>
      <c r="D202">
        <v>85</v>
      </c>
      <c r="F202" t="s">
        <v>431</v>
      </c>
      <c r="G202" t="s">
        <v>432</v>
      </c>
      <c r="J202" t="str">
        <f t="shared" si="3"/>
        <v>(NULL,"182","85"),</v>
      </c>
      <c r="K202" t="str">
        <f>TextJoin(tblClassSubjs[[#This Row],[ClassID]:[SubjectID]],"Value")</f>
        <v>"182","85"</v>
      </c>
    </row>
    <row r="203" spans="2:11" x14ac:dyDescent="0.25">
      <c r="B203">
        <v>201</v>
      </c>
      <c r="C203">
        <v>183</v>
      </c>
      <c r="D203">
        <v>86</v>
      </c>
      <c r="F203" t="s">
        <v>433</v>
      </c>
      <c r="G203" t="s">
        <v>434</v>
      </c>
      <c r="J203" t="str">
        <f t="shared" si="3"/>
        <v>(NULL,"183","86"),</v>
      </c>
      <c r="K203" t="str">
        <f>TextJoin(tblClassSubjs[[#This Row],[ClassID]:[SubjectID]],"Value")</f>
        <v>"183","86"</v>
      </c>
    </row>
    <row r="204" spans="2:11" x14ac:dyDescent="0.25">
      <c r="B204">
        <v>202</v>
      </c>
      <c r="C204">
        <v>184</v>
      </c>
      <c r="D204">
        <v>87</v>
      </c>
      <c r="F204" t="s">
        <v>435</v>
      </c>
      <c r="G204" t="s">
        <v>331</v>
      </c>
      <c r="J204" t="str">
        <f t="shared" si="3"/>
        <v>(NULL,"184","87"),</v>
      </c>
      <c r="K204" t="str">
        <f>TextJoin(tblClassSubjs[[#This Row],[ClassID]:[SubjectID]],"Value")</f>
        <v>"184","87"</v>
      </c>
    </row>
    <row r="205" spans="2:11" x14ac:dyDescent="0.25">
      <c r="B205">
        <v>203</v>
      </c>
      <c r="C205">
        <v>185</v>
      </c>
      <c r="D205">
        <v>20</v>
      </c>
      <c r="F205" t="s">
        <v>306</v>
      </c>
      <c r="G205" t="s">
        <v>307</v>
      </c>
      <c r="J205" t="str">
        <f t="shared" si="3"/>
        <v>(NULL,"185","20"),</v>
      </c>
      <c r="K205" t="str">
        <f>TextJoin(tblClassSubjs[[#This Row],[ClassID]:[SubjectID]],"Value")</f>
        <v>"185","20"</v>
      </c>
    </row>
    <row r="206" spans="2:11" x14ac:dyDescent="0.25">
      <c r="B206">
        <v>204</v>
      </c>
      <c r="C206">
        <v>186</v>
      </c>
      <c r="D206">
        <v>21</v>
      </c>
      <c r="F206" t="s">
        <v>308</v>
      </c>
      <c r="G206" t="s">
        <v>309</v>
      </c>
      <c r="J206" t="str">
        <f t="shared" si="3"/>
        <v>(NULL,"186","21"),</v>
      </c>
      <c r="K206" t="str">
        <f>TextJoin(tblClassSubjs[[#This Row],[ClassID]:[SubjectID]],"Value")</f>
        <v>"186","21"</v>
      </c>
    </row>
    <row r="207" spans="2:11" x14ac:dyDescent="0.25">
      <c r="B207">
        <v>205</v>
      </c>
      <c r="C207">
        <v>187</v>
      </c>
      <c r="D207">
        <v>22</v>
      </c>
      <c r="F207" t="s">
        <v>310</v>
      </c>
      <c r="G207" t="s">
        <v>311</v>
      </c>
      <c r="J207" t="str">
        <f t="shared" si="3"/>
        <v>(NULL,"187","22"),</v>
      </c>
      <c r="K207" t="str">
        <f>TextJoin(tblClassSubjs[[#This Row],[ClassID]:[SubjectID]],"Value")</f>
        <v>"187","22"</v>
      </c>
    </row>
    <row r="208" spans="2:11" x14ac:dyDescent="0.25">
      <c r="B208">
        <v>206</v>
      </c>
      <c r="C208">
        <v>188</v>
      </c>
      <c r="D208">
        <v>23</v>
      </c>
      <c r="F208" t="s">
        <v>312</v>
      </c>
      <c r="G208" t="s">
        <v>313</v>
      </c>
      <c r="J208" t="str">
        <f t="shared" si="3"/>
        <v>(NULL,"188","23"),</v>
      </c>
      <c r="K208" t="str">
        <f>TextJoin(tblClassSubjs[[#This Row],[ClassID]:[SubjectID]],"Value")</f>
        <v>"188","23"</v>
      </c>
    </row>
    <row r="209" spans="2:11" x14ac:dyDescent="0.25">
      <c r="B209">
        <v>207</v>
      </c>
      <c r="C209">
        <v>189</v>
      </c>
      <c r="D209">
        <v>24</v>
      </c>
      <c r="F209" t="s">
        <v>314</v>
      </c>
      <c r="G209" t="s">
        <v>315</v>
      </c>
      <c r="J209" t="str">
        <f t="shared" si="3"/>
        <v>(NULL,"189","24"),</v>
      </c>
      <c r="K209" t="str">
        <f>TextJoin(tblClassSubjs[[#This Row],[ClassID]:[SubjectID]],"Value")</f>
        <v>"189","24"</v>
      </c>
    </row>
    <row r="210" spans="2:11" x14ac:dyDescent="0.25">
      <c r="B210">
        <v>208</v>
      </c>
      <c r="C210">
        <v>190</v>
      </c>
      <c r="D210">
        <v>25</v>
      </c>
      <c r="F210" t="s">
        <v>316</v>
      </c>
      <c r="G210" t="s">
        <v>317</v>
      </c>
      <c r="J210" t="str">
        <f t="shared" si="3"/>
        <v>(NULL,"190","25"),</v>
      </c>
      <c r="K210" t="str">
        <f>TextJoin(tblClassSubjs[[#This Row],[ClassID]:[SubjectID]],"Value")</f>
        <v>"190","25"</v>
      </c>
    </row>
    <row r="211" spans="2:11" x14ac:dyDescent="0.25">
      <c r="B211">
        <v>209</v>
      </c>
      <c r="C211">
        <v>191</v>
      </c>
      <c r="D211">
        <v>26</v>
      </c>
      <c r="F211" t="s">
        <v>318</v>
      </c>
      <c r="G211" t="s">
        <v>319</v>
      </c>
      <c r="J211" t="str">
        <f t="shared" si="3"/>
        <v>(NULL,"191","26"),</v>
      </c>
      <c r="K211" t="str">
        <f>TextJoin(tblClassSubjs[[#This Row],[ClassID]:[SubjectID]],"Value")</f>
        <v>"191","26"</v>
      </c>
    </row>
    <row r="212" spans="2:11" x14ac:dyDescent="0.25">
      <c r="B212">
        <v>210</v>
      </c>
      <c r="C212">
        <v>192</v>
      </c>
      <c r="D212">
        <v>27</v>
      </c>
      <c r="F212" t="s">
        <v>320</v>
      </c>
      <c r="G212" t="s">
        <v>321</v>
      </c>
      <c r="J212" t="str">
        <f t="shared" si="3"/>
        <v>(NULL,"192","27"),</v>
      </c>
      <c r="K212" t="str">
        <f>TextJoin(tblClassSubjs[[#This Row],[ClassID]:[SubjectID]],"Value")</f>
        <v>"192","27"</v>
      </c>
    </row>
    <row r="213" spans="2:11" x14ac:dyDescent="0.25">
      <c r="B213">
        <v>211</v>
      </c>
      <c r="C213">
        <v>193</v>
      </c>
      <c r="D213">
        <v>103</v>
      </c>
      <c r="F213" t="s">
        <v>450</v>
      </c>
      <c r="G213" t="s">
        <v>451</v>
      </c>
      <c r="J213" t="str">
        <f t="shared" si="3"/>
        <v>(NULL,"193","103"),</v>
      </c>
      <c r="K213" t="str">
        <f>TextJoin(tblClassSubjs[[#This Row],[ClassID]:[SubjectID]],"Value")</f>
        <v>"193","103"</v>
      </c>
    </row>
    <row r="214" spans="2:11" x14ac:dyDescent="0.25">
      <c r="B214">
        <v>212</v>
      </c>
      <c r="C214">
        <v>194</v>
      </c>
      <c r="D214">
        <v>104</v>
      </c>
      <c r="F214" t="s">
        <v>452</v>
      </c>
      <c r="G214" t="s">
        <v>453</v>
      </c>
      <c r="J214" t="str">
        <f t="shared" si="3"/>
        <v>(NULL,"194","104"),</v>
      </c>
      <c r="K214" t="str">
        <f>TextJoin(tblClassSubjs[[#This Row],[ClassID]:[SubjectID]],"Value")</f>
        <v>"194","104"</v>
      </c>
    </row>
    <row r="215" spans="2:11" x14ac:dyDescent="0.25">
      <c r="B215">
        <v>213</v>
      </c>
      <c r="C215">
        <v>195</v>
      </c>
      <c r="D215">
        <v>105</v>
      </c>
      <c r="F215" t="s">
        <v>454</v>
      </c>
      <c r="G215" t="s">
        <v>455</v>
      </c>
      <c r="J215" t="str">
        <f t="shared" si="3"/>
        <v>(NULL,"195","105"),</v>
      </c>
      <c r="K215" t="str">
        <f>TextJoin(tblClassSubjs[[#This Row],[ClassID]:[SubjectID]],"Value")</f>
        <v>"195","105"</v>
      </c>
    </row>
    <row r="216" spans="2:11" x14ac:dyDescent="0.25">
      <c r="B216">
        <v>214</v>
      </c>
      <c r="C216">
        <v>196</v>
      </c>
      <c r="D216">
        <v>106</v>
      </c>
      <c r="F216" t="s">
        <v>456</v>
      </c>
      <c r="G216" t="s">
        <v>329</v>
      </c>
      <c r="J216" t="str">
        <f t="shared" si="3"/>
        <v>(NULL,"196","106"),</v>
      </c>
      <c r="K216" t="str">
        <f>TextJoin(tblClassSubjs[[#This Row],[ClassID]:[SubjectID]],"Value")</f>
        <v>"196","106"</v>
      </c>
    </row>
    <row r="217" spans="2:11" x14ac:dyDescent="0.25">
      <c r="B217">
        <v>215</v>
      </c>
      <c r="C217">
        <v>197</v>
      </c>
      <c r="D217">
        <v>107</v>
      </c>
      <c r="F217" t="s">
        <v>457</v>
      </c>
      <c r="G217" t="s">
        <v>458</v>
      </c>
      <c r="J217" t="str">
        <f t="shared" si="3"/>
        <v>(NULL,"197","107"),</v>
      </c>
      <c r="K217" t="str">
        <f>TextJoin(tblClassSubjs[[#This Row],[ClassID]:[SubjectID]],"Value")</f>
        <v>"197","107"</v>
      </c>
    </row>
    <row r="218" spans="2:11" x14ac:dyDescent="0.25">
      <c r="B218">
        <v>216</v>
      </c>
      <c r="C218">
        <v>198</v>
      </c>
      <c r="D218">
        <v>35</v>
      </c>
      <c r="F218" t="s">
        <v>337</v>
      </c>
      <c r="G218" t="s">
        <v>338</v>
      </c>
      <c r="J218" t="str">
        <f t="shared" si="3"/>
        <v>(NULL,"198","35"),</v>
      </c>
      <c r="K218" t="str">
        <f>TextJoin(tblClassSubjs[[#This Row],[ClassID]:[SubjectID]],"Value")</f>
        <v>"198","35"</v>
      </c>
    </row>
    <row r="219" spans="2:11" x14ac:dyDescent="0.25">
      <c r="B219">
        <v>217</v>
      </c>
      <c r="C219">
        <v>199</v>
      </c>
      <c r="D219">
        <v>36</v>
      </c>
      <c r="F219" t="s">
        <v>339</v>
      </c>
      <c r="G219" t="s">
        <v>340</v>
      </c>
      <c r="J219" t="str">
        <f t="shared" si="3"/>
        <v>(NULL,"199","36"),</v>
      </c>
      <c r="K219" t="str">
        <f>TextJoin(tblClassSubjs[[#This Row],[ClassID]:[SubjectID]],"Value")</f>
        <v>"199","36"</v>
      </c>
    </row>
    <row r="220" spans="2:11" x14ac:dyDescent="0.25">
      <c r="B220">
        <v>218</v>
      </c>
      <c r="C220">
        <v>200</v>
      </c>
      <c r="D220">
        <v>37</v>
      </c>
      <c r="F220" t="s">
        <v>341</v>
      </c>
      <c r="G220" t="s">
        <v>342</v>
      </c>
      <c r="J220" t="str">
        <f t="shared" si="3"/>
        <v>(NULL,"200","37"),</v>
      </c>
      <c r="K220" t="str">
        <f>TextJoin(tblClassSubjs[[#This Row],[ClassID]:[SubjectID]],"Value")</f>
        <v>"200","37"</v>
      </c>
    </row>
    <row r="221" spans="2:11" x14ac:dyDescent="0.25">
      <c r="B221">
        <v>219</v>
      </c>
      <c r="C221">
        <v>201</v>
      </c>
      <c r="D221">
        <v>38</v>
      </c>
      <c r="F221" t="s">
        <v>343</v>
      </c>
      <c r="G221" t="s">
        <v>344</v>
      </c>
      <c r="J221" t="str">
        <f t="shared" si="3"/>
        <v>(NULL,"201","38"),</v>
      </c>
      <c r="K221" t="str">
        <f>TextJoin(tblClassSubjs[[#This Row],[ClassID]:[SubjectID]],"Value")</f>
        <v>"201","38"</v>
      </c>
    </row>
    <row r="222" spans="2:11" x14ac:dyDescent="0.25">
      <c r="B222">
        <v>220</v>
      </c>
      <c r="C222">
        <v>202</v>
      </c>
      <c r="D222">
        <v>39</v>
      </c>
      <c r="F222" t="s">
        <v>345</v>
      </c>
      <c r="G222" t="s">
        <v>346</v>
      </c>
      <c r="J222" t="str">
        <f t="shared" si="3"/>
        <v>(NULL,"202","39"),</v>
      </c>
      <c r="K222" t="str">
        <f>TextJoin(tblClassSubjs[[#This Row],[ClassID]:[SubjectID]],"Value")</f>
        <v>"202","39"</v>
      </c>
    </row>
    <row r="223" spans="2:11" x14ac:dyDescent="0.25">
      <c r="B223">
        <v>221</v>
      </c>
      <c r="C223">
        <v>203</v>
      </c>
      <c r="D223">
        <v>40</v>
      </c>
      <c r="F223" t="s">
        <v>347</v>
      </c>
      <c r="G223" t="s">
        <v>348</v>
      </c>
      <c r="J223" t="str">
        <f t="shared" si="3"/>
        <v>(NULL,"203","40"),</v>
      </c>
      <c r="K223" t="str">
        <f>TextJoin(tblClassSubjs[[#This Row],[ClassID]:[SubjectID]],"Value")</f>
        <v>"203","40"</v>
      </c>
    </row>
    <row r="224" spans="2:11" x14ac:dyDescent="0.25">
      <c r="B224">
        <v>222</v>
      </c>
      <c r="C224">
        <v>204</v>
      </c>
      <c r="D224">
        <v>41</v>
      </c>
      <c r="F224" t="s">
        <v>349</v>
      </c>
      <c r="G224" t="s">
        <v>350</v>
      </c>
      <c r="J224" t="str">
        <f t="shared" si="3"/>
        <v>(NULL,"204","41"),</v>
      </c>
      <c r="K224" t="str">
        <f>TextJoin(tblClassSubjs[[#This Row],[ClassID]:[SubjectID]],"Value")</f>
        <v>"204","41"</v>
      </c>
    </row>
    <row r="225" spans="2:11" x14ac:dyDescent="0.25">
      <c r="B225">
        <v>223</v>
      </c>
      <c r="C225">
        <v>205</v>
      </c>
      <c r="D225">
        <v>42</v>
      </c>
      <c r="F225" t="s">
        <v>351</v>
      </c>
      <c r="G225" t="s">
        <v>610</v>
      </c>
      <c r="J225" t="str">
        <f t="shared" si="3"/>
        <v>(NULL,"205","42"),</v>
      </c>
      <c r="K225" t="str">
        <f>TextJoin(tblClassSubjs[[#This Row],[ClassID]:[SubjectID]],"Value")</f>
        <v>"205","42"</v>
      </c>
    </row>
    <row r="226" spans="2:11" x14ac:dyDescent="0.25">
      <c r="B226">
        <v>224</v>
      </c>
      <c r="C226">
        <v>206</v>
      </c>
      <c r="D226">
        <v>120</v>
      </c>
      <c r="F226" t="s">
        <v>475</v>
      </c>
      <c r="G226" t="s">
        <v>476</v>
      </c>
      <c r="J226" t="str">
        <f t="shared" si="3"/>
        <v>(NULL,"206","120"),</v>
      </c>
      <c r="K226" t="str">
        <f>TextJoin(tblClassSubjs[[#This Row],[ClassID]:[SubjectID]],"Value")</f>
        <v>"206","120"</v>
      </c>
    </row>
    <row r="227" spans="2:11" x14ac:dyDescent="0.25">
      <c r="B227">
        <v>225</v>
      </c>
      <c r="C227">
        <v>207</v>
      </c>
      <c r="D227">
        <v>121</v>
      </c>
      <c r="F227" t="s">
        <v>477</v>
      </c>
      <c r="G227" t="s">
        <v>389</v>
      </c>
      <c r="J227" t="str">
        <f t="shared" si="3"/>
        <v>(NULL,"207","121"),</v>
      </c>
      <c r="K227" t="str">
        <f>TextJoin(tblClassSubjs[[#This Row],[ClassID]:[SubjectID]],"Value")</f>
        <v>"207","121"</v>
      </c>
    </row>
    <row r="228" spans="2:11" x14ac:dyDescent="0.25">
      <c r="B228">
        <v>226</v>
      </c>
      <c r="C228">
        <v>208</v>
      </c>
      <c r="D228">
        <v>122</v>
      </c>
      <c r="F228" t="s">
        <v>478</v>
      </c>
      <c r="G228" t="s">
        <v>479</v>
      </c>
      <c r="J228" t="str">
        <f t="shared" si="3"/>
        <v>(NULL,"208","122"),</v>
      </c>
      <c r="K228" t="str">
        <f>TextJoin(tblClassSubjs[[#This Row],[ClassID]:[SubjectID]],"Value")</f>
        <v>"208","122"</v>
      </c>
    </row>
    <row r="229" spans="2:11" x14ac:dyDescent="0.25">
      <c r="B229">
        <v>227</v>
      </c>
      <c r="C229">
        <v>209</v>
      </c>
      <c r="D229">
        <v>123</v>
      </c>
      <c r="F229" t="s">
        <v>480</v>
      </c>
      <c r="G229" t="s">
        <v>359</v>
      </c>
      <c r="J229" t="str">
        <f t="shared" si="3"/>
        <v>(NULL,"209","123"),</v>
      </c>
      <c r="K229" t="str">
        <f>TextJoin(tblClassSubjs[[#This Row],[ClassID]:[SubjectID]],"Value")</f>
        <v>"209","123"</v>
      </c>
    </row>
    <row r="230" spans="2:11" x14ac:dyDescent="0.25">
      <c r="B230">
        <v>228</v>
      </c>
      <c r="C230">
        <v>210</v>
      </c>
      <c r="D230">
        <v>124</v>
      </c>
      <c r="F230" t="s">
        <v>481</v>
      </c>
      <c r="G230" t="s">
        <v>298</v>
      </c>
      <c r="J230" t="str">
        <f t="shared" si="3"/>
        <v>(NULL,"210","124"),</v>
      </c>
      <c r="K230" t="str">
        <f>TextJoin(tblClassSubjs[[#This Row],[ClassID]:[SubjectID]],"Value")</f>
        <v>"210","124"</v>
      </c>
    </row>
    <row r="231" spans="2:11" x14ac:dyDescent="0.25">
      <c r="B231">
        <v>229</v>
      </c>
      <c r="C231">
        <v>211</v>
      </c>
      <c r="D231">
        <v>125</v>
      </c>
      <c r="F231" t="s">
        <v>482</v>
      </c>
      <c r="G231" t="s">
        <v>483</v>
      </c>
      <c r="J231" t="str">
        <f t="shared" si="3"/>
        <v>(NULL,"211","125"),</v>
      </c>
      <c r="K231" t="str">
        <f>TextJoin(tblClassSubjs[[#This Row],[ClassID]:[SubjectID]],"Value")</f>
        <v>"211","125"</v>
      </c>
    </row>
    <row r="232" spans="2:11" x14ac:dyDescent="0.25">
      <c r="B232">
        <v>230</v>
      </c>
      <c r="C232">
        <v>212</v>
      </c>
      <c r="D232">
        <v>126</v>
      </c>
      <c r="F232" t="s">
        <v>484</v>
      </c>
      <c r="G232" t="s">
        <v>333</v>
      </c>
      <c r="J232" t="str">
        <f t="shared" si="3"/>
        <v>(NULL,"212","126"),</v>
      </c>
      <c r="K232" t="str">
        <f>TextJoin(tblClassSubjs[[#This Row],[ClassID]:[SubjectID]],"Value")</f>
        <v>"212","126"</v>
      </c>
    </row>
    <row r="233" spans="2:11" x14ac:dyDescent="0.25">
      <c r="B233">
        <v>231</v>
      </c>
      <c r="C233">
        <v>213</v>
      </c>
      <c r="D233">
        <v>51</v>
      </c>
      <c r="F233" t="s">
        <v>368</v>
      </c>
      <c r="G233" t="s">
        <v>369</v>
      </c>
      <c r="J233" t="str">
        <f t="shared" si="3"/>
        <v>(NULL,"213","51"),</v>
      </c>
      <c r="K233" t="str">
        <f>TextJoin(tblClassSubjs[[#This Row],[ClassID]:[SubjectID]],"Value")</f>
        <v>"213","51"</v>
      </c>
    </row>
    <row r="234" spans="2:11" x14ac:dyDescent="0.25">
      <c r="B234">
        <v>232</v>
      </c>
      <c r="C234">
        <v>214</v>
      </c>
      <c r="D234">
        <v>52</v>
      </c>
      <c r="F234" t="s">
        <v>370</v>
      </c>
      <c r="G234" t="s">
        <v>371</v>
      </c>
      <c r="J234" t="str">
        <f t="shared" si="3"/>
        <v>(NULL,"214","52"),</v>
      </c>
      <c r="K234" t="str">
        <f>TextJoin(tblClassSubjs[[#This Row],[ClassID]:[SubjectID]],"Value")</f>
        <v>"214","52"</v>
      </c>
    </row>
    <row r="235" spans="2:11" x14ac:dyDescent="0.25">
      <c r="B235">
        <v>233</v>
      </c>
      <c r="C235">
        <v>215</v>
      </c>
      <c r="D235">
        <v>53</v>
      </c>
      <c r="F235" t="s">
        <v>372</v>
      </c>
      <c r="G235" t="s">
        <v>373</v>
      </c>
      <c r="J235" t="str">
        <f t="shared" si="3"/>
        <v>(NULL,"215","53"),</v>
      </c>
      <c r="K235" t="str">
        <f>TextJoin(tblClassSubjs[[#This Row],[ClassID]:[SubjectID]],"Value")</f>
        <v>"215","53"</v>
      </c>
    </row>
    <row r="236" spans="2:11" x14ac:dyDescent="0.25">
      <c r="B236">
        <v>234</v>
      </c>
      <c r="C236">
        <v>216</v>
      </c>
      <c r="D236">
        <v>54</v>
      </c>
      <c r="F236" t="s">
        <v>374</v>
      </c>
      <c r="G236" t="s">
        <v>375</v>
      </c>
      <c r="J236" t="str">
        <f t="shared" si="3"/>
        <v>(NULL,"216","54"),</v>
      </c>
      <c r="K236" t="str">
        <f>TextJoin(tblClassSubjs[[#This Row],[ClassID]:[SubjectID]],"Value")</f>
        <v>"216","54"</v>
      </c>
    </row>
    <row r="237" spans="2:11" x14ac:dyDescent="0.25">
      <c r="B237">
        <v>235</v>
      </c>
      <c r="C237">
        <v>217</v>
      </c>
      <c r="D237">
        <v>55</v>
      </c>
      <c r="F237" t="s">
        <v>376</v>
      </c>
      <c r="G237" t="s">
        <v>377</v>
      </c>
      <c r="J237" t="str">
        <f t="shared" si="3"/>
        <v>(NULL,"217","55"),</v>
      </c>
      <c r="K237" t="str">
        <f>TextJoin(tblClassSubjs[[#This Row],[ClassID]:[SubjectID]],"Value")</f>
        <v>"217","55"</v>
      </c>
    </row>
    <row r="238" spans="2:11" x14ac:dyDescent="0.25">
      <c r="B238">
        <v>236</v>
      </c>
      <c r="C238">
        <v>218</v>
      </c>
      <c r="D238">
        <v>56</v>
      </c>
      <c r="F238" t="s">
        <v>378</v>
      </c>
      <c r="G238" t="s">
        <v>379</v>
      </c>
      <c r="J238" t="str">
        <f t="shared" si="3"/>
        <v>(NULL,"218","56"),</v>
      </c>
      <c r="K238" t="str">
        <f>TextJoin(tblClassSubjs[[#This Row],[ClassID]:[SubjectID]],"Value")</f>
        <v>"218","56"</v>
      </c>
    </row>
    <row r="239" spans="2:11" x14ac:dyDescent="0.25">
      <c r="B239">
        <v>237</v>
      </c>
      <c r="C239">
        <v>219</v>
      </c>
      <c r="D239">
        <v>57</v>
      </c>
      <c r="F239" t="s">
        <v>380</v>
      </c>
      <c r="G239" t="s">
        <v>381</v>
      </c>
      <c r="J239" t="str">
        <f t="shared" si="3"/>
        <v>(NULL,"219","57"),</v>
      </c>
      <c r="K239" t="str">
        <f>TextJoin(tblClassSubjs[[#This Row],[ClassID]:[SubjectID]],"Value")</f>
        <v>"219","57"</v>
      </c>
    </row>
    <row r="240" spans="2:11" x14ac:dyDescent="0.25">
      <c r="B240">
        <v>238</v>
      </c>
      <c r="C240">
        <v>220</v>
      </c>
      <c r="D240">
        <v>58</v>
      </c>
      <c r="F240" t="s">
        <v>382</v>
      </c>
      <c r="G240" t="s">
        <v>383</v>
      </c>
      <c r="J240" t="str">
        <f t="shared" si="3"/>
        <v>(NULL,"220","58"),</v>
      </c>
      <c r="K240" t="str">
        <f>TextJoin(tblClassSubjs[[#This Row],[ClassID]:[SubjectID]],"Value")</f>
        <v>"220","58"</v>
      </c>
    </row>
    <row r="241" spans="2:11" x14ac:dyDescent="0.25">
      <c r="B241">
        <v>239</v>
      </c>
      <c r="C241">
        <v>221</v>
      </c>
      <c r="D241">
        <v>136</v>
      </c>
      <c r="F241" t="s">
        <v>498</v>
      </c>
      <c r="G241" t="s">
        <v>499</v>
      </c>
      <c r="J241" t="str">
        <f t="shared" si="3"/>
        <v>(NULL,"221","136"),</v>
      </c>
      <c r="K241" t="str">
        <f>TextJoin(tblClassSubjs[[#This Row],[ClassID]:[SubjectID]],"Value")</f>
        <v>"221","136"</v>
      </c>
    </row>
    <row r="242" spans="2:11" x14ac:dyDescent="0.25">
      <c r="B242">
        <v>240</v>
      </c>
      <c r="C242">
        <v>222</v>
      </c>
      <c r="D242">
        <v>137</v>
      </c>
      <c r="F242" t="s">
        <v>500</v>
      </c>
      <c r="G242" t="s">
        <v>501</v>
      </c>
      <c r="J242" t="str">
        <f t="shared" si="3"/>
        <v>(NULL,"222","137"),</v>
      </c>
      <c r="K242" t="str">
        <f>TextJoin(tblClassSubjs[[#This Row],[ClassID]:[SubjectID]],"Value")</f>
        <v>"222","137"</v>
      </c>
    </row>
    <row r="243" spans="2:11" x14ac:dyDescent="0.25">
      <c r="B243">
        <v>241</v>
      </c>
      <c r="C243">
        <v>223</v>
      </c>
      <c r="D243">
        <v>138</v>
      </c>
      <c r="F243" t="s">
        <v>502</v>
      </c>
      <c r="G243" t="s">
        <v>391</v>
      </c>
      <c r="J243" t="str">
        <f t="shared" si="3"/>
        <v>(NULL,"223","138"),</v>
      </c>
      <c r="K243" t="str">
        <f>TextJoin(tblClassSubjs[[#This Row],[ClassID]:[SubjectID]],"Value")</f>
        <v>"223","138"</v>
      </c>
    </row>
    <row r="244" spans="2:11" x14ac:dyDescent="0.25">
      <c r="B244">
        <v>242</v>
      </c>
      <c r="C244">
        <v>224</v>
      </c>
      <c r="D244">
        <v>139</v>
      </c>
      <c r="F244" t="s">
        <v>503</v>
      </c>
      <c r="G244" t="s">
        <v>504</v>
      </c>
      <c r="J244" t="str">
        <f t="shared" si="3"/>
        <v>(NULL,"224","139"),</v>
      </c>
      <c r="K244" t="str">
        <f>TextJoin(tblClassSubjs[[#This Row],[ClassID]:[SubjectID]],"Value")</f>
        <v>"224","139"</v>
      </c>
    </row>
    <row r="245" spans="2:11" x14ac:dyDescent="0.25">
      <c r="B245">
        <v>243</v>
      </c>
      <c r="C245">
        <v>225</v>
      </c>
      <c r="D245">
        <v>140</v>
      </c>
      <c r="F245" t="s">
        <v>505</v>
      </c>
      <c r="G245" t="s">
        <v>506</v>
      </c>
      <c r="J245" t="str">
        <f t="shared" si="3"/>
        <v>(NULL,"225","140"),</v>
      </c>
      <c r="K245" t="str">
        <f>TextJoin(tblClassSubjs[[#This Row],[ClassID]:[SubjectID]],"Value")</f>
        <v>"225","140"</v>
      </c>
    </row>
    <row r="246" spans="2:11" x14ac:dyDescent="0.25">
      <c r="B246">
        <v>244</v>
      </c>
      <c r="C246">
        <v>226</v>
      </c>
      <c r="D246">
        <v>132</v>
      </c>
      <c r="F246" t="s">
        <v>493</v>
      </c>
      <c r="G246" t="s">
        <v>415</v>
      </c>
      <c r="J246" t="str">
        <f t="shared" si="3"/>
        <v>(NULL,"226","132"),</v>
      </c>
      <c r="K246" t="str">
        <f>TextJoin(tblClassSubjs[[#This Row],[ClassID]:[SubjectID]],"Value")</f>
        <v>"226","132"</v>
      </c>
    </row>
    <row r="247" spans="2:11" x14ac:dyDescent="0.25">
      <c r="B247">
        <v>245</v>
      </c>
      <c r="C247">
        <v>227</v>
      </c>
      <c r="D247">
        <v>67</v>
      </c>
      <c r="F247" t="s">
        <v>400</v>
      </c>
      <c r="G247" t="s">
        <v>401</v>
      </c>
      <c r="J247" t="str">
        <f t="shared" si="3"/>
        <v>(NULL,"227","67"),</v>
      </c>
      <c r="K247" t="str">
        <f>TextJoin(tblClassSubjs[[#This Row],[ClassID]:[SubjectID]],"Value")</f>
        <v>"227","67"</v>
      </c>
    </row>
    <row r="248" spans="2:11" x14ac:dyDescent="0.25">
      <c r="B248">
        <v>246</v>
      </c>
      <c r="C248">
        <v>228</v>
      </c>
      <c r="D248">
        <v>68</v>
      </c>
      <c r="F248" t="s">
        <v>402</v>
      </c>
      <c r="G248" t="s">
        <v>403</v>
      </c>
      <c r="J248" t="str">
        <f t="shared" si="3"/>
        <v>(NULL,"228","68"),</v>
      </c>
      <c r="K248" t="str">
        <f>TextJoin(tblClassSubjs[[#This Row],[ClassID]:[SubjectID]],"Value")</f>
        <v>"228","68"</v>
      </c>
    </row>
    <row r="249" spans="2:11" x14ac:dyDescent="0.25">
      <c r="B249">
        <v>247</v>
      </c>
      <c r="C249">
        <v>229</v>
      </c>
      <c r="D249">
        <v>69</v>
      </c>
      <c r="F249" t="s">
        <v>404</v>
      </c>
      <c r="G249" t="s">
        <v>405</v>
      </c>
      <c r="J249" t="str">
        <f t="shared" si="3"/>
        <v>(NULL,"229","69"),</v>
      </c>
      <c r="K249" t="str">
        <f>TextJoin(tblClassSubjs[[#This Row],[ClassID]:[SubjectID]],"Value")</f>
        <v>"229","69"</v>
      </c>
    </row>
    <row r="250" spans="2:11" x14ac:dyDescent="0.25">
      <c r="B250">
        <v>248</v>
      </c>
      <c r="C250">
        <v>230</v>
      </c>
      <c r="D250">
        <v>70</v>
      </c>
      <c r="F250" t="s">
        <v>406</v>
      </c>
      <c r="G250" t="s">
        <v>407</v>
      </c>
      <c r="J250" t="str">
        <f t="shared" si="3"/>
        <v>(NULL,"230","70"),</v>
      </c>
      <c r="K250" t="str">
        <f>TextJoin(tblClassSubjs[[#This Row],[ClassID]:[SubjectID]],"Value")</f>
        <v>"230","70"</v>
      </c>
    </row>
    <row r="251" spans="2:11" x14ac:dyDescent="0.25">
      <c r="B251">
        <v>249</v>
      </c>
      <c r="C251">
        <v>231</v>
      </c>
      <c r="D251">
        <v>71</v>
      </c>
      <c r="F251" t="s">
        <v>408</v>
      </c>
      <c r="G251" t="s">
        <v>409</v>
      </c>
      <c r="J251" t="str">
        <f t="shared" si="3"/>
        <v>(NULL,"231","71"),</v>
      </c>
      <c r="K251" t="str">
        <f>TextJoin(tblClassSubjs[[#This Row],[ClassID]:[SubjectID]],"Value")</f>
        <v>"231","71"</v>
      </c>
    </row>
    <row r="252" spans="2:11" x14ac:dyDescent="0.25">
      <c r="B252">
        <v>250</v>
      </c>
      <c r="C252">
        <v>232</v>
      </c>
      <c r="D252">
        <v>72</v>
      </c>
      <c r="F252" t="s">
        <v>410</v>
      </c>
      <c r="G252" t="s">
        <v>411</v>
      </c>
      <c r="J252" t="str">
        <f t="shared" si="3"/>
        <v>(NULL,"232","72"),</v>
      </c>
      <c r="K252" t="str">
        <f>TextJoin(tblClassSubjs[[#This Row],[ClassID]:[SubjectID]],"Value")</f>
        <v>"232","72"</v>
      </c>
    </row>
    <row r="253" spans="2:11" x14ac:dyDescent="0.25">
      <c r="B253">
        <v>251</v>
      </c>
      <c r="C253">
        <v>233</v>
      </c>
      <c r="D253">
        <v>73</v>
      </c>
      <c r="F253" t="s">
        <v>412</v>
      </c>
      <c r="G253" t="s">
        <v>413</v>
      </c>
      <c r="J253" t="str">
        <f t="shared" si="3"/>
        <v>(NULL,"233","73"),</v>
      </c>
      <c r="K253" t="str">
        <f>TextJoin(tblClassSubjs[[#This Row],[ClassID]:[SubjectID]],"Value")</f>
        <v>"233","73"</v>
      </c>
    </row>
    <row r="254" spans="2:11" x14ac:dyDescent="0.25">
      <c r="B254">
        <v>252</v>
      </c>
      <c r="C254">
        <v>234</v>
      </c>
      <c r="D254">
        <v>141</v>
      </c>
      <c r="E254" s="29"/>
      <c r="F254" s="29" t="s">
        <v>507</v>
      </c>
      <c r="G254" s="29" t="s">
        <v>508</v>
      </c>
      <c r="H254" s="29">
        <v>4</v>
      </c>
      <c r="J254" t="str">
        <f t="shared" si="3"/>
        <v>(NULL,"234","141"),</v>
      </c>
      <c r="K254" t="str">
        <f>TextJoin(tblClassSubjs[[#This Row],[ClassID]:[SubjectID]],"Value")</f>
        <v>"234","141"</v>
      </c>
    </row>
    <row r="255" spans="2:11" x14ac:dyDescent="0.25">
      <c r="B255">
        <v>253</v>
      </c>
      <c r="C255">
        <v>235</v>
      </c>
      <c r="D255">
        <v>10</v>
      </c>
      <c r="F255" t="s">
        <v>287</v>
      </c>
      <c r="G255" t="s">
        <v>288</v>
      </c>
      <c r="H255">
        <v>5</v>
      </c>
      <c r="J255" t="str">
        <f t="shared" si="3"/>
        <v>(NULL,"235","10"),</v>
      </c>
      <c r="K255" t="str">
        <f>TextJoin(tblClassSubjs[[#This Row],[ClassID]:[SubjectID]],"Value")</f>
        <v>"235","10"</v>
      </c>
    </row>
    <row r="256" spans="2:11" x14ac:dyDescent="0.25">
      <c r="B256">
        <v>254</v>
      </c>
      <c r="C256">
        <v>236</v>
      </c>
      <c r="D256">
        <v>11</v>
      </c>
      <c r="F256" t="s">
        <v>289</v>
      </c>
      <c r="G256" t="s">
        <v>290</v>
      </c>
      <c r="J256" t="str">
        <f t="shared" si="3"/>
        <v>(NULL,"236","11"),</v>
      </c>
      <c r="K256" t="str">
        <f>TextJoin(tblClassSubjs[[#This Row],[ClassID]:[SubjectID]],"Value")</f>
        <v>"236","11"</v>
      </c>
    </row>
    <row r="257" spans="2:11" x14ac:dyDescent="0.25">
      <c r="B257">
        <v>255</v>
      </c>
      <c r="C257">
        <v>237</v>
      </c>
      <c r="D257">
        <v>12</v>
      </c>
      <c r="F257" t="s">
        <v>291</v>
      </c>
      <c r="G257" t="s">
        <v>292</v>
      </c>
      <c r="J257" t="str">
        <f t="shared" si="3"/>
        <v>(NULL,"237","12"),</v>
      </c>
      <c r="K257" t="str">
        <f>TextJoin(tblClassSubjs[[#This Row],[ClassID]:[SubjectID]],"Value")</f>
        <v>"237","12"</v>
      </c>
    </row>
    <row r="258" spans="2:11" x14ac:dyDescent="0.25">
      <c r="B258">
        <v>256</v>
      </c>
      <c r="C258">
        <v>238</v>
      </c>
      <c r="D258">
        <v>13</v>
      </c>
      <c r="F258" t="s">
        <v>293</v>
      </c>
      <c r="G258" t="s">
        <v>294</v>
      </c>
      <c r="J258" t="str">
        <f t="shared" si="3"/>
        <v>(NULL,"238","13"),</v>
      </c>
      <c r="K258" t="str">
        <f>TextJoin(tblClassSubjs[[#This Row],[ClassID]:[SubjectID]],"Value")</f>
        <v>"238","13"</v>
      </c>
    </row>
    <row r="259" spans="2:11" x14ac:dyDescent="0.25">
      <c r="B259">
        <v>257</v>
      </c>
      <c r="C259">
        <v>239</v>
      </c>
      <c r="D259">
        <v>14</v>
      </c>
      <c r="F259" t="s">
        <v>295</v>
      </c>
      <c r="G259" t="s">
        <v>296</v>
      </c>
      <c r="J259" t="str">
        <f t="shared" si="3"/>
        <v>(NULL,"239","14"),</v>
      </c>
      <c r="K259" t="str">
        <f>TextJoin(tblClassSubjs[[#This Row],[ClassID]:[SubjectID]],"Value")</f>
        <v>"239","14"</v>
      </c>
    </row>
    <row r="260" spans="2:11" x14ac:dyDescent="0.25">
      <c r="B260">
        <v>258</v>
      </c>
      <c r="C260">
        <v>240</v>
      </c>
      <c r="D260">
        <v>15</v>
      </c>
      <c r="F260" t="s">
        <v>297</v>
      </c>
      <c r="G260" t="s">
        <v>298</v>
      </c>
      <c r="J260" t="str">
        <f t="shared" ref="J260:J323" si="4">"(NULL,"&amp;K260&amp;")"&amp;IF(J261&lt;&gt;"",",",";")</f>
        <v>(NULL,"240","15"),</v>
      </c>
      <c r="K260" t="str">
        <f>TextJoin(tblClassSubjs[[#This Row],[ClassID]:[SubjectID]],"Value")</f>
        <v>"240","15"</v>
      </c>
    </row>
    <row r="261" spans="2:11" x14ac:dyDescent="0.25">
      <c r="B261">
        <v>259</v>
      </c>
      <c r="C261">
        <v>241</v>
      </c>
      <c r="D261">
        <v>16</v>
      </c>
      <c r="F261" t="s">
        <v>447</v>
      </c>
      <c r="G261" t="s">
        <v>299</v>
      </c>
      <c r="J261" t="str">
        <f t="shared" si="4"/>
        <v>(NULL,"241","16"),</v>
      </c>
      <c r="K261" t="str">
        <f>TextJoin(tblClassSubjs[[#This Row],[ClassID]:[SubjectID]],"Value")</f>
        <v>"241","16"</v>
      </c>
    </row>
    <row r="262" spans="2:11" x14ac:dyDescent="0.25">
      <c r="B262">
        <v>260</v>
      </c>
      <c r="C262">
        <v>242</v>
      </c>
      <c r="D262">
        <v>17</v>
      </c>
      <c r="F262" t="s">
        <v>300</v>
      </c>
      <c r="G262" t="s">
        <v>301</v>
      </c>
      <c r="J262" t="str">
        <f t="shared" si="4"/>
        <v>(NULL,"242","17"),</v>
      </c>
      <c r="K262" t="str">
        <f>TextJoin(tblClassSubjs[[#This Row],[ClassID]:[SubjectID]],"Value")</f>
        <v>"242","17"</v>
      </c>
    </row>
    <row r="263" spans="2:11" x14ac:dyDescent="0.25">
      <c r="B263">
        <v>261</v>
      </c>
      <c r="C263">
        <v>243</v>
      </c>
      <c r="D263">
        <v>18</v>
      </c>
      <c r="F263" t="s">
        <v>302</v>
      </c>
      <c r="G263" t="s">
        <v>303</v>
      </c>
      <c r="J263" t="str">
        <f t="shared" si="4"/>
        <v>(NULL,"243","18"),</v>
      </c>
      <c r="K263" t="str">
        <f>TextJoin(tblClassSubjs[[#This Row],[ClassID]:[SubjectID]],"Value")</f>
        <v>"243","18"</v>
      </c>
    </row>
    <row r="264" spans="2:11" x14ac:dyDescent="0.25">
      <c r="B264">
        <v>262</v>
      </c>
      <c r="C264">
        <v>244</v>
      </c>
      <c r="D264">
        <v>19</v>
      </c>
      <c r="F264" t="s">
        <v>304</v>
      </c>
      <c r="G264" t="s">
        <v>305</v>
      </c>
      <c r="J264" t="str">
        <f t="shared" si="4"/>
        <v>(NULL,"244","19"),</v>
      </c>
      <c r="K264" t="str">
        <f>TextJoin(tblClassSubjs[[#This Row],[ClassID]:[SubjectID]],"Value")</f>
        <v>"244","19"</v>
      </c>
    </row>
    <row r="265" spans="2:11" x14ac:dyDescent="0.25">
      <c r="B265">
        <v>263</v>
      </c>
      <c r="C265">
        <v>245</v>
      </c>
      <c r="D265">
        <v>92</v>
      </c>
      <c r="F265" t="s">
        <v>291</v>
      </c>
      <c r="G265" t="s">
        <v>439</v>
      </c>
      <c r="J265" t="str">
        <f t="shared" si="4"/>
        <v>(NULL,"245","92"),</v>
      </c>
      <c r="K265" t="str">
        <f>TextJoin(tblClassSubjs[[#This Row],[ClassID]:[SubjectID]],"Value")</f>
        <v>"245","92"</v>
      </c>
    </row>
    <row r="266" spans="2:11" x14ac:dyDescent="0.25">
      <c r="B266">
        <v>264</v>
      </c>
      <c r="C266">
        <v>246</v>
      </c>
      <c r="D266">
        <v>93</v>
      </c>
      <c r="F266" t="s">
        <v>273</v>
      </c>
      <c r="G266" t="s">
        <v>440</v>
      </c>
      <c r="J266" t="str">
        <f t="shared" si="4"/>
        <v>(NULL,"246","93"),</v>
      </c>
      <c r="K266" t="str">
        <f>TextJoin(tblClassSubjs[[#This Row],[ClassID]:[SubjectID]],"Value")</f>
        <v>"246","93"</v>
      </c>
    </row>
    <row r="267" spans="2:11" x14ac:dyDescent="0.25">
      <c r="B267">
        <v>265</v>
      </c>
      <c r="C267">
        <v>247</v>
      </c>
      <c r="D267">
        <v>94</v>
      </c>
      <c r="F267" t="s">
        <v>441</v>
      </c>
      <c r="G267" t="s">
        <v>442</v>
      </c>
      <c r="J267" t="str">
        <f t="shared" si="4"/>
        <v>(NULL,"247","94"),</v>
      </c>
      <c r="K267" t="str">
        <f>TextJoin(tblClassSubjs[[#This Row],[ClassID]:[SubjectID]],"Value")</f>
        <v>"247","94"</v>
      </c>
    </row>
    <row r="268" spans="2:11" x14ac:dyDescent="0.25">
      <c r="B268">
        <v>266</v>
      </c>
      <c r="C268">
        <v>248</v>
      </c>
      <c r="D268">
        <v>95</v>
      </c>
      <c r="F268" t="s">
        <v>443</v>
      </c>
      <c r="G268" t="s">
        <v>444</v>
      </c>
      <c r="J268" t="str">
        <f t="shared" si="4"/>
        <v>(NULL,"248","95"),</v>
      </c>
      <c r="K268" t="str">
        <f>TextJoin(tblClassSubjs[[#This Row],[ClassID]:[SubjectID]],"Value")</f>
        <v>"248","95"</v>
      </c>
    </row>
    <row r="269" spans="2:11" x14ac:dyDescent="0.25">
      <c r="B269">
        <v>267</v>
      </c>
      <c r="C269">
        <v>249</v>
      </c>
      <c r="D269">
        <v>96</v>
      </c>
      <c r="F269" t="s">
        <v>445</v>
      </c>
      <c r="G269" t="s">
        <v>446</v>
      </c>
      <c r="J269" t="str">
        <f t="shared" si="4"/>
        <v>(NULL,"249","96"),</v>
      </c>
      <c r="K269" t="str">
        <f>TextJoin(tblClassSubjs[[#This Row],[ClassID]:[SubjectID]],"Value")</f>
        <v>"249","96"</v>
      </c>
    </row>
    <row r="270" spans="2:11" x14ac:dyDescent="0.25">
      <c r="B270">
        <v>268</v>
      </c>
      <c r="C270">
        <v>250</v>
      </c>
      <c r="D270">
        <v>98</v>
      </c>
      <c r="F270" t="s">
        <v>304</v>
      </c>
      <c r="G270" t="s">
        <v>305</v>
      </c>
      <c r="J270" t="str">
        <f t="shared" si="4"/>
        <v>(NULL,"250","98"),</v>
      </c>
      <c r="K270" t="str">
        <f>TextJoin(tblClassSubjs[[#This Row],[ClassID]:[SubjectID]],"Value")</f>
        <v>"250","98"</v>
      </c>
    </row>
    <row r="271" spans="2:11" x14ac:dyDescent="0.25">
      <c r="B271">
        <v>269</v>
      </c>
      <c r="C271">
        <v>251</v>
      </c>
      <c r="D271">
        <v>99</v>
      </c>
      <c r="F271" t="s">
        <v>448</v>
      </c>
      <c r="G271" t="s">
        <v>311</v>
      </c>
      <c r="J271" t="str">
        <f t="shared" si="4"/>
        <v>(NULL,"251","99"),</v>
      </c>
      <c r="K271" t="str">
        <f>TextJoin(tblClassSubjs[[#This Row],[ClassID]:[SubjectID]],"Value")</f>
        <v>"251","99"</v>
      </c>
    </row>
    <row r="272" spans="2:11" x14ac:dyDescent="0.25">
      <c r="B272">
        <v>270</v>
      </c>
      <c r="C272">
        <v>252</v>
      </c>
      <c r="D272">
        <v>28</v>
      </c>
      <c r="F272" t="s">
        <v>322</v>
      </c>
      <c r="G272" t="s">
        <v>323</v>
      </c>
      <c r="J272" t="str">
        <f t="shared" si="4"/>
        <v>(NULL,"252","28"),</v>
      </c>
      <c r="K272" t="str">
        <f>TextJoin(tblClassSubjs[[#This Row],[ClassID]:[SubjectID]],"Value")</f>
        <v>"252","28"</v>
      </c>
    </row>
    <row r="273" spans="2:11" x14ac:dyDescent="0.25">
      <c r="B273">
        <v>271</v>
      </c>
      <c r="C273">
        <v>253</v>
      </c>
      <c r="D273">
        <v>29</v>
      </c>
      <c r="F273" t="s">
        <v>324</v>
      </c>
      <c r="G273" t="s">
        <v>325</v>
      </c>
      <c r="J273" t="str">
        <f t="shared" si="4"/>
        <v>(NULL,"253","29"),</v>
      </c>
      <c r="K273" t="str">
        <f>TextJoin(tblClassSubjs[[#This Row],[ClassID]:[SubjectID]],"Value")</f>
        <v>"253","29"</v>
      </c>
    </row>
    <row r="274" spans="2:11" x14ac:dyDescent="0.25">
      <c r="B274">
        <v>272</v>
      </c>
      <c r="C274">
        <v>254</v>
      </c>
      <c r="D274">
        <v>30</v>
      </c>
      <c r="F274" t="s">
        <v>326</v>
      </c>
      <c r="G274" t="s">
        <v>327</v>
      </c>
      <c r="J274" t="str">
        <f t="shared" si="4"/>
        <v>(NULL,"254","30"),</v>
      </c>
      <c r="K274" t="str">
        <f>TextJoin(tblClassSubjs[[#This Row],[ClassID]:[SubjectID]],"Value")</f>
        <v>"254","30"</v>
      </c>
    </row>
    <row r="275" spans="2:11" x14ac:dyDescent="0.25">
      <c r="B275">
        <v>273</v>
      </c>
      <c r="C275">
        <v>255</v>
      </c>
      <c r="D275">
        <v>31</v>
      </c>
      <c r="F275" t="s">
        <v>328</v>
      </c>
      <c r="G275" t="s">
        <v>329</v>
      </c>
      <c r="J275" t="str">
        <f t="shared" si="4"/>
        <v>(NULL,"255","31"),</v>
      </c>
      <c r="K275" t="str">
        <f>TextJoin(tblClassSubjs[[#This Row],[ClassID]:[SubjectID]],"Value")</f>
        <v>"255","31"</v>
      </c>
    </row>
    <row r="276" spans="2:11" x14ac:dyDescent="0.25">
      <c r="B276">
        <v>274</v>
      </c>
      <c r="C276">
        <v>256</v>
      </c>
      <c r="D276">
        <v>32</v>
      </c>
      <c r="F276" t="s">
        <v>330</v>
      </c>
      <c r="G276" t="s">
        <v>331</v>
      </c>
      <c r="J276" t="str">
        <f t="shared" si="4"/>
        <v>(NULL,"256","32"),</v>
      </c>
      <c r="K276" t="str">
        <f>TextJoin(tblClassSubjs[[#This Row],[ClassID]:[SubjectID]],"Value")</f>
        <v>"256","32"</v>
      </c>
    </row>
    <row r="277" spans="2:11" x14ac:dyDescent="0.25">
      <c r="B277">
        <v>275</v>
      </c>
      <c r="C277">
        <v>257</v>
      </c>
      <c r="D277">
        <v>33</v>
      </c>
      <c r="F277" t="s">
        <v>332</v>
      </c>
      <c r="G277" t="s">
        <v>333</v>
      </c>
      <c r="J277" t="str">
        <f t="shared" si="4"/>
        <v>(NULL,"257","33"),</v>
      </c>
      <c r="K277" t="str">
        <f>TextJoin(tblClassSubjs[[#This Row],[ClassID]:[SubjectID]],"Value")</f>
        <v>"257","33"</v>
      </c>
    </row>
    <row r="278" spans="2:11" x14ac:dyDescent="0.25">
      <c r="B278">
        <v>276</v>
      </c>
      <c r="C278">
        <v>258</v>
      </c>
      <c r="D278">
        <v>34</v>
      </c>
      <c r="F278" t="s">
        <v>334</v>
      </c>
      <c r="G278" t="s">
        <v>335</v>
      </c>
      <c r="J278" t="str">
        <f t="shared" si="4"/>
        <v>(NULL,"258","34"),</v>
      </c>
      <c r="K278" t="str">
        <f>TextJoin(tblClassSubjs[[#This Row],[ClassID]:[SubjectID]],"Value")</f>
        <v>"258","34"</v>
      </c>
    </row>
    <row r="279" spans="2:11" x14ac:dyDescent="0.25">
      <c r="B279">
        <v>277</v>
      </c>
      <c r="C279">
        <v>259</v>
      </c>
      <c r="D279">
        <v>111</v>
      </c>
      <c r="F279" t="s">
        <v>460</v>
      </c>
      <c r="G279" t="s">
        <v>461</v>
      </c>
      <c r="J279" t="str">
        <f t="shared" si="4"/>
        <v>(NULL,"259","111"),</v>
      </c>
      <c r="K279" t="str">
        <f>TextJoin(tblClassSubjs[[#This Row],[ClassID]:[SubjectID]],"Value")</f>
        <v>"259","111"</v>
      </c>
    </row>
    <row r="280" spans="2:11" x14ac:dyDescent="0.25">
      <c r="B280">
        <v>278</v>
      </c>
      <c r="C280">
        <v>260</v>
      </c>
      <c r="D280">
        <v>112</v>
      </c>
      <c r="F280" t="s">
        <v>462</v>
      </c>
      <c r="G280" t="s">
        <v>401</v>
      </c>
      <c r="J280" t="str">
        <f t="shared" si="4"/>
        <v>(NULL,"260","112"),</v>
      </c>
      <c r="K280" t="str">
        <f>TextJoin(tblClassSubjs[[#This Row],[ClassID]:[SubjectID]],"Value")</f>
        <v>"260","112"</v>
      </c>
    </row>
    <row r="281" spans="2:11" x14ac:dyDescent="0.25">
      <c r="B281">
        <v>279</v>
      </c>
      <c r="C281">
        <v>261</v>
      </c>
      <c r="D281">
        <v>113</v>
      </c>
      <c r="F281" t="s">
        <v>463</v>
      </c>
      <c r="G281" t="s">
        <v>464</v>
      </c>
      <c r="J281" t="str">
        <f t="shared" si="4"/>
        <v>(NULL,"261","113"),</v>
      </c>
      <c r="K281" t="str">
        <f>TextJoin(tblClassSubjs[[#This Row],[ClassID]:[SubjectID]],"Value")</f>
        <v>"261","113"</v>
      </c>
    </row>
    <row r="282" spans="2:11" x14ac:dyDescent="0.25">
      <c r="B282">
        <v>280</v>
      </c>
      <c r="C282">
        <v>262</v>
      </c>
      <c r="D282">
        <v>114</v>
      </c>
      <c r="F282" t="s">
        <v>465</v>
      </c>
      <c r="G282" t="s">
        <v>466</v>
      </c>
      <c r="J282" t="str">
        <f t="shared" si="4"/>
        <v>(NULL,"262","114"),</v>
      </c>
      <c r="K282" t="str">
        <f>TextJoin(tblClassSubjs[[#This Row],[ClassID]:[SubjectID]],"Value")</f>
        <v>"262","114"</v>
      </c>
    </row>
    <row r="283" spans="2:11" x14ac:dyDescent="0.25">
      <c r="B283">
        <v>281</v>
      </c>
      <c r="C283">
        <v>263</v>
      </c>
      <c r="D283">
        <v>115</v>
      </c>
      <c r="F283" t="s">
        <v>467</v>
      </c>
      <c r="G283" t="s">
        <v>468</v>
      </c>
      <c r="J283" t="str">
        <f t="shared" si="4"/>
        <v>(NULL,"263","115"),</v>
      </c>
      <c r="K283" t="str">
        <f>TextJoin(tblClassSubjs[[#This Row],[ClassID]:[SubjectID]],"Value")</f>
        <v>"263","115"</v>
      </c>
    </row>
    <row r="284" spans="2:11" x14ac:dyDescent="0.25">
      <c r="B284">
        <v>282</v>
      </c>
      <c r="C284">
        <v>264</v>
      </c>
      <c r="D284">
        <v>118</v>
      </c>
      <c r="F284" t="s">
        <v>472</v>
      </c>
      <c r="G284" t="s">
        <v>473</v>
      </c>
      <c r="J284" t="str">
        <f t="shared" si="4"/>
        <v>(NULL,"264","118"),</v>
      </c>
      <c r="K284" t="str">
        <f>TextJoin(tblClassSubjs[[#This Row],[ClassID]:[SubjectID]],"Value")</f>
        <v>"264","118"</v>
      </c>
    </row>
    <row r="285" spans="2:11" x14ac:dyDescent="0.25">
      <c r="B285">
        <v>283</v>
      </c>
      <c r="C285">
        <v>265</v>
      </c>
      <c r="D285">
        <v>43</v>
      </c>
      <c r="F285" t="s">
        <v>352</v>
      </c>
      <c r="G285" t="s">
        <v>353</v>
      </c>
      <c r="J285" t="str">
        <f t="shared" si="4"/>
        <v>(NULL,"265","43"),</v>
      </c>
      <c r="K285" t="str">
        <f>TextJoin(tblClassSubjs[[#This Row],[ClassID]:[SubjectID]],"Value")</f>
        <v>"265","43"</v>
      </c>
    </row>
    <row r="286" spans="2:11" x14ac:dyDescent="0.25">
      <c r="B286">
        <v>284</v>
      </c>
      <c r="C286">
        <v>266</v>
      </c>
      <c r="D286">
        <v>44</v>
      </c>
      <c r="F286" t="s">
        <v>354</v>
      </c>
      <c r="G286" t="s">
        <v>355</v>
      </c>
      <c r="J286" t="str">
        <f t="shared" si="4"/>
        <v>(NULL,"266","44"),</v>
      </c>
      <c r="K286" t="str">
        <f>TextJoin(tblClassSubjs[[#This Row],[ClassID]:[SubjectID]],"Value")</f>
        <v>"266","44"</v>
      </c>
    </row>
    <row r="287" spans="2:11" x14ac:dyDescent="0.25">
      <c r="B287">
        <v>285</v>
      </c>
      <c r="C287">
        <v>267</v>
      </c>
      <c r="D287">
        <v>45</v>
      </c>
      <c r="F287" t="s">
        <v>356</v>
      </c>
      <c r="G287" t="s">
        <v>357</v>
      </c>
      <c r="J287" t="str">
        <f t="shared" si="4"/>
        <v>(NULL,"267","45"),</v>
      </c>
      <c r="K287" t="str">
        <f>TextJoin(tblClassSubjs[[#This Row],[ClassID]:[SubjectID]],"Value")</f>
        <v>"267","45"</v>
      </c>
    </row>
    <row r="288" spans="2:11" x14ac:dyDescent="0.25">
      <c r="B288">
        <v>286</v>
      </c>
      <c r="C288">
        <v>268</v>
      </c>
      <c r="D288">
        <v>46</v>
      </c>
      <c r="F288" t="s">
        <v>358</v>
      </c>
      <c r="G288" t="s">
        <v>359</v>
      </c>
      <c r="J288" t="str">
        <f t="shared" si="4"/>
        <v>(NULL,"268","46"),</v>
      </c>
      <c r="K288" t="str">
        <f>TextJoin(tblClassSubjs[[#This Row],[ClassID]:[SubjectID]],"Value")</f>
        <v>"268","46"</v>
      </c>
    </row>
    <row r="289" spans="2:11" x14ac:dyDescent="0.25">
      <c r="B289">
        <v>287</v>
      </c>
      <c r="C289">
        <v>269</v>
      </c>
      <c r="D289">
        <v>47</v>
      </c>
      <c r="F289" t="s">
        <v>360</v>
      </c>
      <c r="G289" t="s">
        <v>361</v>
      </c>
      <c r="J289" t="str">
        <f t="shared" si="4"/>
        <v>(NULL,"269","47"),</v>
      </c>
      <c r="K289" t="str">
        <f>TextJoin(tblClassSubjs[[#This Row],[ClassID]:[SubjectID]],"Value")</f>
        <v>"269","47"</v>
      </c>
    </row>
    <row r="290" spans="2:11" x14ac:dyDescent="0.25">
      <c r="B290">
        <v>288</v>
      </c>
      <c r="C290">
        <v>270</v>
      </c>
      <c r="D290">
        <v>48</v>
      </c>
      <c r="F290" t="s">
        <v>362</v>
      </c>
      <c r="G290" t="s">
        <v>363</v>
      </c>
      <c r="J290" t="str">
        <f t="shared" si="4"/>
        <v>(NULL,"270","48"),</v>
      </c>
      <c r="K290" t="str">
        <f>TextJoin(tblClassSubjs[[#This Row],[ClassID]:[SubjectID]],"Value")</f>
        <v>"270","48"</v>
      </c>
    </row>
    <row r="291" spans="2:11" x14ac:dyDescent="0.25">
      <c r="B291">
        <v>289</v>
      </c>
      <c r="C291">
        <v>271</v>
      </c>
      <c r="D291">
        <v>49</v>
      </c>
      <c r="F291" t="s">
        <v>364</v>
      </c>
      <c r="G291" t="s">
        <v>365</v>
      </c>
      <c r="J291" t="str">
        <f t="shared" si="4"/>
        <v>(NULL,"271","49"),</v>
      </c>
      <c r="K291" t="str">
        <f>TextJoin(tblClassSubjs[[#This Row],[ClassID]:[SubjectID]],"Value")</f>
        <v>"271","49"</v>
      </c>
    </row>
    <row r="292" spans="2:11" x14ac:dyDescent="0.25">
      <c r="B292">
        <v>290</v>
      </c>
      <c r="C292">
        <v>272</v>
      </c>
      <c r="D292">
        <v>50</v>
      </c>
      <c r="F292" t="s">
        <v>366</v>
      </c>
      <c r="G292" t="s">
        <v>367</v>
      </c>
      <c r="J292" t="str">
        <f t="shared" si="4"/>
        <v>(NULL,"272","50"),</v>
      </c>
      <c r="K292" t="str">
        <f>TextJoin(tblClassSubjs[[#This Row],[ClassID]:[SubjectID]],"Value")</f>
        <v>"272","50"</v>
      </c>
    </row>
    <row r="293" spans="2:11" x14ac:dyDescent="0.25">
      <c r="B293">
        <v>291</v>
      </c>
      <c r="C293">
        <v>273</v>
      </c>
      <c r="D293">
        <v>128</v>
      </c>
      <c r="F293" t="s">
        <v>486</v>
      </c>
      <c r="G293" t="s">
        <v>419</v>
      </c>
      <c r="J293" t="str">
        <f t="shared" si="4"/>
        <v>(NULL,"273","128"),</v>
      </c>
      <c r="K293" t="str">
        <f>TextJoin(tblClassSubjs[[#This Row],[ClassID]:[SubjectID]],"Value")</f>
        <v>"273","128"</v>
      </c>
    </row>
    <row r="294" spans="2:11" x14ac:dyDescent="0.25">
      <c r="B294">
        <v>292</v>
      </c>
      <c r="C294">
        <v>274</v>
      </c>
      <c r="D294">
        <v>129</v>
      </c>
      <c r="F294" t="s">
        <v>487</v>
      </c>
      <c r="G294" t="s">
        <v>488</v>
      </c>
      <c r="J294" t="str">
        <f t="shared" si="4"/>
        <v>(NULL,"274","129"),</v>
      </c>
      <c r="K294" t="str">
        <f>TextJoin(tblClassSubjs[[#This Row],[ClassID]:[SubjectID]],"Value")</f>
        <v>"274","129"</v>
      </c>
    </row>
    <row r="295" spans="2:11" x14ac:dyDescent="0.25">
      <c r="B295">
        <v>293</v>
      </c>
      <c r="C295">
        <v>275</v>
      </c>
      <c r="D295">
        <v>130</v>
      </c>
      <c r="F295" t="s">
        <v>489</v>
      </c>
      <c r="G295" t="s">
        <v>490</v>
      </c>
      <c r="J295" t="str">
        <f t="shared" si="4"/>
        <v>(NULL,"275","130"),</v>
      </c>
      <c r="K295" t="str">
        <f>TextJoin(tblClassSubjs[[#This Row],[ClassID]:[SubjectID]],"Value")</f>
        <v>"275","130"</v>
      </c>
    </row>
    <row r="296" spans="2:11" x14ac:dyDescent="0.25">
      <c r="B296">
        <v>294</v>
      </c>
      <c r="C296">
        <v>276</v>
      </c>
      <c r="D296">
        <v>131</v>
      </c>
      <c r="F296" t="s">
        <v>491</v>
      </c>
      <c r="G296" t="s">
        <v>492</v>
      </c>
      <c r="J296" t="str">
        <f t="shared" si="4"/>
        <v>(NULL,"276","131"),</v>
      </c>
      <c r="K296" t="str">
        <f>TextJoin(tblClassSubjs[[#This Row],[ClassID]:[SubjectID]],"Value")</f>
        <v>"276","131"</v>
      </c>
    </row>
    <row r="297" spans="2:11" x14ac:dyDescent="0.25">
      <c r="B297">
        <v>295</v>
      </c>
      <c r="C297">
        <v>277</v>
      </c>
      <c r="D297">
        <v>132</v>
      </c>
      <c r="F297" t="s">
        <v>493</v>
      </c>
      <c r="G297" t="s">
        <v>415</v>
      </c>
      <c r="J297" t="str">
        <f t="shared" si="4"/>
        <v>(NULL,"277","132"),</v>
      </c>
      <c r="K297" t="str">
        <f>TextJoin(tblClassSubjs[[#This Row],[ClassID]:[SubjectID]],"Value")</f>
        <v>"277","132"</v>
      </c>
    </row>
    <row r="298" spans="2:11" x14ac:dyDescent="0.25">
      <c r="B298">
        <v>296</v>
      </c>
      <c r="C298">
        <v>278</v>
      </c>
      <c r="D298">
        <v>133</v>
      </c>
      <c r="F298" t="s">
        <v>494</v>
      </c>
      <c r="G298" t="s">
        <v>385</v>
      </c>
      <c r="J298" t="str">
        <f t="shared" si="4"/>
        <v>(NULL,"278","133"),</v>
      </c>
      <c r="K298" t="str">
        <f>TextJoin(tblClassSubjs[[#This Row],[ClassID]:[SubjectID]],"Value")</f>
        <v>"278","133"</v>
      </c>
    </row>
    <row r="299" spans="2:11" x14ac:dyDescent="0.25">
      <c r="B299">
        <v>297</v>
      </c>
      <c r="C299">
        <v>279</v>
      </c>
      <c r="D299">
        <v>134</v>
      </c>
      <c r="F299" t="s">
        <v>495</v>
      </c>
      <c r="G299" t="s">
        <v>496</v>
      </c>
      <c r="J299" t="str">
        <f t="shared" si="4"/>
        <v>(NULL,"279","134"),</v>
      </c>
      <c r="K299" t="str">
        <f>TextJoin(tblClassSubjs[[#This Row],[ClassID]:[SubjectID]],"Value")</f>
        <v>"279","134"</v>
      </c>
    </row>
    <row r="300" spans="2:11" x14ac:dyDescent="0.25">
      <c r="B300">
        <v>298</v>
      </c>
      <c r="C300">
        <v>280</v>
      </c>
      <c r="D300">
        <v>59</v>
      </c>
      <c r="F300" t="s">
        <v>384</v>
      </c>
      <c r="G300" t="s">
        <v>385</v>
      </c>
      <c r="J300" t="str">
        <f t="shared" si="4"/>
        <v>(NULL,"280","59"),</v>
      </c>
      <c r="K300" t="str">
        <f>TextJoin(tblClassSubjs[[#This Row],[ClassID]:[SubjectID]],"Value")</f>
        <v>"280","59"</v>
      </c>
    </row>
    <row r="301" spans="2:11" x14ac:dyDescent="0.25">
      <c r="B301">
        <v>299</v>
      </c>
      <c r="C301">
        <v>281</v>
      </c>
      <c r="D301">
        <v>60</v>
      </c>
      <c r="F301" t="s">
        <v>386</v>
      </c>
      <c r="G301" t="s">
        <v>387</v>
      </c>
      <c r="J301" t="str">
        <f t="shared" si="4"/>
        <v>(NULL,"281","60"),</v>
      </c>
      <c r="K301" t="str">
        <f>TextJoin(tblClassSubjs[[#This Row],[ClassID]:[SubjectID]],"Value")</f>
        <v>"281","60"</v>
      </c>
    </row>
    <row r="302" spans="2:11" x14ac:dyDescent="0.25">
      <c r="B302">
        <v>300</v>
      </c>
      <c r="C302">
        <v>282</v>
      </c>
      <c r="D302">
        <v>61</v>
      </c>
      <c r="F302" t="s">
        <v>388</v>
      </c>
      <c r="G302" t="s">
        <v>389</v>
      </c>
      <c r="J302" t="str">
        <f t="shared" si="4"/>
        <v>(NULL,"282","61"),</v>
      </c>
      <c r="K302" t="str">
        <f>TextJoin(tblClassSubjs[[#This Row],[ClassID]:[SubjectID]],"Value")</f>
        <v>"282","61"</v>
      </c>
    </row>
    <row r="303" spans="2:11" x14ac:dyDescent="0.25">
      <c r="B303">
        <v>301</v>
      </c>
      <c r="C303">
        <v>283</v>
      </c>
      <c r="D303">
        <v>62</v>
      </c>
      <c r="F303" t="s">
        <v>390</v>
      </c>
      <c r="G303" t="s">
        <v>391</v>
      </c>
      <c r="J303" t="str">
        <f t="shared" si="4"/>
        <v>(NULL,"283","62"),</v>
      </c>
      <c r="K303" t="str">
        <f>TextJoin(tblClassSubjs[[#This Row],[ClassID]:[SubjectID]],"Value")</f>
        <v>"283","62"</v>
      </c>
    </row>
    <row r="304" spans="2:11" x14ac:dyDescent="0.25">
      <c r="B304">
        <v>302</v>
      </c>
      <c r="C304">
        <v>284</v>
      </c>
      <c r="D304">
        <v>63</v>
      </c>
      <c r="F304" t="s">
        <v>392</v>
      </c>
      <c r="G304" t="s">
        <v>393</v>
      </c>
      <c r="J304" t="str">
        <f t="shared" si="4"/>
        <v>(NULL,"284","63"),</v>
      </c>
      <c r="K304" t="str">
        <f>TextJoin(tblClassSubjs[[#This Row],[ClassID]:[SubjectID]],"Value")</f>
        <v>"284","63"</v>
      </c>
    </row>
    <row r="305" spans="2:11" x14ac:dyDescent="0.25">
      <c r="B305">
        <v>303</v>
      </c>
      <c r="C305">
        <v>285</v>
      </c>
      <c r="D305">
        <v>64</v>
      </c>
      <c r="F305" t="s">
        <v>394</v>
      </c>
      <c r="G305" t="s">
        <v>371</v>
      </c>
      <c r="J305" t="str">
        <f t="shared" si="4"/>
        <v>(NULL,"285","64"),</v>
      </c>
      <c r="K305" t="str">
        <f>TextJoin(tblClassSubjs[[#This Row],[ClassID]:[SubjectID]],"Value")</f>
        <v>"285","64"</v>
      </c>
    </row>
    <row r="306" spans="2:11" x14ac:dyDescent="0.25">
      <c r="B306">
        <v>304</v>
      </c>
      <c r="C306">
        <v>286</v>
      </c>
      <c r="D306">
        <v>65</v>
      </c>
      <c r="F306" t="s">
        <v>395</v>
      </c>
      <c r="G306" t="s">
        <v>396</v>
      </c>
      <c r="J306" t="str">
        <f t="shared" si="4"/>
        <v>(NULL,"286","65"),</v>
      </c>
      <c r="K306" t="str">
        <f>TextJoin(tblClassSubjs[[#This Row],[ClassID]:[SubjectID]],"Value")</f>
        <v>"286","65"</v>
      </c>
    </row>
    <row r="307" spans="2:11" x14ac:dyDescent="0.25">
      <c r="B307">
        <v>305</v>
      </c>
      <c r="C307">
        <v>287</v>
      </c>
      <c r="D307">
        <v>142</v>
      </c>
      <c r="F307" t="s">
        <v>509</v>
      </c>
      <c r="G307" t="s">
        <v>510</v>
      </c>
      <c r="J307" t="str">
        <f t="shared" si="4"/>
        <v>(NULL,"287","142"),</v>
      </c>
      <c r="K307" t="str">
        <f>TextJoin(tblClassSubjs[[#This Row],[ClassID]:[SubjectID]],"Value")</f>
        <v>"287","142"</v>
      </c>
    </row>
    <row r="308" spans="2:11" x14ac:dyDescent="0.25">
      <c r="B308">
        <v>306</v>
      </c>
      <c r="C308">
        <v>288</v>
      </c>
      <c r="D308">
        <v>143</v>
      </c>
      <c r="F308" t="s">
        <v>511</v>
      </c>
      <c r="G308" t="s">
        <v>512</v>
      </c>
      <c r="J308" t="str">
        <f t="shared" si="4"/>
        <v>(NULL,"288","143"),</v>
      </c>
      <c r="K308" t="str">
        <f>TextJoin(tblClassSubjs[[#This Row],[ClassID]:[SubjectID]],"Value")</f>
        <v>"288","143"</v>
      </c>
    </row>
    <row r="309" spans="2:11" x14ac:dyDescent="0.25">
      <c r="B309">
        <v>307</v>
      </c>
      <c r="C309">
        <v>289</v>
      </c>
      <c r="D309">
        <v>144</v>
      </c>
      <c r="F309" t="s">
        <v>513</v>
      </c>
      <c r="G309" t="s">
        <v>514</v>
      </c>
      <c r="J309" t="str">
        <f t="shared" si="4"/>
        <v>(NULL,"289","144"),</v>
      </c>
      <c r="K309" t="str">
        <f>TextJoin(tblClassSubjs[[#This Row],[ClassID]:[SubjectID]],"Value")</f>
        <v>"289","144"</v>
      </c>
    </row>
    <row r="310" spans="2:11" x14ac:dyDescent="0.25">
      <c r="B310">
        <v>308</v>
      </c>
      <c r="C310">
        <v>290</v>
      </c>
      <c r="D310">
        <v>145</v>
      </c>
      <c r="F310" t="s">
        <v>515</v>
      </c>
      <c r="G310" t="s">
        <v>508</v>
      </c>
      <c r="J310" t="str">
        <f t="shared" si="4"/>
        <v>(NULL,"290","145"),</v>
      </c>
      <c r="K310" t="str">
        <f>TextJoin(tblClassSubjs[[#This Row],[ClassID]:[SubjectID]],"Value")</f>
        <v>"290","145"</v>
      </c>
    </row>
    <row r="311" spans="2:11" x14ac:dyDescent="0.25">
      <c r="B311">
        <v>309</v>
      </c>
      <c r="C311">
        <v>291</v>
      </c>
      <c r="D311">
        <v>146</v>
      </c>
      <c r="F311" t="s">
        <v>516</v>
      </c>
      <c r="G311" t="s">
        <v>427</v>
      </c>
      <c r="J311" t="str">
        <f t="shared" si="4"/>
        <v>(NULL,"291","146"),</v>
      </c>
      <c r="K311" t="str">
        <f>TextJoin(tblClassSubjs[[#This Row],[ClassID]:[SubjectID]],"Value")</f>
        <v>"291","146"</v>
      </c>
    </row>
    <row r="312" spans="2:11" x14ac:dyDescent="0.25">
      <c r="B312">
        <v>310</v>
      </c>
      <c r="C312">
        <v>292</v>
      </c>
      <c r="D312">
        <v>75</v>
      </c>
      <c r="F312" t="s">
        <v>416</v>
      </c>
      <c r="G312" t="s">
        <v>417</v>
      </c>
      <c r="J312" t="str">
        <f t="shared" si="4"/>
        <v>(NULL,"292","75"),</v>
      </c>
      <c r="K312" t="str">
        <f>TextJoin(tblClassSubjs[[#This Row],[ClassID]:[SubjectID]],"Value")</f>
        <v>"292","75"</v>
      </c>
    </row>
    <row r="313" spans="2:11" x14ac:dyDescent="0.25">
      <c r="B313">
        <v>311</v>
      </c>
      <c r="C313">
        <v>293</v>
      </c>
      <c r="D313">
        <v>76</v>
      </c>
      <c r="F313" t="s">
        <v>418</v>
      </c>
      <c r="G313" t="s">
        <v>419</v>
      </c>
      <c r="J313" t="str">
        <f t="shared" si="4"/>
        <v>(NULL,"293","76"),</v>
      </c>
      <c r="K313" t="str">
        <f>TextJoin(tblClassSubjs[[#This Row],[ClassID]:[SubjectID]],"Value")</f>
        <v>"293","76"</v>
      </c>
    </row>
    <row r="314" spans="2:11" x14ac:dyDescent="0.25">
      <c r="B314">
        <v>312</v>
      </c>
      <c r="C314">
        <v>294</v>
      </c>
      <c r="D314">
        <v>77</v>
      </c>
      <c r="F314" t="s">
        <v>420</v>
      </c>
      <c r="G314" t="s">
        <v>421</v>
      </c>
      <c r="J314" t="str">
        <f t="shared" si="4"/>
        <v>(NULL,"294","77"),</v>
      </c>
      <c r="K314" t="str">
        <f>TextJoin(tblClassSubjs[[#This Row],[ClassID]:[SubjectID]],"Value")</f>
        <v>"294","77"</v>
      </c>
    </row>
    <row r="315" spans="2:11" x14ac:dyDescent="0.25">
      <c r="B315">
        <v>313</v>
      </c>
      <c r="C315">
        <v>295</v>
      </c>
      <c r="D315">
        <v>78</v>
      </c>
      <c r="F315" t="s">
        <v>422</v>
      </c>
      <c r="G315" t="s">
        <v>423</v>
      </c>
      <c r="J315" t="str">
        <f t="shared" si="4"/>
        <v>(NULL,"295","78"),</v>
      </c>
      <c r="K315" t="str">
        <f>TextJoin(tblClassSubjs[[#This Row],[ClassID]:[SubjectID]],"Value")</f>
        <v>"295","78"</v>
      </c>
    </row>
    <row r="316" spans="2:11" x14ac:dyDescent="0.25">
      <c r="B316">
        <v>314</v>
      </c>
      <c r="C316">
        <v>296</v>
      </c>
      <c r="D316">
        <v>79</v>
      </c>
      <c r="F316" t="s">
        <v>424</v>
      </c>
      <c r="G316" t="s">
        <v>425</v>
      </c>
      <c r="J316" t="str">
        <f t="shared" si="4"/>
        <v>(NULL,"296","79"),</v>
      </c>
      <c r="K316" t="str">
        <f>TextJoin(tblClassSubjs[[#This Row],[ClassID]:[SubjectID]],"Value")</f>
        <v>"296","79"</v>
      </c>
    </row>
    <row r="317" spans="2:11" x14ac:dyDescent="0.25">
      <c r="B317">
        <v>315</v>
      </c>
      <c r="C317">
        <v>297</v>
      </c>
      <c r="D317">
        <v>80</v>
      </c>
      <c r="E317" s="29"/>
      <c r="F317" s="29" t="s">
        <v>426</v>
      </c>
      <c r="G317" s="29" t="s">
        <v>427</v>
      </c>
      <c r="H317" s="29">
        <v>5</v>
      </c>
      <c r="J317" t="str">
        <f t="shared" si="4"/>
        <v>(NULL,"297","80"),</v>
      </c>
      <c r="K317" t="str">
        <f>TextJoin(tblClassSubjs[[#This Row],[ClassID]:[SubjectID]],"Value")</f>
        <v>"297","80"</v>
      </c>
    </row>
    <row r="318" spans="2:11" x14ac:dyDescent="0.25">
      <c r="B318">
        <v>316</v>
      </c>
      <c r="C318">
        <v>298</v>
      </c>
      <c r="D318">
        <v>1</v>
      </c>
      <c r="F318" t="s">
        <v>269</v>
      </c>
      <c r="G318" t="s">
        <v>270</v>
      </c>
      <c r="H318">
        <v>6</v>
      </c>
      <c r="J318" t="str">
        <f t="shared" si="4"/>
        <v>(NULL,"298","1"),</v>
      </c>
      <c r="K318" t="str">
        <f>TextJoin(tblClassSubjs[[#This Row],[ClassID]:[SubjectID]],"Value")</f>
        <v>"298","1"</v>
      </c>
    </row>
    <row r="319" spans="2:11" x14ac:dyDescent="0.25">
      <c r="B319">
        <v>317</v>
      </c>
      <c r="C319">
        <v>299</v>
      </c>
      <c r="D319">
        <v>2</v>
      </c>
      <c r="F319" t="s">
        <v>271</v>
      </c>
      <c r="G319" t="s">
        <v>272</v>
      </c>
      <c r="J319" t="str">
        <f t="shared" si="4"/>
        <v>(NULL,"299","2"),</v>
      </c>
      <c r="K319" t="str">
        <f>TextJoin(tblClassSubjs[[#This Row],[ClassID]:[SubjectID]],"Value")</f>
        <v>"299","2"</v>
      </c>
    </row>
    <row r="320" spans="2:11" x14ac:dyDescent="0.25">
      <c r="B320">
        <v>318</v>
      </c>
      <c r="C320">
        <v>300</v>
      </c>
      <c r="D320">
        <v>3</v>
      </c>
      <c r="F320" t="s">
        <v>273</v>
      </c>
      <c r="G320" t="s">
        <v>274</v>
      </c>
      <c r="J320" t="str">
        <f t="shared" si="4"/>
        <v>(NULL,"300","3"),</v>
      </c>
      <c r="K320" t="str">
        <f>TextJoin(tblClassSubjs[[#This Row],[ClassID]:[SubjectID]],"Value")</f>
        <v>"300","3"</v>
      </c>
    </row>
    <row r="321" spans="2:11" x14ac:dyDescent="0.25">
      <c r="B321">
        <v>319</v>
      </c>
      <c r="C321">
        <v>301</v>
      </c>
      <c r="D321">
        <v>4</v>
      </c>
      <c r="F321" t="s">
        <v>275</v>
      </c>
      <c r="G321" t="s">
        <v>276</v>
      </c>
      <c r="J321" t="str">
        <f t="shared" si="4"/>
        <v>(NULL,"301","4"),</v>
      </c>
      <c r="K321" t="str">
        <f>TextJoin(tblClassSubjs[[#This Row],[ClassID]:[SubjectID]],"Value")</f>
        <v>"301","4"</v>
      </c>
    </row>
    <row r="322" spans="2:11" x14ac:dyDescent="0.25">
      <c r="B322">
        <v>320</v>
      </c>
      <c r="C322">
        <v>302</v>
      </c>
      <c r="D322">
        <v>5</v>
      </c>
      <c r="F322" t="s">
        <v>277</v>
      </c>
      <c r="G322" t="s">
        <v>278</v>
      </c>
      <c r="J322" t="str">
        <f t="shared" si="4"/>
        <v>(NULL,"302","5"),</v>
      </c>
      <c r="K322" t="str">
        <f>TextJoin(tblClassSubjs[[#This Row],[ClassID]:[SubjectID]],"Value")</f>
        <v>"302","5"</v>
      </c>
    </row>
    <row r="323" spans="2:11" x14ac:dyDescent="0.25">
      <c r="B323">
        <v>321</v>
      </c>
      <c r="C323">
        <v>303</v>
      </c>
      <c r="D323">
        <v>6</v>
      </c>
      <c r="F323" t="s">
        <v>279</v>
      </c>
      <c r="G323" t="s">
        <v>280</v>
      </c>
      <c r="J323" t="str">
        <f t="shared" si="4"/>
        <v>(NULL,"303","6"),</v>
      </c>
      <c r="K323" t="str">
        <f>TextJoin(tblClassSubjs[[#This Row],[ClassID]:[SubjectID]],"Value")</f>
        <v>"303","6"</v>
      </c>
    </row>
    <row r="324" spans="2:11" x14ac:dyDescent="0.25">
      <c r="B324">
        <v>322</v>
      </c>
      <c r="C324">
        <v>304</v>
      </c>
      <c r="D324">
        <v>7</v>
      </c>
      <c r="F324" t="s">
        <v>281</v>
      </c>
      <c r="G324" t="s">
        <v>282</v>
      </c>
      <c r="J324" t="str">
        <f t="shared" ref="J324:J387" si="5">"(NULL,"&amp;K324&amp;")"&amp;IF(J325&lt;&gt;"",",",";")</f>
        <v>(NULL,"304","7"),</v>
      </c>
      <c r="K324" t="str">
        <f>TextJoin(tblClassSubjs[[#This Row],[ClassID]:[SubjectID]],"Value")</f>
        <v>"304","7"</v>
      </c>
    </row>
    <row r="325" spans="2:11" x14ac:dyDescent="0.25">
      <c r="B325">
        <v>323</v>
      </c>
      <c r="C325">
        <v>305</v>
      </c>
      <c r="D325">
        <v>8</v>
      </c>
      <c r="F325" t="s">
        <v>283</v>
      </c>
      <c r="G325" t="s">
        <v>284</v>
      </c>
      <c r="J325" t="str">
        <f t="shared" si="5"/>
        <v>(NULL,"305","8"),</v>
      </c>
      <c r="K325" t="str">
        <f>TextJoin(tblClassSubjs[[#This Row],[ClassID]:[SubjectID]],"Value")</f>
        <v>"305","8"</v>
      </c>
    </row>
    <row r="326" spans="2:11" x14ac:dyDescent="0.25">
      <c r="B326">
        <v>324</v>
      </c>
      <c r="C326">
        <v>306</v>
      </c>
      <c r="D326">
        <v>9</v>
      </c>
      <c r="F326" t="s">
        <v>285</v>
      </c>
      <c r="G326" t="s">
        <v>286</v>
      </c>
      <c r="J326" t="str">
        <f t="shared" si="5"/>
        <v>(NULL,"306","9"),</v>
      </c>
      <c r="K326" t="str">
        <f>TextJoin(tblClassSubjs[[#This Row],[ClassID]:[SubjectID]],"Value")</f>
        <v>"306","9"</v>
      </c>
    </row>
    <row r="327" spans="2:11" x14ac:dyDescent="0.25">
      <c r="B327">
        <v>325</v>
      </c>
      <c r="C327">
        <v>307</v>
      </c>
      <c r="D327">
        <v>84</v>
      </c>
      <c r="F327" t="s">
        <v>429</v>
      </c>
      <c r="G327" t="s">
        <v>430</v>
      </c>
      <c r="J327" t="str">
        <f t="shared" si="5"/>
        <v>(NULL,"307","84"),</v>
      </c>
      <c r="K327" t="str">
        <f>TextJoin(tblClassSubjs[[#This Row],[ClassID]:[SubjectID]],"Value")</f>
        <v>"307","84"</v>
      </c>
    </row>
    <row r="328" spans="2:11" x14ac:dyDescent="0.25">
      <c r="B328">
        <v>326</v>
      </c>
      <c r="C328">
        <v>308</v>
      </c>
      <c r="D328">
        <v>85</v>
      </c>
      <c r="F328" t="s">
        <v>431</v>
      </c>
      <c r="G328" t="s">
        <v>432</v>
      </c>
      <c r="J328" t="str">
        <f t="shared" si="5"/>
        <v>(NULL,"308","85"),</v>
      </c>
      <c r="K328" t="str">
        <f>TextJoin(tblClassSubjs[[#This Row],[ClassID]:[SubjectID]],"Value")</f>
        <v>"308","85"</v>
      </c>
    </row>
    <row r="329" spans="2:11" x14ac:dyDescent="0.25">
      <c r="B329">
        <v>327</v>
      </c>
      <c r="C329">
        <v>309</v>
      </c>
      <c r="D329">
        <v>86</v>
      </c>
      <c r="F329" t="s">
        <v>433</v>
      </c>
      <c r="G329" t="s">
        <v>434</v>
      </c>
      <c r="J329" t="str">
        <f t="shared" si="5"/>
        <v>(NULL,"309","86"),</v>
      </c>
      <c r="K329" t="str">
        <f>TextJoin(tblClassSubjs[[#This Row],[ClassID]:[SubjectID]],"Value")</f>
        <v>"309","86"</v>
      </c>
    </row>
    <row r="330" spans="2:11" x14ac:dyDescent="0.25">
      <c r="B330">
        <v>328</v>
      </c>
      <c r="C330">
        <v>310</v>
      </c>
      <c r="D330">
        <v>87</v>
      </c>
      <c r="F330" t="s">
        <v>435</v>
      </c>
      <c r="G330" t="s">
        <v>331</v>
      </c>
      <c r="J330" t="str">
        <f t="shared" si="5"/>
        <v>(NULL,"310","87"),</v>
      </c>
      <c r="K330" t="str">
        <f>TextJoin(tblClassSubjs[[#This Row],[ClassID]:[SubjectID]],"Value")</f>
        <v>"310","87"</v>
      </c>
    </row>
    <row r="331" spans="2:11" x14ac:dyDescent="0.25">
      <c r="B331">
        <v>329</v>
      </c>
      <c r="C331">
        <v>311</v>
      </c>
      <c r="D331">
        <v>20</v>
      </c>
      <c r="F331" t="s">
        <v>306</v>
      </c>
      <c r="G331" t="s">
        <v>307</v>
      </c>
      <c r="J331" t="str">
        <f t="shared" si="5"/>
        <v>(NULL,"311","20"),</v>
      </c>
      <c r="K331" t="str">
        <f>TextJoin(tblClassSubjs[[#This Row],[ClassID]:[SubjectID]],"Value")</f>
        <v>"311","20"</v>
      </c>
    </row>
    <row r="332" spans="2:11" x14ac:dyDescent="0.25">
      <c r="B332">
        <v>330</v>
      </c>
      <c r="C332">
        <v>312</v>
      </c>
      <c r="D332">
        <v>21</v>
      </c>
      <c r="F332" t="s">
        <v>308</v>
      </c>
      <c r="G332" t="s">
        <v>309</v>
      </c>
      <c r="J332" t="str">
        <f t="shared" si="5"/>
        <v>(NULL,"312","21"),</v>
      </c>
      <c r="K332" t="str">
        <f>TextJoin(tblClassSubjs[[#This Row],[ClassID]:[SubjectID]],"Value")</f>
        <v>"312","21"</v>
      </c>
    </row>
    <row r="333" spans="2:11" x14ac:dyDescent="0.25">
      <c r="B333">
        <v>331</v>
      </c>
      <c r="C333">
        <v>313</v>
      </c>
      <c r="D333">
        <v>22</v>
      </c>
      <c r="F333" t="s">
        <v>310</v>
      </c>
      <c r="G333" t="s">
        <v>311</v>
      </c>
      <c r="J333" t="str">
        <f t="shared" si="5"/>
        <v>(NULL,"313","22"),</v>
      </c>
      <c r="K333" t="str">
        <f>TextJoin(tblClassSubjs[[#This Row],[ClassID]:[SubjectID]],"Value")</f>
        <v>"313","22"</v>
      </c>
    </row>
    <row r="334" spans="2:11" x14ac:dyDescent="0.25">
      <c r="B334">
        <v>332</v>
      </c>
      <c r="C334">
        <v>314</v>
      </c>
      <c r="D334">
        <v>23</v>
      </c>
      <c r="F334" t="s">
        <v>312</v>
      </c>
      <c r="G334" t="s">
        <v>313</v>
      </c>
      <c r="J334" t="str">
        <f t="shared" si="5"/>
        <v>(NULL,"314","23"),</v>
      </c>
      <c r="K334" t="str">
        <f>TextJoin(tblClassSubjs[[#This Row],[ClassID]:[SubjectID]],"Value")</f>
        <v>"314","23"</v>
      </c>
    </row>
    <row r="335" spans="2:11" x14ac:dyDescent="0.25">
      <c r="B335">
        <v>333</v>
      </c>
      <c r="C335">
        <v>315</v>
      </c>
      <c r="D335">
        <v>24</v>
      </c>
      <c r="F335" t="s">
        <v>314</v>
      </c>
      <c r="G335" t="s">
        <v>315</v>
      </c>
      <c r="J335" t="str">
        <f t="shared" si="5"/>
        <v>(NULL,"315","24"),</v>
      </c>
      <c r="K335" t="str">
        <f>TextJoin(tblClassSubjs[[#This Row],[ClassID]:[SubjectID]],"Value")</f>
        <v>"315","24"</v>
      </c>
    </row>
    <row r="336" spans="2:11" x14ac:dyDescent="0.25">
      <c r="B336">
        <v>334</v>
      </c>
      <c r="C336">
        <v>316</v>
      </c>
      <c r="D336">
        <v>25</v>
      </c>
      <c r="F336" t="s">
        <v>316</v>
      </c>
      <c r="G336" t="s">
        <v>317</v>
      </c>
      <c r="J336" t="str">
        <f t="shared" si="5"/>
        <v>(NULL,"316","25"),</v>
      </c>
      <c r="K336" t="str">
        <f>TextJoin(tblClassSubjs[[#This Row],[ClassID]:[SubjectID]],"Value")</f>
        <v>"316","25"</v>
      </c>
    </row>
    <row r="337" spans="2:11" x14ac:dyDescent="0.25">
      <c r="B337">
        <v>335</v>
      </c>
      <c r="C337">
        <v>317</v>
      </c>
      <c r="D337">
        <v>26</v>
      </c>
      <c r="F337" t="s">
        <v>318</v>
      </c>
      <c r="G337" t="s">
        <v>319</v>
      </c>
      <c r="J337" t="str">
        <f t="shared" si="5"/>
        <v>(NULL,"317","26"),</v>
      </c>
      <c r="K337" t="str">
        <f>TextJoin(tblClassSubjs[[#This Row],[ClassID]:[SubjectID]],"Value")</f>
        <v>"317","26"</v>
      </c>
    </row>
    <row r="338" spans="2:11" x14ac:dyDescent="0.25">
      <c r="B338">
        <v>336</v>
      </c>
      <c r="C338">
        <v>318</v>
      </c>
      <c r="D338">
        <v>27</v>
      </c>
      <c r="F338" t="s">
        <v>320</v>
      </c>
      <c r="G338" t="s">
        <v>321</v>
      </c>
      <c r="J338" t="str">
        <f t="shared" si="5"/>
        <v>(NULL,"318","27"),</v>
      </c>
      <c r="K338" t="str">
        <f>TextJoin(tblClassSubjs[[#This Row],[ClassID]:[SubjectID]],"Value")</f>
        <v>"318","27"</v>
      </c>
    </row>
    <row r="339" spans="2:11" x14ac:dyDescent="0.25">
      <c r="B339">
        <v>337</v>
      </c>
      <c r="C339">
        <v>319</v>
      </c>
      <c r="D339">
        <v>103</v>
      </c>
      <c r="F339" t="s">
        <v>450</v>
      </c>
      <c r="G339" t="s">
        <v>451</v>
      </c>
      <c r="J339" t="str">
        <f t="shared" si="5"/>
        <v>(NULL,"319","103"),</v>
      </c>
      <c r="K339" t="str">
        <f>TextJoin(tblClassSubjs[[#This Row],[ClassID]:[SubjectID]],"Value")</f>
        <v>"319","103"</v>
      </c>
    </row>
    <row r="340" spans="2:11" x14ac:dyDescent="0.25">
      <c r="B340">
        <v>338</v>
      </c>
      <c r="C340">
        <v>320</v>
      </c>
      <c r="D340">
        <v>104</v>
      </c>
      <c r="F340" t="s">
        <v>452</v>
      </c>
      <c r="G340" t="s">
        <v>453</v>
      </c>
      <c r="J340" t="str">
        <f t="shared" si="5"/>
        <v>(NULL,"320","104"),</v>
      </c>
      <c r="K340" t="str">
        <f>TextJoin(tblClassSubjs[[#This Row],[ClassID]:[SubjectID]],"Value")</f>
        <v>"320","104"</v>
      </c>
    </row>
    <row r="341" spans="2:11" x14ac:dyDescent="0.25">
      <c r="B341">
        <v>339</v>
      </c>
      <c r="C341">
        <v>321</v>
      </c>
      <c r="D341">
        <v>105</v>
      </c>
      <c r="F341" t="s">
        <v>454</v>
      </c>
      <c r="G341" t="s">
        <v>455</v>
      </c>
      <c r="J341" t="str">
        <f t="shared" si="5"/>
        <v>(NULL,"321","105"),</v>
      </c>
      <c r="K341" t="str">
        <f>TextJoin(tblClassSubjs[[#This Row],[ClassID]:[SubjectID]],"Value")</f>
        <v>"321","105"</v>
      </c>
    </row>
    <row r="342" spans="2:11" x14ac:dyDescent="0.25">
      <c r="B342">
        <v>340</v>
      </c>
      <c r="C342">
        <v>322</v>
      </c>
      <c r="D342">
        <v>106</v>
      </c>
      <c r="F342" t="s">
        <v>456</v>
      </c>
      <c r="G342" t="s">
        <v>329</v>
      </c>
      <c r="J342" t="str">
        <f t="shared" si="5"/>
        <v>(NULL,"322","106"),</v>
      </c>
      <c r="K342" t="str">
        <f>TextJoin(tblClassSubjs[[#This Row],[ClassID]:[SubjectID]],"Value")</f>
        <v>"322","106"</v>
      </c>
    </row>
    <row r="343" spans="2:11" x14ac:dyDescent="0.25">
      <c r="B343">
        <v>341</v>
      </c>
      <c r="C343">
        <v>323</v>
      </c>
      <c r="D343">
        <v>107</v>
      </c>
      <c r="F343" t="s">
        <v>457</v>
      </c>
      <c r="G343" t="s">
        <v>458</v>
      </c>
      <c r="J343" t="str">
        <f t="shared" si="5"/>
        <v>(NULL,"323","107"),</v>
      </c>
      <c r="K343" t="str">
        <f>TextJoin(tblClassSubjs[[#This Row],[ClassID]:[SubjectID]],"Value")</f>
        <v>"323","107"</v>
      </c>
    </row>
    <row r="344" spans="2:11" x14ac:dyDescent="0.25">
      <c r="B344">
        <v>342</v>
      </c>
      <c r="C344">
        <v>324</v>
      </c>
      <c r="D344">
        <v>35</v>
      </c>
      <c r="F344" t="s">
        <v>337</v>
      </c>
      <c r="G344" t="s">
        <v>338</v>
      </c>
      <c r="J344" t="str">
        <f t="shared" si="5"/>
        <v>(NULL,"324","35"),</v>
      </c>
      <c r="K344" t="str">
        <f>TextJoin(tblClassSubjs[[#This Row],[ClassID]:[SubjectID]],"Value")</f>
        <v>"324","35"</v>
      </c>
    </row>
    <row r="345" spans="2:11" x14ac:dyDescent="0.25">
      <c r="B345">
        <v>343</v>
      </c>
      <c r="C345">
        <v>325</v>
      </c>
      <c r="D345">
        <v>36</v>
      </c>
      <c r="F345" t="s">
        <v>339</v>
      </c>
      <c r="G345" t="s">
        <v>340</v>
      </c>
      <c r="J345" t="str">
        <f t="shared" si="5"/>
        <v>(NULL,"325","36"),</v>
      </c>
      <c r="K345" t="str">
        <f>TextJoin(tblClassSubjs[[#This Row],[ClassID]:[SubjectID]],"Value")</f>
        <v>"325","36"</v>
      </c>
    </row>
    <row r="346" spans="2:11" x14ac:dyDescent="0.25">
      <c r="B346">
        <v>344</v>
      </c>
      <c r="C346">
        <v>326</v>
      </c>
      <c r="D346">
        <v>37</v>
      </c>
      <c r="F346" t="s">
        <v>341</v>
      </c>
      <c r="G346" t="s">
        <v>342</v>
      </c>
      <c r="J346" t="str">
        <f t="shared" si="5"/>
        <v>(NULL,"326","37"),</v>
      </c>
      <c r="K346" t="str">
        <f>TextJoin(tblClassSubjs[[#This Row],[ClassID]:[SubjectID]],"Value")</f>
        <v>"326","37"</v>
      </c>
    </row>
    <row r="347" spans="2:11" x14ac:dyDescent="0.25">
      <c r="B347">
        <v>345</v>
      </c>
      <c r="C347">
        <v>327</v>
      </c>
      <c r="D347">
        <v>38</v>
      </c>
      <c r="F347" t="s">
        <v>343</v>
      </c>
      <c r="G347" t="s">
        <v>344</v>
      </c>
      <c r="J347" t="str">
        <f t="shared" si="5"/>
        <v>(NULL,"327","38"),</v>
      </c>
      <c r="K347" t="str">
        <f>TextJoin(tblClassSubjs[[#This Row],[ClassID]:[SubjectID]],"Value")</f>
        <v>"327","38"</v>
      </c>
    </row>
    <row r="348" spans="2:11" x14ac:dyDescent="0.25">
      <c r="B348">
        <v>346</v>
      </c>
      <c r="C348">
        <v>328</v>
      </c>
      <c r="D348">
        <v>39</v>
      </c>
      <c r="F348" t="s">
        <v>345</v>
      </c>
      <c r="G348" t="s">
        <v>346</v>
      </c>
      <c r="J348" t="str">
        <f t="shared" si="5"/>
        <v>(NULL,"328","39"),</v>
      </c>
      <c r="K348" t="str">
        <f>TextJoin(tblClassSubjs[[#This Row],[ClassID]:[SubjectID]],"Value")</f>
        <v>"328","39"</v>
      </c>
    </row>
    <row r="349" spans="2:11" x14ac:dyDescent="0.25">
      <c r="B349">
        <v>347</v>
      </c>
      <c r="C349">
        <v>329</v>
      </c>
      <c r="D349">
        <v>40</v>
      </c>
      <c r="F349" t="s">
        <v>347</v>
      </c>
      <c r="G349" t="s">
        <v>348</v>
      </c>
      <c r="J349" t="str">
        <f t="shared" si="5"/>
        <v>(NULL,"329","40"),</v>
      </c>
      <c r="K349" t="str">
        <f>TextJoin(tblClassSubjs[[#This Row],[ClassID]:[SubjectID]],"Value")</f>
        <v>"329","40"</v>
      </c>
    </row>
    <row r="350" spans="2:11" x14ac:dyDescent="0.25">
      <c r="B350">
        <v>348</v>
      </c>
      <c r="C350">
        <v>330</v>
      </c>
      <c r="D350">
        <v>41</v>
      </c>
      <c r="F350" t="s">
        <v>349</v>
      </c>
      <c r="G350" t="s">
        <v>350</v>
      </c>
      <c r="J350" t="str">
        <f t="shared" si="5"/>
        <v>(NULL,"330","41"),</v>
      </c>
      <c r="K350" t="str">
        <f>TextJoin(tblClassSubjs[[#This Row],[ClassID]:[SubjectID]],"Value")</f>
        <v>"330","41"</v>
      </c>
    </row>
    <row r="351" spans="2:11" x14ac:dyDescent="0.25">
      <c r="B351">
        <v>349</v>
      </c>
      <c r="C351">
        <v>331</v>
      </c>
      <c r="D351">
        <v>42</v>
      </c>
      <c r="F351" t="s">
        <v>351</v>
      </c>
      <c r="G351" t="s">
        <v>610</v>
      </c>
      <c r="J351" t="str">
        <f t="shared" si="5"/>
        <v>(NULL,"331","42"),</v>
      </c>
      <c r="K351" t="str">
        <f>TextJoin(tblClassSubjs[[#This Row],[ClassID]:[SubjectID]],"Value")</f>
        <v>"331","42"</v>
      </c>
    </row>
    <row r="352" spans="2:11" x14ac:dyDescent="0.25">
      <c r="B352">
        <v>350</v>
      </c>
      <c r="C352">
        <v>332</v>
      </c>
      <c r="D352">
        <v>120</v>
      </c>
      <c r="F352" t="s">
        <v>475</v>
      </c>
      <c r="G352" t="s">
        <v>476</v>
      </c>
      <c r="J352" t="str">
        <f t="shared" si="5"/>
        <v>(NULL,"332","120"),</v>
      </c>
      <c r="K352" t="str">
        <f>TextJoin(tblClassSubjs[[#This Row],[ClassID]:[SubjectID]],"Value")</f>
        <v>"332","120"</v>
      </c>
    </row>
    <row r="353" spans="2:11" x14ac:dyDescent="0.25">
      <c r="B353">
        <v>351</v>
      </c>
      <c r="C353">
        <v>333</v>
      </c>
      <c r="D353">
        <v>121</v>
      </c>
      <c r="F353" t="s">
        <v>477</v>
      </c>
      <c r="G353" t="s">
        <v>389</v>
      </c>
      <c r="J353" t="str">
        <f t="shared" si="5"/>
        <v>(NULL,"333","121"),</v>
      </c>
      <c r="K353" t="str">
        <f>TextJoin(tblClassSubjs[[#This Row],[ClassID]:[SubjectID]],"Value")</f>
        <v>"333","121"</v>
      </c>
    </row>
    <row r="354" spans="2:11" x14ac:dyDescent="0.25">
      <c r="B354">
        <v>352</v>
      </c>
      <c r="C354">
        <v>334</v>
      </c>
      <c r="D354">
        <v>122</v>
      </c>
      <c r="F354" t="s">
        <v>478</v>
      </c>
      <c r="G354" t="s">
        <v>479</v>
      </c>
      <c r="J354" t="str">
        <f t="shared" si="5"/>
        <v>(NULL,"334","122"),</v>
      </c>
      <c r="K354" t="str">
        <f>TextJoin(tblClassSubjs[[#This Row],[ClassID]:[SubjectID]],"Value")</f>
        <v>"334","122"</v>
      </c>
    </row>
    <row r="355" spans="2:11" x14ac:dyDescent="0.25">
      <c r="B355">
        <v>353</v>
      </c>
      <c r="C355">
        <v>335</v>
      </c>
      <c r="D355">
        <v>123</v>
      </c>
      <c r="F355" t="s">
        <v>480</v>
      </c>
      <c r="G355" t="s">
        <v>359</v>
      </c>
      <c r="J355" t="str">
        <f t="shared" si="5"/>
        <v>(NULL,"335","123"),</v>
      </c>
      <c r="K355" t="str">
        <f>TextJoin(tblClassSubjs[[#This Row],[ClassID]:[SubjectID]],"Value")</f>
        <v>"335","123"</v>
      </c>
    </row>
    <row r="356" spans="2:11" x14ac:dyDescent="0.25">
      <c r="B356">
        <v>354</v>
      </c>
      <c r="C356">
        <v>336</v>
      </c>
      <c r="D356">
        <v>124</v>
      </c>
      <c r="F356" t="s">
        <v>481</v>
      </c>
      <c r="G356" t="s">
        <v>298</v>
      </c>
      <c r="J356" t="str">
        <f t="shared" si="5"/>
        <v>(NULL,"336","124"),</v>
      </c>
      <c r="K356" t="str">
        <f>TextJoin(tblClassSubjs[[#This Row],[ClassID]:[SubjectID]],"Value")</f>
        <v>"336","124"</v>
      </c>
    </row>
    <row r="357" spans="2:11" x14ac:dyDescent="0.25">
      <c r="B357">
        <v>355</v>
      </c>
      <c r="C357">
        <v>337</v>
      </c>
      <c r="D357">
        <v>125</v>
      </c>
      <c r="F357" t="s">
        <v>482</v>
      </c>
      <c r="G357" t="s">
        <v>483</v>
      </c>
      <c r="J357" t="str">
        <f t="shared" si="5"/>
        <v>(NULL,"337","125"),</v>
      </c>
      <c r="K357" t="str">
        <f>TextJoin(tblClassSubjs[[#This Row],[ClassID]:[SubjectID]],"Value")</f>
        <v>"337","125"</v>
      </c>
    </row>
    <row r="358" spans="2:11" x14ac:dyDescent="0.25">
      <c r="B358">
        <v>356</v>
      </c>
      <c r="C358">
        <v>338</v>
      </c>
      <c r="D358">
        <v>126</v>
      </c>
      <c r="F358" t="s">
        <v>484</v>
      </c>
      <c r="G358" t="s">
        <v>333</v>
      </c>
      <c r="J358" t="str">
        <f t="shared" si="5"/>
        <v>(NULL,"338","126"),</v>
      </c>
      <c r="K358" t="str">
        <f>TextJoin(tblClassSubjs[[#This Row],[ClassID]:[SubjectID]],"Value")</f>
        <v>"338","126"</v>
      </c>
    </row>
    <row r="359" spans="2:11" x14ac:dyDescent="0.25">
      <c r="B359">
        <v>357</v>
      </c>
      <c r="C359">
        <v>339</v>
      </c>
      <c r="D359">
        <v>51</v>
      </c>
      <c r="F359" t="s">
        <v>368</v>
      </c>
      <c r="G359" t="s">
        <v>369</v>
      </c>
      <c r="J359" t="str">
        <f t="shared" si="5"/>
        <v>(NULL,"339","51"),</v>
      </c>
      <c r="K359" t="str">
        <f>TextJoin(tblClassSubjs[[#This Row],[ClassID]:[SubjectID]],"Value")</f>
        <v>"339","51"</v>
      </c>
    </row>
    <row r="360" spans="2:11" x14ac:dyDescent="0.25">
      <c r="B360">
        <v>358</v>
      </c>
      <c r="C360">
        <v>340</v>
      </c>
      <c r="D360">
        <v>52</v>
      </c>
      <c r="F360" t="s">
        <v>370</v>
      </c>
      <c r="G360" t="s">
        <v>371</v>
      </c>
      <c r="J360" t="str">
        <f t="shared" si="5"/>
        <v>(NULL,"340","52"),</v>
      </c>
      <c r="K360" t="str">
        <f>TextJoin(tblClassSubjs[[#This Row],[ClassID]:[SubjectID]],"Value")</f>
        <v>"340","52"</v>
      </c>
    </row>
    <row r="361" spans="2:11" x14ac:dyDescent="0.25">
      <c r="B361">
        <v>359</v>
      </c>
      <c r="C361">
        <v>341</v>
      </c>
      <c r="D361">
        <v>53</v>
      </c>
      <c r="F361" t="s">
        <v>372</v>
      </c>
      <c r="G361" t="s">
        <v>373</v>
      </c>
      <c r="J361" t="str">
        <f t="shared" si="5"/>
        <v>(NULL,"341","53"),</v>
      </c>
      <c r="K361" t="str">
        <f>TextJoin(tblClassSubjs[[#This Row],[ClassID]:[SubjectID]],"Value")</f>
        <v>"341","53"</v>
      </c>
    </row>
    <row r="362" spans="2:11" x14ac:dyDescent="0.25">
      <c r="B362">
        <v>360</v>
      </c>
      <c r="C362">
        <v>342</v>
      </c>
      <c r="D362">
        <v>54</v>
      </c>
      <c r="F362" t="s">
        <v>374</v>
      </c>
      <c r="G362" t="s">
        <v>375</v>
      </c>
      <c r="J362" t="str">
        <f t="shared" si="5"/>
        <v>(NULL,"342","54"),</v>
      </c>
      <c r="K362" t="str">
        <f>TextJoin(tblClassSubjs[[#This Row],[ClassID]:[SubjectID]],"Value")</f>
        <v>"342","54"</v>
      </c>
    </row>
    <row r="363" spans="2:11" x14ac:dyDescent="0.25">
      <c r="B363">
        <v>361</v>
      </c>
      <c r="C363">
        <v>343</v>
      </c>
      <c r="D363">
        <v>55</v>
      </c>
      <c r="F363" t="s">
        <v>376</v>
      </c>
      <c r="G363" t="s">
        <v>377</v>
      </c>
      <c r="J363" t="str">
        <f t="shared" si="5"/>
        <v>(NULL,"343","55"),</v>
      </c>
      <c r="K363" t="str">
        <f>TextJoin(tblClassSubjs[[#This Row],[ClassID]:[SubjectID]],"Value")</f>
        <v>"343","55"</v>
      </c>
    </row>
    <row r="364" spans="2:11" x14ac:dyDescent="0.25">
      <c r="B364">
        <v>362</v>
      </c>
      <c r="C364">
        <v>344</v>
      </c>
      <c r="D364">
        <v>56</v>
      </c>
      <c r="F364" t="s">
        <v>378</v>
      </c>
      <c r="G364" t="s">
        <v>379</v>
      </c>
      <c r="J364" t="str">
        <f t="shared" si="5"/>
        <v>(NULL,"344","56"),</v>
      </c>
      <c r="K364" t="str">
        <f>TextJoin(tblClassSubjs[[#This Row],[ClassID]:[SubjectID]],"Value")</f>
        <v>"344","56"</v>
      </c>
    </row>
    <row r="365" spans="2:11" x14ac:dyDescent="0.25">
      <c r="B365">
        <v>363</v>
      </c>
      <c r="C365">
        <v>345</v>
      </c>
      <c r="D365">
        <v>57</v>
      </c>
      <c r="F365" t="s">
        <v>380</v>
      </c>
      <c r="G365" t="s">
        <v>381</v>
      </c>
      <c r="J365" t="str">
        <f t="shared" si="5"/>
        <v>(NULL,"345","57"),</v>
      </c>
      <c r="K365" t="str">
        <f>TextJoin(tblClassSubjs[[#This Row],[ClassID]:[SubjectID]],"Value")</f>
        <v>"345","57"</v>
      </c>
    </row>
    <row r="366" spans="2:11" x14ac:dyDescent="0.25">
      <c r="B366">
        <v>364</v>
      </c>
      <c r="C366">
        <v>346</v>
      </c>
      <c r="D366">
        <v>58</v>
      </c>
      <c r="F366" t="s">
        <v>382</v>
      </c>
      <c r="G366" t="s">
        <v>383</v>
      </c>
      <c r="J366" t="str">
        <f t="shared" si="5"/>
        <v>(NULL,"346","58"),</v>
      </c>
      <c r="K366" t="str">
        <f>TextJoin(tblClassSubjs[[#This Row],[ClassID]:[SubjectID]],"Value")</f>
        <v>"346","58"</v>
      </c>
    </row>
    <row r="367" spans="2:11" x14ac:dyDescent="0.25">
      <c r="B367">
        <v>365</v>
      </c>
      <c r="C367">
        <v>347</v>
      </c>
      <c r="D367">
        <v>136</v>
      </c>
      <c r="F367" t="s">
        <v>498</v>
      </c>
      <c r="G367" t="s">
        <v>499</v>
      </c>
      <c r="J367" t="str">
        <f t="shared" si="5"/>
        <v>(NULL,"347","136"),</v>
      </c>
      <c r="K367" t="str">
        <f>TextJoin(tblClassSubjs[[#This Row],[ClassID]:[SubjectID]],"Value")</f>
        <v>"347","136"</v>
      </c>
    </row>
    <row r="368" spans="2:11" x14ac:dyDescent="0.25">
      <c r="B368">
        <v>366</v>
      </c>
      <c r="C368">
        <v>348</v>
      </c>
      <c r="D368">
        <v>137</v>
      </c>
      <c r="F368" t="s">
        <v>500</v>
      </c>
      <c r="G368" t="s">
        <v>501</v>
      </c>
      <c r="J368" t="str">
        <f t="shared" si="5"/>
        <v>(NULL,"348","137"),</v>
      </c>
      <c r="K368" t="str">
        <f>TextJoin(tblClassSubjs[[#This Row],[ClassID]:[SubjectID]],"Value")</f>
        <v>"348","137"</v>
      </c>
    </row>
    <row r="369" spans="2:11" x14ac:dyDescent="0.25">
      <c r="B369">
        <v>367</v>
      </c>
      <c r="C369">
        <v>349</v>
      </c>
      <c r="D369">
        <v>138</v>
      </c>
      <c r="F369" t="s">
        <v>502</v>
      </c>
      <c r="G369" t="s">
        <v>391</v>
      </c>
      <c r="J369" t="str">
        <f t="shared" si="5"/>
        <v>(NULL,"349","138"),</v>
      </c>
      <c r="K369" t="str">
        <f>TextJoin(tblClassSubjs[[#This Row],[ClassID]:[SubjectID]],"Value")</f>
        <v>"349","138"</v>
      </c>
    </row>
    <row r="370" spans="2:11" x14ac:dyDescent="0.25">
      <c r="B370">
        <v>368</v>
      </c>
      <c r="C370">
        <v>350</v>
      </c>
      <c r="D370">
        <v>139</v>
      </c>
      <c r="F370" t="s">
        <v>503</v>
      </c>
      <c r="G370" t="s">
        <v>504</v>
      </c>
      <c r="J370" t="str">
        <f t="shared" si="5"/>
        <v>(NULL,"350","139"),</v>
      </c>
      <c r="K370" t="str">
        <f>TextJoin(tblClassSubjs[[#This Row],[ClassID]:[SubjectID]],"Value")</f>
        <v>"350","139"</v>
      </c>
    </row>
    <row r="371" spans="2:11" x14ac:dyDescent="0.25">
      <c r="B371">
        <v>369</v>
      </c>
      <c r="C371">
        <v>351</v>
      </c>
      <c r="D371">
        <v>140</v>
      </c>
      <c r="F371" t="s">
        <v>505</v>
      </c>
      <c r="G371" t="s">
        <v>506</v>
      </c>
      <c r="J371" t="str">
        <f t="shared" si="5"/>
        <v>(NULL,"351","140"),</v>
      </c>
      <c r="K371" t="str">
        <f>TextJoin(tblClassSubjs[[#This Row],[ClassID]:[SubjectID]],"Value")</f>
        <v>"351","140"</v>
      </c>
    </row>
    <row r="372" spans="2:11" x14ac:dyDescent="0.25">
      <c r="B372">
        <v>370</v>
      </c>
      <c r="C372">
        <v>352</v>
      </c>
      <c r="D372">
        <v>132</v>
      </c>
      <c r="F372" t="s">
        <v>493</v>
      </c>
      <c r="G372" t="s">
        <v>415</v>
      </c>
      <c r="J372" t="str">
        <f t="shared" si="5"/>
        <v>(NULL,"352","132"),</v>
      </c>
      <c r="K372" t="str">
        <f>TextJoin(tblClassSubjs[[#This Row],[ClassID]:[SubjectID]],"Value")</f>
        <v>"352","132"</v>
      </c>
    </row>
    <row r="373" spans="2:11" x14ac:dyDescent="0.25">
      <c r="B373">
        <v>371</v>
      </c>
      <c r="C373">
        <v>353</v>
      </c>
      <c r="D373">
        <v>67</v>
      </c>
      <c r="F373" t="s">
        <v>400</v>
      </c>
      <c r="G373" t="s">
        <v>401</v>
      </c>
      <c r="J373" t="str">
        <f t="shared" si="5"/>
        <v>(NULL,"353","67"),</v>
      </c>
      <c r="K373" t="str">
        <f>TextJoin(tblClassSubjs[[#This Row],[ClassID]:[SubjectID]],"Value")</f>
        <v>"353","67"</v>
      </c>
    </row>
    <row r="374" spans="2:11" x14ac:dyDescent="0.25">
      <c r="B374">
        <v>372</v>
      </c>
      <c r="C374">
        <v>354</v>
      </c>
      <c r="D374">
        <v>68</v>
      </c>
      <c r="F374" t="s">
        <v>402</v>
      </c>
      <c r="G374" t="s">
        <v>403</v>
      </c>
      <c r="J374" t="str">
        <f t="shared" si="5"/>
        <v>(NULL,"354","68"),</v>
      </c>
      <c r="K374" t="str">
        <f>TextJoin(tblClassSubjs[[#This Row],[ClassID]:[SubjectID]],"Value")</f>
        <v>"354","68"</v>
      </c>
    </row>
    <row r="375" spans="2:11" x14ac:dyDescent="0.25">
      <c r="B375">
        <v>373</v>
      </c>
      <c r="C375">
        <v>355</v>
      </c>
      <c r="D375">
        <v>69</v>
      </c>
      <c r="F375" t="s">
        <v>404</v>
      </c>
      <c r="G375" t="s">
        <v>405</v>
      </c>
      <c r="J375" t="str">
        <f t="shared" si="5"/>
        <v>(NULL,"355","69"),</v>
      </c>
      <c r="K375" t="str">
        <f>TextJoin(tblClassSubjs[[#This Row],[ClassID]:[SubjectID]],"Value")</f>
        <v>"355","69"</v>
      </c>
    </row>
    <row r="376" spans="2:11" x14ac:dyDescent="0.25">
      <c r="B376">
        <v>374</v>
      </c>
      <c r="C376">
        <v>356</v>
      </c>
      <c r="D376">
        <v>70</v>
      </c>
      <c r="F376" t="s">
        <v>406</v>
      </c>
      <c r="G376" t="s">
        <v>407</v>
      </c>
      <c r="J376" t="str">
        <f t="shared" si="5"/>
        <v>(NULL,"356","70"),</v>
      </c>
      <c r="K376" t="str">
        <f>TextJoin(tblClassSubjs[[#This Row],[ClassID]:[SubjectID]],"Value")</f>
        <v>"356","70"</v>
      </c>
    </row>
    <row r="377" spans="2:11" x14ac:dyDescent="0.25">
      <c r="B377">
        <v>375</v>
      </c>
      <c r="C377">
        <v>357</v>
      </c>
      <c r="D377">
        <v>71</v>
      </c>
      <c r="F377" t="s">
        <v>408</v>
      </c>
      <c r="G377" t="s">
        <v>409</v>
      </c>
      <c r="J377" t="str">
        <f t="shared" si="5"/>
        <v>(NULL,"357","71"),</v>
      </c>
      <c r="K377" t="str">
        <f>TextJoin(tblClassSubjs[[#This Row],[ClassID]:[SubjectID]],"Value")</f>
        <v>"357","71"</v>
      </c>
    </row>
    <row r="378" spans="2:11" x14ac:dyDescent="0.25">
      <c r="B378">
        <v>376</v>
      </c>
      <c r="C378">
        <v>358</v>
      </c>
      <c r="D378">
        <v>72</v>
      </c>
      <c r="F378" t="s">
        <v>410</v>
      </c>
      <c r="G378" t="s">
        <v>411</v>
      </c>
      <c r="J378" t="str">
        <f t="shared" si="5"/>
        <v>(NULL,"358","72"),</v>
      </c>
      <c r="K378" t="str">
        <f>TextJoin(tblClassSubjs[[#This Row],[ClassID]:[SubjectID]],"Value")</f>
        <v>"358","72"</v>
      </c>
    </row>
    <row r="379" spans="2:11" x14ac:dyDescent="0.25">
      <c r="B379">
        <v>377</v>
      </c>
      <c r="C379">
        <v>359</v>
      </c>
      <c r="D379">
        <v>73</v>
      </c>
      <c r="F379" t="s">
        <v>412</v>
      </c>
      <c r="G379" t="s">
        <v>413</v>
      </c>
      <c r="J379" t="str">
        <f t="shared" si="5"/>
        <v>(NULL,"359","73"),</v>
      </c>
      <c r="K379" t="str">
        <f>TextJoin(tblClassSubjs[[#This Row],[ClassID]:[SubjectID]],"Value")</f>
        <v>"359","73"</v>
      </c>
    </row>
    <row r="380" spans="2:11" x14ac:dyDescent="0.25">
      <c r="B380">
        <v>378</v>
      </c>
      <c r="C380">
        <v>360</v>
      </c>
      <c r="D380">
        <v>141</v>
      </c>
      <c r="E380" s="29"/>
      <c r="F380" s="29" t="s">
        <v>507</v>
      </c>
      <c r="G380" s="29" t="s">
        <v>508</v>
      </c>
      <c r="H380" s="29">
        <v>6</v>
      </c>
      <c r="J380" t="str">
        <f t="shared" si="5"/>
        <v>(NULL,"360","141"),</v>
      </c>
      <c r="K380" t="str">
        <f>TextJoin(tblClassSubjs[[#This Row],[ClassID]:[SubjectID]],"Value")</f>
        <v>"360","141"</v>
      </c>
    </row>
    <row r="381" spans="2:11" x14ac:dyDescent="0.25">
      <c r="B381">
        <v>379</v>
      </c>
      <c r="C381">
        <v>361</v>
      </c>
      <c r="D381" s="21">
        <v>10</v>
      </c>
      <c r="F381" t="s">
        <v>287</v>
      </c>
      <c r="G381" t="s">
        <v>288</v>
      </c>
      <c r="H381">
        <v>7</v>
      </c>
      <c r="J381" t="str">
        <f t="shared" si="5"/>
        <v>(NULL,"361","10"),</v>
      </c>
      <c r="K381" t="str">
        <f>TextJoin(tblClassSubjs[[#This Row],[ClassID]:[SubjectID]],"Value")</f>
        <v>"361","10"</v>
      </c>
    </row>
    <row r="382" spans="2:11" x14ac:dyDescent="0.25">
      <c r="B382">
        <v>380</v>
      </c>
      <c r="C382">
        <v>362</v>
      </c>
      <c r="D382" s="21">
        <v>11</v>
      </c>
      <c r="F382" t="s">
        <v>289</v>
      </c>
      <c r="G382" t="s">
        <v>290</v>
      </c>
      <c r="J382" t="str">
        <f t="shared" si="5"/>
        <v>(NULL,"362","11"),</v>
      </c>
      <c r="K382" t="str">
        <f>TextJoin(tblClassSubjs[[#This Row],[ClassID]:[SubjectID]],"Value")</f>
        <v>"362","11"</v>
      </c>
    </row>
    <row r="383" spans="2:11" x14ac:dyDescent="0.25">
      <c r="B383">
        <v>381</v>
      </c>
      <c r="C383">
        <v>363</v>
      </c>
      <c r="D383" s="21">
        <v>12</v>
      </c>
      <c r="F383" t="s">
        <v>291</v>
      </c>
      <c r="G383" t="s">
        <v>292</v>
      </c>
      <c r="J383" t="str">
        <f t="shared" si="5"/>
        <v>(NULL,"363","12"),</v>
      </c>
      <c r="K383" t="str">
        <f>TextJoin(tblClassSubjs[[#This Row],[ClassID]:[SubjectID]],"Value")</f>
        <v>"363","12"</v>
      </c>
    </row>
    <row r="384" spans="2:11" x14ac:dyDescent="0.25">
      <c r="B384">
        <v>382</v>
      </c>
      <c r="C384">
        <v>364</v>
      </c>
      <c r="D384" s="21">
        <v>13</v>
      </c>
      <c r="F384" t="s">
        <v>293</v>
      </c>
      <c r="G384" t="s">
        <v>294</v>
      </c>
      <c r="J384" t="str">
        <f t="shared" si="5"/>
        <v>(NULL,"364","13"),</v>
      </c>
      <c r="K384" t="str">
        <f>TextJoin(tblClassSubjs[[#This Row],[ClassID]:[SubjectID]],"Value")</f>
        <v>"364","13"</v>
      </c>
    </row>
    <row r="385" spans="2:11" x14ac:dyDescent="0.25">
      <c r="B385">
        <v>383</v>
      </c>
      <c r="C385">
        <v>365</v>
      </c>
      <c r="D385" s="21">
        <v>14</v>
      </c>
      <c r="F385" t="s">
        <v>295</v>
      </c>
      <c r="G385" t="s">
        <v>296</v>
      </c>
      <c r="J385" t="str">
        <f t="shared" si="5"/>
        <v>(NULL,"365","14"),</v>
      </c>
      <c r="K385" t="str">
        <f>TextJoin(tblClassSubjs[[#This Row],[ClassID]:[SubjectID]],"Value")</f>
        <v>"365","14"</v>
      </c>
    </row>
    <row r="386" spans="2:11" x14ac:dyDescent="0.25">
      <c r="B386">
        <v>384</v>
      </c>
      <c r="C386">
        <v>366</v>
      </c>
      <c r="D386" s="21">
        <v>15</v>
      </c>
      <c r="F386" t="s">
        <v>297</v>
      </c>
      <c r="G386" t="s">
        <v>298</v>
      </c>
      <c r="J386" t="str">
        <f t="shared" si="5"/>
        <v>(NULL,"366","15"),</v>
      </c>
      <c r="K386" t="str">
        <f>TextJoin(tblClassSubjs[[#This Row],[ClassID]:[SubjectID]],"Value")</f>
        <v>"366","15"</v>
      </c>
    </row>
    <row r="387" spans="2:11" x14ac:dyDescent="0.25">
      <c r="B387">
        <v>385</v>
      </c>
      <c r="C387">
        <v>367</v>
      </c>
      <c r="D387" s="21">
        <v>16</v>
      </c>
      <c r="F387" t="s">
        <v>447</v>
      </c>
      <c r="G387" t="s">
        <v>299</v>
      </c>
      <c r="J387" t="str">
        <f t="shared" si="5"/>
        <v>(NULL,"367","16"),</v>
      </c>
      <c r="K387" t="str">
        <f>TextJoin(tblClassSubjs[[#This Row],[ClassID]:[SubjectID]],"Value")</f>
        <v>"367","16"</v>
      </c>
    </row>
    <row r="388" spans="2:11" x14ac:dyDescent="0.25">
      <c r="B388">
        <v>386</v>
      </c>
      <c r="C388">
        <v>368</v>
      </c>
      <c r="D388" s="21">
        <v>17</v>
      </c>
      <c r="F388" t="s">
        <v>300</v>
      </c>
      <c r="G388" t="s">
        <v>301</v>
      </c>
      <c r="J388" t="str">
        <f t="shared" ref="J388:J451" si="6">"(NULL,"&amp;K388&amp;")"&amp;IF(J389&lt;&gt;"",",",";")</f>
        <v>(NULL,"368","17"),</v>
      </c>
      <c r="K388" t="str">
        <f>TextJoin(tblClassSubjs[[#This Row],[ClassID]:[SubjectID]],"Value")</f>
        <v>"368","17"</v>
      </c>
    </row>
    <row r="389" spans="2:11" x14ac:dyDescent="0.25">
      <c r="B389">
        <v>387</v>
      </c>
      <c r="C389">
        <v>369</v>
      </c>
      <c r="D389" s="21">
        <v>18</v>
      </c>
      <c r="F389" t="s">
        <v>302</v>
      </c>
      <c r="G389" t="s">
        <v>303</v>
      </c>
      <c r="J389" t="str">
        <f t="shared" si="6"/>
        <v>(NULL,"369","18"),</v>
      </c>
      <c r="K389" t="str">
        <f>TextJoin(tblClassSubjs[[#This Row],[ClassID]:[SubjectID]],"Value")</f>
        <v>"369","18"</v>
      </c>
    </row>
    <row r="390" spans="2:11" x14ac:dyDescent="0.25">
      <c r="B390">
        <v>388</v>
      </c>
      <c r="C390">
        <v>370</v>
      </c>
      <c r="D390" s="21">
        <v>19</v>
      </c>
      <c r="F390" t="s">
        <v>304</v>
      </c>
      <c r="G390" t="s">
        <v>305</v>
      </c>
      <c r="J390" t="str">
        <f t="shared" si="6"/>
        <v>(NULL,"370","19"),</v>
      </c>
      <c r="K390" t="str">
        <f>TextJoin(tblClassSubjs[[#This Row],[ClassID]:[SubjectID]],"Value")</f>
        <v>"370","19"</v>
      </c>
    </row>
    <row r="391" spans="2:11" x14ac:dyDescent="0.25">
      <c r="B391">
        <v>389</v>
      </c>
      <c r="C391">
        <v>371</v>
      </c>
      <c r="D391" s="21">
        <v>92</v>
      </c>
      <c r="F391" t="s">
        <v>291</v>
      </c>
      <c r="G391" t="s">
        <v>439</v>
      </c>
      <c r="J391" t="str">
        <f t="shared" si="6"/>
        <v>(NULL,"371","92"),</v>
      </c>
      <c r="K391" t="str">
        <f>TextJoin(tblClassSubjs[[#This Row],[ClassID]:[SubjectID]],"Value")</f>
        <v>"371","92"</v>
      </c>
    </row>
    <row r="392" spans="2:11" x14ac:dyDescent="0.25">
      <c r="B392">
        <v>390</v>
      </c>
      <c r="C392">
        <v>372</v>
      </c>
      <c r="D392" s="21">
        <v>93</v>
      </c>
      <c r="F392" t="s">
        <v>273</v>
      </c>
      <c r="G392" t="s">
        <v>440</v>
      </c>
      <c r="J392" t="str">
        <f t="shared" si="6"/>
        <v>(NULL,"372","93"),</v>
      </c>
      <c r="K392" t="str">
        <f>TextJoin(tblClassSubjs[[#This Row],[ClassID]:[SubjectID]],"Value")</f>
        <v>"372","93"</v>
      </c>
    </row>
    <row r="393" spans="2:11" x14ac:dyDescent="0.25">
      <c r="B393">
        <v>391</v>
      </c>
      <c r="C393">
        <v>373</v>
      </c>
      <c r="D393" s="21">
        <v>94</v>
      </c>
      <c r="F393" t="s">
        <v>441</v>
      </c>
      <c r="G393" t="s">
        <v>442</v>
      </c>
      <c r="J393" t="str">
        <f t="shared" si="6"/>
        <v>(NULL,"373","94"),</v>
      </c>
      <c r="K393" t="str">
        <f>TextJoin(tblClassSubjs[[#This Row],[ClassID]:[SubjectID]],"Value")</f>
        <v>"373","94"</v>
      </c>
    </row>
    <row r="394" spans="2:11" x14ac:dyDescent="0.25">
      <c r="B394">
        <v>392</v>
      </c>
      <c r="C394">
        <v>374</v>
      </c>
      <c r="D394" s="21">
        <v>95</v>
      </c>
      <c r="F394" t="s">
        <v>443</v>
      </c>
      <c r="G394" t="s">
        <v>444</v>
      </c>
      <c r="J394" t="str">
        <f t="shared" si="6"/>
        <v>(NULL,"374","95"),</v>
      </c>
      <c r="K394" t="str">
        <f>TextJoin(tblClassSubjs[[#This Row],[ClassID]:[SubjectID]],"Value")</f>
        <v>"374","95"</v>
      </c>
    </row>
    <row r="395" spans="2:11" x14ac:dyDescent="0.25">
      <c r="B395">
        <v>393</v>
      </c>
      <c r="C395">
        <v>375</v>
      </c>
      <c r="D395" s="21">
        <v>96</v>
      </c>
      <c r="F395" t="s">
        <v>445</v>
      </c>
      <c r="G395" t="s">
        <v>446</v>
      </c>
      <c r="J395" t="str">
        <f t="shared" si="6"/>
        <v>(NULL,"375","96"),</v>
      </c>
      <c r="K395" t="str">
        <f>TextJoin(tblClassSubjs[[#This Row],[ClassID]:[SubjectID]],"Value")</f>
        <v>"375","96"</v>
      </c>
    </row>
    <row r="396" spans="2:11" x14ac:dyDescent="0.25">
      <c r="B396">
        <v>394</v>
      </c>
      <c r="C396">
        <v>376</v>
      </c>
      <c r="D396" s="21">
        <v>98</v>
      </c>
      <c r="F396" t="s">
        <v>304</v>
      </c>
      <c r="G396" t="s">
        <v>305</v>
      </c>
      <c r="J396" t="str">
        <f t="shared" si="6"/>
        <v>(NULL,"376","98"),</v>
      </c>
      <c r="K396" t="str">
        <f>TextJoin(tblClassSubjs[[#This Row],[ClassID]:[SubjectID]],"Value")</f>
        <v>"376","98"</v>
      </c>
    </row>
    <row r="397" spans="2:11" x14ac:dyDescent="0.25">
      <c r="B397">
        <v>395</v>
      </c>
      <c r="C397">
        <v>377</v>
      </c>
      <c r="D397" s="21">
        <v>99</v>
      </c>
      <c r="F397" t="s">
        <v>448</v>
      </c>
      <c r="G397" t="s">
        <v>311</v>
      </c>
      <c r="J397" t="str">
        <f t="shared" si="6"/>
        <v>(NULL,"377","99"),</v>
      </c>
      <c r="K397" t="str">
        <f>TextJoin(tblClassSubjs[[#This Row],[ClassID]:[SubjectID]],"Value")</f>
        <v>"377","99"</v>
      </c>
    </row>
    <row r="398" spans="2:11" x14ac:dyDescent="0.25">
      <c r="B398">
        <v>396</v>
      </c>
      <c r="C398">
        <v>378</v>
      </c>
      <c r="D398" s="21">
        <v>28</v>
      </c>
      <c r="F398" t="s">
        <v>322</v>
      </c>
      <c r="G398" t="s">
        <v>323</v>
      </c>
      <c r="J398" t="str">
        <f t="shared" si="6"/>
        <v>(NULL,"378","28"),</v>
      </c>
      <c r="K398" t="str">
        <f>TextJoin(tblClassSubjs[[#This Row],[ClassID]:[SubjectID]],"Value")</f>
        <v>"378","28"</v>
      </c>
    </row>
    <row r="399" spans="2:11" x14ac:dyDescent="0.25">
      <c r="B399">
        <v>397</v>
      </c>
      <c r="C399">
        <v>379</v>
      </c>
      <c r="D399" s="21">
        <v>29</v>
      </c>
      <c r="F399" t="s">
        <v>324</v>
      </c>
      <c r="G399" t="s">
        <v>325</v>
      </c>
      <c r="J399" t="str">
        <f t="shared" si="6"/>
        <v>(NULL,"379","29"),</v>
      </c>
      <c r="K399" t="str">
        <f>TextJoin(tblClassSubjs[[#This Row],[ClassID]:[SubjectID]],"Value")</f>
        <v>"379","29"</v>
      </c>
    </row>
    <row r="400" spans="2:11" x14ac:dyDescent="0.25">
      <c r="B400">
        <v>398</v>
      </c>
      <c r="C400">
        <v>380</v>
      </c>
      <c r="D400" s="21">
        <v>30</v>
      </c>
      <c r="F400" t="s">
        <v>326</v>
      </c>
      <c r="G400" t="s">
        <v>327</v>
      </c>
      <c r="J400" t="str">
        <f t="shared" si="6"/>
        <v>(NULL,"380","30"),</v>
      </c>
      <c r="K400" t="str">
        <f>TextJoin(tblClassSubjs[[#This Row],[ClassID]:[SubjectID]],"Value")</f>
        <v>"380","30"</v>
      </c>
    </row>
    <row r="401" spans="2:11" x14ac:dyDescent="0.25">
      <c r="B401">
        <v>399</v>
      </c>
      <c r="C401">
        <v>381</v>
      </c>
      <c r="D401" s="21">
        <v>31</v>
      </c>
      <c r="F401" t="s">
        <v>328</v>
      </c>
      <c r="G401" t="s">
        <v>329</v>
      </c>
      <c r="J401" t="str">
        <f t="shared" si="6"/>
        <v>(NULL,"381","31"),</v>
      </c>
      <c r="K401" t="str">
        <f>TextJoin(tblClassSubjs[[#This Row],[ClassID]:[SubjectID]],"Value")</f>
        <v>"381","31"</v>
      </c>
    </row>
    <row r="402" spans="2:11" x14ac:dyDescent="0.25">
      <c r="B402">
        <v>400</v>
      </c>
      <c r="C402">
        <v>382</v>
      </c>
      <c r="D402" s="21">
        <v>32</v>
      </c>
      <c r="F402" t="s">
        <v>330</v>
      </c>
      <c r="G402" t="s">
        <v>331</v>
      </c>
      <c r="J402" t="str">
        <f t="shared" si="6"/>
        <v>(NULL,"382","32"),</v>
      </c>
      <c r="K402" t="str">
        <f>TextJoin(tblClassSubjs[[#This Row],[ClassID]:[SubjectID]],"Value")</f>
        <v>"382","32"</v>
      </c>
    </row>
    <row r="403" spans="2:11" x14ac:dyDescent="0.25">
      <c r="B403">
        <v>401</v>
      </c>
      <c r="C403">
        <v>383</v>
      </c>
      <c r="D403" s="21">
        <v>33</v>
      </c>
      <c r="F403" t="s">
        <v>332</v>
      </c>
      <c r="G403" t="s">
        <v>333</v>
      </c>
      <c r="J403" t="str">
        <f t="shared" si="6"/>
        <v>(NULL,"383","33"),</v>
      </c>
      <c r="K403" t="str">
        <f>TextJoin(tblClassSubjs[[#This Row],[ClassID]:[SubjectID]],"Value")</f>
        <v>"383","33"</v>
      </c>
    </row>
    <row r="404" spans="2:11" x14ac:dyDescent="0.25">
      <c r="B404">
        <v>402</v>
      </c>
      <c r="C404">
        <v>384</v>
      </c>
      <c r="D404" s="21">
        <v>34</v>
      </c>
      <c r="F404" t="s">
        <v>334</v>
      </c>
      <c r="G404" t="s">
        <v>335</v>
      </c>
      <c r="J404" t="str">
        <f t="shared" si="6"/>
        <v>(NULL,"384","34"),</v>
      </c>
      <c r="K404" t="str">
        <f>TextJoin(tblClassSubjs[[#This Row],[ClassID]:[SubjectID]],"Value")</f>
        <v>"384","34"</v>
      </c>
    </row>
    <row r="405" spans="2:11" x14ac:dyDescent="0.25">
      <c r="B405">
        <v>403</v>
      </c>
      <c r="C405">
        <v>385</v>
      </c>
      <c r="D405" s="21">
        <v>111</v>
      </c>
      <c r="F405" t="s">
        <v>460</v>
      </c>
      <c r="G405" t="s">
        <v>461</v>
      </c>
      <c r="J405" t="str">
        <f t="shared" si="6"/>
        <v>(NULL,"385","111"),</v>
      </c>
      <c r="K405" t="str">
        <f>TextJoin(tblClassSubjs[[#This Row],[ClassID]:[SubjectID]],"Value")</f>
        <v>"385","111"</v>
      </c>
    </row>
    <row r="406" spans="2:11" x14ac:dyDescent="0.25">
      <c r="B406">
        <v>404</v>
      </c>
      <c r="C406">
        <v>386</v>
      </c>
      <c r="D406" s="21">
        <v>112</v>
      </c>
      <c r="F406" t="s">
        <v>462</v>
      </c>
      <c r="G406" t="s">
        <v>401</v>
      </c>
      <c r="J406" t="str">
        <f t="shared" si="6"/>
        <v>(NULL,"386","112"),</v>
      </c>
      <c r="K406" t="str">
        <f>TextJoin(tblClassSubjs[[#This Row],[ClassID]:[SubjectID]],"Value")</f>
        <v>"386","112"</v>
      </c>
    </row>
    <row r="407" spans="2:11" x14ac:dyDescent="0.25">
      <c r="B407">
        <v>405</v>
      </c>
      <c r="C407">
        <v>387</v>
      </c>
      <c r="D407" s="21">
        <v>113</v>
      </c>
      <c r="F407" t="s">
        <v>463</v>
      </c>
      <c r="G407" t="s">
        <v>464</v>
      </c>
      <c r="J407" t="str">
        <f t="shared" si="6"/>
        <v>(NULL,"387","113"),</v>
      </c>
      <c r="K407" t="str">
        <f>TextJoin(tblClassSubjs[[#This Row],[ClassID]:[SubjectID]],"Value")</f>
        <v>"387","113"</v>
      </c>
    </row>
    <row r="408" spans="2:11" x14ac:dyDescent="0.25">
      <c r="B408">
        <v>406</v>
      </c>
      <c r="C408">
        <v>388</v>
      </c>
      <c r="D408" s="21">
        <v>114</v>
      </c>
      <c r="F408" t="s">
        <v>465</v>
      </c>
      <c r="G408" t="s">
        <v>466</v>
      </c>
      <c r="J408" t="str">
        <f t="shared" si="6"/>
        <v>(NULL,"388","114"),</v>
      </c>
      <c r="K408" t="str">
        <f>TextJoin(tblClassSubjs[[#This Row],[ClassID]:[SubjectID]],"Value")</f>
        <v>"388","114"</v>
      </c>
    </row>
    <row r="409" spans="2:11" x14ac:dyDescent="0.25">
      <c r="B409">
        <v>407</v>
      </c>
      <c r="C409">
        <v>389</v>
      </c>
      <c r="D409" s="21">
        <v>115</v>
      </c>
      <c r="F409" t="s">
        <v>467</v>
      </c>
      <c r="G409" t="s">
        <v>468</v>
      </c>
      <c r="J409" t="str">
        <f t="shared" si="6"/>
        <v>(NULL,"389","115"),</v>
      </c>
      <c r="K409" t="str">
        <f>TextJoin(tblClassSubjs[[#This Row],[ClassID]:[SubjectID]],"Value")</f>
        <v>"389","115"</v>
      </c>
    </row>
    <row r="410" spans="2:11" x14ac:dyDescent="0.25">
      <c r="B410">
        <v>408</v>
      </c>
      <c r="C410">
        <v>390</v>
      </c>
      <c r="D410" s="21">
        <v>118</v>
      </c>
      <c r="F410" t="s">
        <v>472</v>
      </c>
      <c r="G410" t="s">
        <v>473</v>
      </c>
      <c r="J410" t="str">
        <f t="shared" si="6"/>
        <v>(NULL,"390","118"),</v>
      </c>
      <c r="K410" t="str">
        <f>TextJoin(tblClassSubjs[[#This Row],[ClassID]:[SubjectID]],"Value")</f>
        <v>"390","118"</v>
      </c>
    </row>
    <row r="411" spans="2:11" x14ac:dyDescent="0.25">
      <c r="B411">
        <v>409</v>
      </c>
      <c r="C411">
        <v>391</v>
      </c>
      <c r="D411" s="21">
        <v>43</v>
      </c>
      <c r="F411" t="s">
        <v>352</v>
      </c>
      <c r="G411" t="s">
        <v>353</v>
      </c>
      <c r="J411" t="str">
        <f t="shared" si="6"/>
        <v>(NULL,"391","43"),</v>
      </c>
      <c r="K411" t="str">
        <f>TextJoin(tblClassSubjs[[#This Row],[ClassID]:[SubjectID]],"Value")</f>
        <v>"391","43"</v>
      </c>
    </row>
    <row r="412" spans="2:11" x14ac:dyDescent="0.25">
      <c r="B412">
        <v>410</v>
      </c>
      <c r="C412">
        <v>392</v>
      </c>
      <c r="D412" s="21">
        <v>44</v>
      </c>
      <c r="F412" t="s">
        <v>354</v>
      </c>
      <c r="G412" t="s">
        <v>355</v>
      </c>
      <c r="J412" t="str">
        <f t="shared" si="6"/>
        <v>(NULL,"392","44"),</v>
      </c>
      <c r="K412" t="str">
        <f>TextJoin(tblClassSubjs[[#This Row],[ClassID]:[SubjectID]],"Value")</f>
        <v>"392","44"</v>
      </c>
    </row>
    <row r="413" spans="2:11" x14ac:dyDescent="0.25">
      <c r="B413">
        <v>411</v>
      </c>
      <c r="C413">
        <v>393</v>
      </c>
      <c r="D413" s="21">
        <v>45</v>
      </c>
      <c r="F413" t="s">
        <v>356</v>
      </c>
      <c r="G413" t="s">
        <v>357</v>
      </c>
      <c r="J413" t="str">
        <f t="shared" si="6"/>
        <v>(NULL,"393","45"),</v>
      </c>
      <c r="K413" t="str">
        <f>TextJoin(tblClassSubjs[[#This Row],[ClassID]:[SubjectID]],"Value")</f>
        <v>"393","45"</v>
      </c>
    </row>
    <row r="414" spans="2:11" x14ac:dyDescent="0.25">
      <c r="B414">
        <v>412</v>
      </c>
      <c r="C414">
        <v>394</v>
      </c>
      <c r="D414" s="21">
        <v>46</v>
      </c>
      <c r="F414" t="s">
        <v>358</v>
      </c>
      <c r="G414" t="s">
        <v>359</v>
      </c>
      <c r="J414" t="str">
        <f t="shared" si="6"/>
        <v>(NULL,"394","46"),</v>
      </c>
      <c r="K414" t="str">
        <f>TextJoin(tblClassSubjs[[#This Row],[ClassID]:[SubjectID]],"Value")</f>
        <v>"394","46"</v>
      </c>
    </row>
    <row r="415" spans="2:11" x14ac:dyDescent="0.25">
      <c r="B415">
        <v>413</v>
      </c>
      <c r="C415">
        <v>395</v>
      </c>
      <c r="D415" s="21">
        <v>47</v>
      </c>
      <c r="F415" t="s">
        <v>360</v>
      </c>
      <c r="G415" t="s">
        <v>361</v>
      </c>
      <c r="J415" t="str">
        <f t="shared" si="6"/>
        <v>(NULL,"395","47"),</v>
      </c>
      <c r="K415" t="str">
        <f>TextJoin(tblClassSubjs[[#This Row],[ClassID]:[SubjectID]],"Value")</f>
        <v>"395","47"</v>
      </c>
    </row>
    <row r="416" spans="2:11" x14ac:dyDescent="0.25">
      <c r="B416">
        <v>414</v>
      </c>
      <c r="C416">
        <v>396</v>
      </c>
      <c r="D416" s="21">
        <v>48</v>
      </c>
      <c r="F416" t="s">
        <v>362</v>
      </c>
      <c r="G416" t="s">
        <v>363</v>
      </c>
      <c r="J416" t="str">
        <f t="shared" si="6"/>
        <v>(NULL,"396","48"),</v>
      </c>
      <c r="K416" t="str">
        <f>TextJoin(tblClassSubjs[[#This Row],[ClassID]:[SubjectID]],"Value")</f>
        <v>"396","48"</v>
      </c>
    </row>
    <row r="417" spans="2:11" x14ac:dyDescent="0.25">
      <c r="B417">
        <v>415</v>
      </c>
      <c r="C417">
        <v>397</v>
      </c>
      <c r="D417" s="21">
        <v>49</v>
      </c>
      <c r="F417" t="s">
        <v>364</v>
      </c>
      <c r="G417" t="s">
        <v>365</v>
      </c>
      <c r="J417" t="str">
        <f t="shared" si="6"/>
        <v>(NULL,"397","49"),</v>
      </c>
      <c r="K417" t="str">
        <f>TextJoin(tblClassSubjs[[#This Row],[ClassID]:[SubjectID]],"Value")</f>
        <v>"397","49"</v>
      </c>
    </row>
    <row r="418" spans="2:11" x14ac:dyDescent="0.25">
      <c r="B418">
        <v>416</v>
      </c>
      <c r="C418">
        <v>398</v>
      </c>
      <c r="D418" s="21">
        <v>50</v>
      </c>
      <c r="F418" t="s">
        <v>366</v>
      </c>
      <c r="G418" t="s">
        <v>367</v>
      </c>
      <c r="J418" t="str">
        <f t="shared" si="6"/>
        <v>(NULL,"398","50"),</v>
      </c>
      <c r="K418" t="str">
        <f>TextJoin(tblClassSubjs[[#This Row],[ClassID]:[SubjectID]],"Value")</f>
        <v>"398","50"</v>
      </c>
    </row>
    <row r="419" spans="2:11" x14ac:dyDescent="0.25">
      <c r="B419">
        <v>417</v>
      </c>
      <c r="C419">
        <v>399</v>
      </c>
      <c r="D419" s="21">
        <v>128</v>
      </c>
      <c r="F419" t="s">
        <v>486</v>
      </c>
      <c r="G419" t="s">
        <v>419</v>
      </c>
      <c r="J419" t="str">
        <f t="shared" si="6"/>
        <v>(NULL,"399","128"),</v>
      </c>
      <c r="K419" t="str">
        <f>TextJoin(tblClassSubjs[[#This Row],[ClassID]:[SubjectID]],"Value")</f>
        <v>"399","128"</v>
      </c>
    </row>
    <row r="420" spans="2:11" x14ac:dyDescent="0.25">
      <c r="B420">
        <v>418</v>
      </c>
      <c r="C420">
        <v>400</v>
      </c>
      <c r="D420" s="21">
        <v>129</v>
      </c>
      <c r="F420" t="s">
        <v>487</v>
      </c>
      <c r="G420" t="s">
        <v>488</v>
      </c>
      <c r="J420" t="str">
        <f t="shared" si="6"/>
        <v>(NULL,"400","129"),</v>
      </c>
      <c r="K420" t="str">
        <f>TextJoin(tblClassSubjs[[#This Row],[ClassID]:[SubjectID]],"Value")</f>
        <v>"400","129"</v>
      </c>
    </row>
    <row r="421" spans="2:11" x14ac:dyDescent="0.25">
      <c r="B421">
        <v>419</v>
      </c>
      <c r="C421">
        <v>401</v>
      </c>
      <c r="D421" s="21">
        <v>130</v>
      </c>
      <c r="F421" t="s">
        <v>489</v>
      </c>
      <c r="G421" t="s">
        <v>490</v>
      </c>
      <c r="J421" t="str">
        <f t="shared" si="6"/>
        <v>(NULL,"401","130"),</v>
      </c>
      <c r="K421" t="str">
        <f>TextJoin(tblClassSubjs[[#This Row],[ClassID]:[SubjectID]],"Value")</f>
        <v>"401","130"</v>
      </c>
    </row>
    <row r="422" spans="2:11" x14ac:dyDescent="0.25">
      <c r="B422">
        <v>420</v>
      </c>
      <c r="C422">
        <v>402</v>
      </c>
      <c r="D422" s="21">
        <v>131</v>
      </c>
      <c r="F422" t="s">
        <v>491</v>
      </c>
      <c r="G422" t="s">
        <v>492</v>
      </c>
      <c r="J422" t="str">
        <f t="shared" si="6"/>
        <v>(NULL,"402","131"),</v>
      </c>
      <c r="K422" t="str">
        <f>TextJoin(tblClassSubjs[[#This Row],[ClassID]:[SubjectID]],"Value")</f>
        <v>"402","131"</v>
      </c>
    </row>
    <row r="423" spans="2:11" x14ac:dyDescent="0.25">
      <c r="B423">
        <v>421</v>
      </c>
      <c r="C423">
        <v>403</v>
      </c>
      <c r="D423" s="21">
        <v>132</v>
      </c>
      <c r="F423" t="s">
        <v>493</v>
      </c>
      <c r="G423" t="s">
        <v>415</v>
      </c>
      <c r="J423" t="str">
        <f t="shared" si="6"/>
        <v>(NULL,"403","132"),</v>
      </c>
      <c r="K423" t="str">
        <f>TextJoin(tblClassSubjs[[#This Row],[ClassID]:[SubjectID]],"Value")</f>
        <v>"403","132"</v>
      </c>
    </row>
    <row r="424" spans="2:11" x14ac:dyDescent="0.25">
      <c r="B424">
        <v>422</v>
      </c>
      <c r="C424">
        <v>404</v>
      </c>
      <c r="D424" s="21">
        <v>133</v>
      </c>
      <c r="F424" t="s">
        <v>494</v>
      </c>
      <c r="G424" t="s">
        <v>385</v>
      </c>
      <c r="J424" t="str">
        <f t="shared" si="6"/>
        <v>(NULL,"404","133"),</v>
      </c>
      <c r="K424" t="str">
        <f>TextJoin(tblClassSubjs[[#This Row],[ClassID]:[SubjectID]],"Value")</f>
        <v>"404","133"</v>
      </c>
    </row>
    <row r="425" spans="2:11" x14ac:dyDescent="0.25">
      <c r="B425">
        <v>423</v>
      </c>
      <c r="C425">
        <v>405</v>
      </c>
      <c r="D425" s="21">
        <v>134</v>
      </c>
      <c r="F425" t="s">
        <v>495</v>
      </c>
      <c r="G425" t="s">
        <v>496</v>
      </c>
      <c r="J425" t="str">
        <f t="shared" si="6"/>
        <v>(NULL,"405","134"),</v>
      </c>
      <c r="K425" t="str">
        <f>TextJoin(tblClassSubjs[[#This Row],[ClassID]:[SubjectID]],"Value")</f>
        <v>"405","134"</v>
      </c>
    </row>
    <row r="426" spans="2:11" x14ac:dyDescent="0.25">
      <c r="B426">
        <v>424</v>
      </c>
      <c r="C426">
        <v>406</v>
      </c>
      <c r="D426" s="21">
        <v>59</v>
      </c>
      <c r="F426" t="s">
        <v>384</v>
      </c>
      <c r="G426" t="s">
        <v>385</v>
      </c>
      <c r="J426" t="str">
        <f t="shared" si="6"/>
        <v>(NULL,"406","59"),</v>
      </c>
      <c r="K426" t="str">
        <f>TextJoin(tblClassSubjs[[#This Row],[ClassID]:[SubjectID]],"Value")</f>
        <v>"406","59"</v>
      </c>
    </row>
    <row r="427" spans="2:11" x14ac:dyDescent="0.25">
      <c r="B427">
        <v>425</v>
      </c>
      <c r="C427">
        <v>407</v>
      </c>
      <c r="D427" s="21">
        <v>60</v>
      </c>
      <c r="F427" t="s">
        <v>386</v>
      </c>
      <c r="G427" t="s">
        <v>387</v>
      </c>
      <c r="J427" t="str">
        <f t="shared" si="6"/>
        <v>(NULL,"407","60"),</v>
      </c>
      <c r="K427" t="str">
        <f>TextJoin(tblClassSubjs[[#This Row],[ClassID]:[SubjectID]],"Value")</f>
        <v>"407","60"</v>
      </c>
    </row>
    <row r="428" spans="2:11" x14ac:dyDescent="0.25">
      <c r="B428">
        <v>426</v>
      </c>
      <c r="C428">
        <v>408</v>
      </c>
      <c r="D428" s="21">
        <v>61</v>
      </c>
      <c r="F428" t="s">
        <v>388</v>
      </c>
      <c r="G428" t="s">
        <v>389</v>
      </c>
      <c r="J428" t="str">
        <f t="shared" si="6"/>
        <v>(NULL,"408","61"),</v>
      </c>
      <c r="K428" t="str">
        <f>TextJoin(tblClassSubjs[[#This Row],[ClassID]:[SubjectID]],"Value")</f>
        <v>"408","61"</v>
      </c>
    </row>
    <row r="429" spans="2:11" x14ac:dyDescent="0.25">
      <c r="B429">
        <v>427</v>
      </c>
      <c r="C429">
        <v>409</v>
      </c>
      <c r="D429" s="21">
        <v>62</v>
      </c>
      <c r="F429" t="s">
        <v>390</v>
      </c>
      <c r="G429" t="s">
        <v>391</v>
      </c>
      <c r="J429" t="str">
        <f t="shared" si="6"/>
        <v>(NULL,"409","62"),</v>
      </c>
      <c r="K429" t="str">
        <f>TextJoin(tblClassSubjs[[#This Row],[ClassID]:[SubjectID]],"Value")</f>
        <v>"409","62"</v>
      </c>
    </row>
    <row r="430" spans="2:11" x14ac:dyDescent="0.25">
      <c r="B430">
        <v>428</v>
      </c>
      <c r="C430">
        <v>410</v>
      </c>
      <c r="D430" s="21">
        <v>63</v>
      </c>
      <c r="F430" t="s">
        <v>392</v>
      </c>
      <c r="G430" t="s">
        <v>393</v>
      </c>
      <c r="J430" t="str">
        <f t="shared" si="6"/>
        <v>(NULL,"410","63"),</v>
      </c>
      <c r="K430" t="str">
        <f>TextJoin(tblClassSubjs[[#This Row],[ClassID]:[SubjectID]],"Value")</f>
        <v>"410","63"</v>
      </c>
    </row>
    <row r="431" spans="2:11" x14ac:dyDescent="0.25">
      <c r="B431">
        <v>429</v>
      </c>
      <c r="C431">
        <v>411</v>
      </c>
      <c r="D431" s="21">
        <v>64</v>
      </c>
      <c r="F431" t="s">
        <v>394</v>
      </c>
      <c r="G431" t="s">
        <v>371</v>
      </c>
      <c r="J431" t="str">
        <f t="shared" si="6"/>
        <v>(NULL,"411","64"),</v>
      </c>
      <c r="K431" t="str">
        <f>TextJoin(tblClassSubjs[[#This Row],[ClassID]:[SubjectID]],"Value")</f>
        <v>"411","64"</v>
      </c>
    </row>
    <row r="432" spans="2:11" x14ac:dyDescent="0.25">
      <c r="B432">
        <v>430</v>
      </c>
      <c r="C432">
        <v>412</v>
      </c>
      <c r="D432" s="21">
        <v>65</v>
      </c>
      <c r="F432" t="s">
        <v>395</v>
      </c>
      <c r="G432" t="s">
        <v>396</v>
      </c>
      <c r="J432" t="str">
        <f t="shared" si="6"/>
        <v>(NULL,"412","65"),</v>
      </c>
      <c r="K432" t="str">
        <f>TextJoin(tblClassSubjs[[#This Row],[ClassID]:[SubjectID]],"Value")</f>
        <v>"412","65"</v>
      </c>
    </row>
    <row r="433" spans="2:11" x14ac:dyDescent="0.25">
      <c r="B433">
        <v>431</v>
      </c>
      <c r="C433">
        <v>413</v>
      </c>
      <c r="D433" s="21">
        <v>142</v>
      </c>
      <c r="F433" t="s">
        <v>509</v>
      </c>
      <c r="G433" t="s">
        <v>510</v>
      </c>
      <c r="J433" t="str">
        <f t="shared" si="6"/>
        <v>(NULL,"413","142"),</v>
      </c>
      <c r="K433" t="str">
        <f>TextJoin(tblClassSubjs[[#This Row],[ClassID]:[SubjectID]],"Value")</f>
        <v>"413","142"</v>
      </c>
    </row>
    <row r="434" spans="2:11" x14ac:dyDescent="0.25">
      <c r="B434">
        <v>432</v>
      </c>
      <c r="C434">
        <v>414</v>
      </c>
      <c r="D434" s="21">
        <v>143</v>
      </c>
      <c r="F434" t="s">
        <v>511</v>
      </c>
      <c r="G434" t="s">
        <v>512</v>
      </c>
      <c r="J434" t="str">
        <f t="shared" si="6"/>
        <v>(NULL,"414","143"),</v>
      </c>
      <c r="K434" t="str">
        <f>TextJoin(tblClassSubjs[[#This Row],[ClassID]:[SubjectID]],"Value")</f>
        <v>"414","143"</v>
      </c>
    </row>
    <row r="435" spans="2:11" x14ac:dyDescent="0.25">
      <c r="B435">
        <v>433</v>
      </c>
      <c r="C435">
        <v>415</v>
      </c>
      <c r="D435" s="21">
        <v>144</v>
      </c>
      <c r="F435" t="s">
        <v>513</v>
      </c>
      <c r="G435" t="s">
        <v>514</v>
      </c>
      <c r="J435" t="str">
        <f t="shared" si="6"/>
        <v>(NULL,"415","144"),</v>
      </c>
      <c r="K435" t="str">
        <f>TextJoin(tblClassSubjs[[#This Row],[ClassID]:[SubjectID]],"Value")</f>
        <v>"415","144"</v>
      </c>
    </row>
    <row r="436" spans="2:11" x14ac:dyDescent="0.25">
      <c r="B436">
        <v>434</v>
      </c>
      <c r="C436">
        <v>416</v>
      </c>
      <c r="D436" s="21">
        <v>145</v>
      </c>
      <c r="F436" t="s">
        <v>515</v>
      </c>
      <c r="G436" t="s">
        <v>508</v>
      </c>
      <c r="J436" t="str">
        <f t="shared" si="6"/>
        <v>(NULL,"416","145"),</v>
      </c>
      <c r="K436" t="str">
        <f>TextJoin(tblClassSubjs[[#This Row],[ClassID]:[SubjectID]],"Value")</f>
        <v>"416","145"</v>
      </c>
    </row>
    <row r="437" spans="2:11" x14ac:dyDescent="0.25">
      <c r="B437">
        <v>435</v>
      </c>
      <c r="C437">
        <v>417</v>
      </c>
      <c r="D437" s="21">
        <v>146</v>
      </c>
      <c r="F437" t="s">
        <v>516</v>
      </c>
      <c r="G437" t="s">
        <v>427</v>
      </c>
      <c r="J437" t="str">
        <f t="shared" si="6"/>
        <v>(NULL,"417","146"),</v>
      </c>
      <c r="K437" t="str">
        <f>TextJoin(tblClassSubjs[[#This Row],[ClassID]:[SubjectID]],"Value")</f>
        <v>"417","146"</v>
      </c>
    </row>
    <row r="438" spans="2:11" x14ac:dyDescent="0.25">
      <c r="B438">
        <v>436</v>
      </c>
      <c r="C438">
        <v>418</v>
      </c>
      <c r="D438" s="21">
        <v>75</v>
      </c>
      <c r="F438" t="s">
        <v>416</v>
      </c>
      <c r="G438" t="s">
        <v>417</v>
      </c>
      <c r="J438" t="str">
        <f t="shared" si="6"/>
        <v>(NULL,"418","75"),</v>
      </c>
      <c r="K438" t="str">
        <f>TextJoin(tblClassSubjs[[#This Row],[ClassID]:[SubjectID]],"Value")</f>
        <v>"418","75"</v>
      </c>
    </row>
    <row r="439" spans="2:11" x14ac:dyDescent="0.25">
      <c r="B439">
        <v>437</v>
      </c>
      <c r="C439">
        <v>419</v>
      </c>
      <c r="D439" s="21">
        <v>76</v>
      </c>
      <c r="F439" t="s">
        <v>418</v>
      </c>
      <c r="G439" t="s">
        <v>419</v>
      </c>
      <c r="J439" t="str">
        <f t="shared" si="6"/>
        <v>(NULL,"419","76"),</v>
      </c>
      <c r="K439" t="str">
        <f>TextJoin(tblClassSubjs[[#This Row],[ClassID]:[SubjectID]],"Value")</f>
        <v>"419","76"</v>
      </c>
    </row>
    <row r="440" spans="2:11" x14ac:dyDescent="0.25">
      <c r="B440">
        <v>438</v>
      </c>
      <c r="C440">
        <v>420</v>
      </c>
      <c r="D440" s="21">
        <v>77</v>
      </c>
      <c r="F440" t="s">
        <v>420</v>
      </c>
      <c r="G440" t="s">
        <v>421</v>
      </c>
      <c r="J440" t="str">
        <f t="shared" si="6"/>
        <v>(NULL,"420","77"),</v>
      </c>
      <c r="K440" t="str">
        <f>TextJoin(tblClassSubjs[[#This Row],[ClassID]:[SubjectID]],"Value")</f>
        <v>"420","77"</v>
      </c>
    </row>
    <row r="441" spans="2:11" x14ac:dyDescent="0.25">
      <c r="B441">
        <v>439</v>
      </c>
      <c r="C441">
        <v>421</v>
      </c>
      <c r="D441" s="21">
        <v>78</v>
      </c>
      <c r="F441" t="s">
        <v>422</v>
      </c>
      <c r="G441" t="s">
        <v>423</v>
      </c>
      <c r="J441" t="str">
        <f t="shared" si="6"/>
        <v>(NULL,"421","78"),</v>
      </c>
      <c r="K441" t="str">
        <f>TextJoin(tblClassSubjs[[#This Row],[ClassID]:[SubjectID]],"Value")</f>
        <v>"421","78"</v>
      </c>
    </row>
    <row r="442" spans="2:11" x14ac:dyDescent="0.25">
      <c r="B442">
        <v>440</v>
      </c>
      <c r="C442">
        <v>422</v>
      </c>
      <c r="D442" s="21">
        <v>79</v>
      </c>
      <c r="F442" t="s">
        <v>424</v>
      </c>
      <c r="G442" t="s">
        <v>425</v>
      </c>
      <c r="J442" t="str">
        <f t="shared" si="6"/>
        <v>(NULL,"422","79"),</v>
      </c>
      <c r="K442" t="str">
        <f>TextJoin(tblClassSubjs[[#This Row],[ClassID]:[SubjectID]],"Value")</f>
        <v>"422","79"</v>
      </c>
    </row>
    <row r="443" spans="2:11" x14ac:dyDescent="0.25">
      <c r="B443">
        <v>441</v>
      </c>
      <c r="C443">
        <v>423</v>
      </c>
      <c r="D443" s="21">
        <v>80</v>
      </c>
      <c r="E443" s="30"/>
      <c r="F443" s="29" t="s">
        <v>426</v>
      </c>
      <c r="G443" s="29" t="s">
        <v>427</v>
      </c>
      <c r="H443" s="29">
        <v>7</v>
      </c>
      <c r="J443" t="str">
        <f t="shared" si="6"/>
        <v>(NULL,"423","80"),</v>
      </c>
      <c r="K443" t="str">
        <f>TextJoin(tblClassSubjs[[#This Row],[ClassID]:[SubjectID]],"Value")</f>
        <v>"423","80"</v>
      </c>
    </row>
    <row r="444" spans="2:11" x14ac:dyDescent="0.25">
      <c r="B444">
        <v>442</v>
      </c>
      <c r="C444">
        <v>424</v>
      </c>
      <c r="D444" s="21">
        <v>1</v>
      </c>
      <c r="F444" t="s">
        <v>269</v>
      </c>
      <c r="G444" t="s">
        <v>270</v>
      </c>
      <c r="H444">
        <v>8</v>
      </c>
      <c r="J444" t="str">
        <f t="shared" si="6"/>
        <v>(NULL,"424","1"),</v>
      </c>
      <c r="K444" t="str">
        <f>TextJoin(tblClassSubjs[[#This Row],[ClassID]:[SubjectID]],"Value")</f>
        <v>"424","1"</v>
      </c>
    </row>
    <row r="445" spans="2:11" x14ac:dyDescent="0.25">
      <c r="B445">
        <v>443</v>
      </c>
      <c r="C445">
        <v>425</v>
      </c>
      <c r="D445" s="21">
        <v>2</v>
      </c>
      <c r="F445" t="s">
        <v>271</v>
      </c>
      <c r="G445" t="s">
        <v>272</v>
      </c>
      <c r="J445" t="str">
        <f t="shared" si="6"/>
        <v>(NULL,"425","2"),</v>
      </c>
      <c r="K445" t="str">
        <f>TextJoin(tblClassSubjs[[#This Row],[ClassID]:[SubjectID]],"Value")</f>
        <v>"425","2"</v>
      </c>
    </row>
    <row r="446" spans="2:11" x14ac:dyDescent="0.25">
      <c r="B446">
        <v>444</v>
      </c>
      <c r="C446">
        <v>426</v>
      </c>
      <c r="D446" s="21">
        <v>3</v>
      </c>
      <c r="F446" t="s">
        <v>273</v>
      </c>
      <c r="G446" t="s">
        <v>274</v>
      </c>
      <c r="J446" t="str">
        <f t="shared" si="6"/>
        <v>(NULL,"426","3"),</v>
      </c>
      <c r="K446" t="str">
        <f>TextJoin(tblClassSubjs[[#This Row],[ClassID]:[SubjectID]],"Value")</f>
        <v>"426","3"</v>
      </c>
    </row>
    <row r="447" spans="2:11" x14ac:dyDescent="0.25">
      <c r="B447">
        <v>445</v>
      </c>
      <c r="C447">
        <v>427</v>
      </c>
      <c r="D447" s="21">
        <v>4</v>
      </c>
      <c r="F447" t="s">
        <v>275</v>
      </c>
      <c r="G447" t="s">
        <v>276</v>
      </c>
      <c r="J447" t="str">
        <f t="shared" si="6"/>
        <v>(NULL,"427","4"),</v>
      </c>
      <c r="K447" t="str">
        <f>TextJoin(tblClassSubjs[[#This Row],[ClassID]:[SubjectID]],"Value")</f>
        <v>"427","4"</v>
      </c>
    </row>
    <row r="448" spans="2:11" x14ac:dyDescent="0.25">
      <c r="B448">
        <v>446</v>
      </c>
      <c r="C448">
        <v>428</v>
      </c>
      <c r="D448" s="21">
        <v>5</v>
      </c>
      <c r="F448" t="s">
        <v>277</v>
      </c>
      <c r="G448" t="s">
        <v>278</v>
      </c>
      <c r="J448" t="str">
        <f t="shared" si="6"/>
        <v>(NULL,"428","5"),</v>
      </c>
      <c r="K448" t="str">
        <f>TextJoin(tblClassSubjs[[#This Row],[ClassID]:[SubjectID]],"Value")</f>
        <v>"428","5"</v>
      </c>
    </row>
    <row r="449" spans="2:11" x14ac:dyDescent="0.25">
      <c r="B449">
        <v>447</v>
      </c>
      <c r="C449">
        <v>429</v>
      </c>
      <c r="D449" s="21">
        <v>6</v>
      </c>
      <c r="F449" t="s">
        <v>279</v>
      </c>
      <c r="G449" t="s">
        <v>280</v>
      </c>
      <c r="J449" t="str">
        <f t="shared" si="6"/>
        <v>(NULL,"429","6"),</v>
      </c>
      <c r="K449" t="str">
        <f>TextJoin(tblClassSubjs[[#This Row],[ClassID]:[SubjectID]],"Value")</f>
        <v>"429","6"</v>
      </c>
    </row>
    <row r="450" spans="2:11" x14ac:dyDescent="0.25">
      <c r="B450">
        <v>448</v>
      </c>
      <c r="C450">
        <v>430</v>
      </c>
      <c r="D450" s="21">
        <v>7</v>
      </c>
      <c r="F450" t="s">
        <v>281</v>
      </c>
      <c r="G450" t="s">
        <v>282</v>
      </c>
      <c r="J450" t="str">
        <f t="shared" si="6"/>
        <v>(NULL,"430","7"),</v>
      </c>
      <c r="K450" t="str">
        <f>TextJoin(tblClassSubjs[[#This Row],[ClassID]:[SubjectID]],"Value")</f>
        <v>"430","7"</v>
      </c>
    </row>
    <row r="451" spans="2:11" x14ac:dyDescent="0.25">
      <c r="B451">
        <v>449</v>
      </c>
      <c r="C451">
        <v>431</v>
      </c>
      <c r="D451" s="21">
        <v>8</v>
      </c>
      <c r="F451" t="s">
        <v>283</v>
      </c>
      <c r="G451" t="s">
        <v>284</v>
      </c>
      <c r="J451" t="str">
        <f t="shared" si="6"/>
        <v>(NULL,"431","8"),</v>
      </c>
      <c r="K451" t="str">
        <f>TextJoin(tblClassSubjs[[#This Row],[ClassID]:[SubjectID]],"Value")</f>
        <v>"431","8"</v>
      </c>
    </row>
    <row r="452" spans="2:11" x14ac:dyDescent="0.25">
      <c r="B452">
        <v>450</v>
      </c>
      <c r="C452">
        <v>432</v>
      </c>
      <c r="D452" s="21">
        <v>9</v>
      </c>
      <c r="F452" t="s">
        <v>285</v>
      </c>
      <c r="G452" t="s">
        <v>286</v>
      </c>
      <c r="J452" t="str">
        <f t="shared" ref="J452:J515" si="7">"(NULL,"&amp;K452&amp;")"&amp;IF(J453&lt;&gt;"",",",";")</f>
        <v>(NULL,"432","9"),</v>
      </c>
      <c r="K452" t="str">
        <f>TextJoin(tblClassSubjs[[#This Row],[ClassID]:[SubjectID]],"Value")</f>
        <v>"432","9"</v>
      </c>
    </row>
    <row r="453" spans="2:11" x14ac:dyDescent="0.25">
      <c r="B453">
        <v>451</v>
      </c>
      <c r="C453">
        <v>433</v>
      </c>
      <c r="D453" s="21">
        <v>84</v>
      </c>
      <c r="F453" t="s">
        <v>429</v>
      </c>
      <c r="G453" t="s">
        <v>430</v>
      </c>
      <c r="J453" t="str">
        <f t="shared" si="7"/>
        <v>(NULL,"433","84"),</v>
      </c>
      <c r="K453" t="str">
        <f>TextJoin(tblClassSubjs[[#This Row],[ClassID]:[SubjectID]],"Value")</f>
        <v>"433","84"</v>
      </c>
    </row>
    <row r="454" spans="2:11" x14ac:dyDescent="0.25">
      <c r="B454">
        <v>452</v>
      </c>
      <c r="C454">
        <v>434</v>
      </c>
      <c r="D454" s="21">
        <v>85</v>
      </c>
      <c r="F454" t="s">
        <v>431</v>
      </c>
      <c r="G454" t="s">
        <v>432</v>
      </c>
      <c r="J454" t="str">
        <f t="shared" si="7"/>
        <v>(NULL,"434","85"),</v>
      </c>
      <c r="K454" t="str">
        <f>TextJoin(tblClassSubjs[[#This Row],[ClassID]:[SubjectID]],"Value")</f>
        <v>"434","85"</v>
      </c>
    </row>
    <row r="455" spans="2:11" x14ac:dyDescent="0.25">
      <c r="B455">
        <v>453</v>
      </c>
      <c r="C455">
        <v>435</v>
      </c>
      <c r="D455" s="21">
        <v>86</v>
      </c>
      <c r="F455" t="s">
        <v>433</v>
      </c>
      <c r="G455" t="s">
        <v>434</v>
      </c>
      <c r="J455" t="str">
        <f t="shared" si="7"/>
        <v>(NULL,"435","86"),</v>
      </c>
      <c r="K455" t="str">
        <f>TextJoin(tblClassSubjs[[#This Row],[ClassID]:[SubjectID]],"Value")</f>
        <v>"435","86"</v>
      </c>
    </row>
    <row r="456" spans="2:11" x14ac:dyDescent="0.25">
      <c r="B456">
        <v>454</v>
      </c>
      <c r="C456">
        <v>436</v>
      </c>
      <c r="D456" s="21">
        <v>87</v>
      </c>
      <c r="F456" t="s">
        <v>435</v>
      </c>
      <c r="G456" t="s">
        <v>331</v>
      </c>
      <c r="J456" t="str">
        <f t="shared" si="7"/>
        <v>(NULL,"436","87"),</v>
      </c>
      <c r="K456" t="str">
        <f>TextJoin(tblClassSubjs[[#This Row],[ClassID]:[SubjectID]],"Value")</f>
        <v>"436","87"</v>
      </c>
    </row>
    <row r="457" spans="2:11" x14ac:dyDescent="0.25">
      <c r="B457">
        <v>455</v>
      </c>
      <c r="C457">
        <v>437</v>
      </c>
      <c r="D457" s="21">
        <v>20</v>
      </c>
      <c r="F457" t="s">
        <v>306</v>
      </c>
      <c r="G457" t="s">
        <v>307</v>
      </c>
      <c r="J457" t="str">
        <f t="shared" si="7"/>
        <v>(NULL,"437","20"),</v>
      </c>
      <c r="K457" t="str">
        <f>TextJoin(tblClassSubjs[[#This Row],[ClassID]:[SubjectID]],"Value")</f>
        <v>"437","20"</v>
      </c>
    </row>
    <row r="458" spans="2:11" x14ac:dyDescent="0.25">
      <c r="B458">
        <v>456</v>
      </c>
      <c r="C458">
        <v>438</v>
      </c>
      <c r="D458" s="21">
        <v>21</v>
      </c>
      <c r="F458" t="s">
        <v>308</v>
      </c>
      <c r="G458" t="s">
        <v>309</v>
      </c>
      <c r="J458" t="str">
        <f t="shared" si="7"/>
        <v>(NULL,"438","21"),</v>
      </c>
      <c r="K458" t="str">
        <f>TextJoin(tblClassSubjs[[#This Row],[ClassID]:[SubjectID]],"Value")</f>
        <v>"438","21"</v>
      </c>
    </row>
    <row r="459" spans="2:11" x14ac:dyDescent="0.25">
      <c r="B459">
        <v>457</v>
      </c>
      <c r="C459">
        <v>439</v>
      </c>
      <c r="D459" s="21">
        <v>22</v>
      </c>
      <c r="F459" t="s">
        <v>310</v>
      </c>
      <c r="G459" t="s">
        <v>311</v>
      </c>
      <c r="J459" t="str">
        <f t="shared" si="7"/>
        <v>(NULL,"439","22"),</v>
      </c>
      <c r="K459" t="str">
        <f>TextJoin(tblClassSubjs[[#This Row],[ClassID]:[SubjectID]],"Value")</f>
        <v>"439","22"</v>
      </c>
    </row>
    <row r="460" spans="2:11" x14ac:dyDescent="0.25">
      <c r="B460">
        <v>458</v>
      </c>
      <c r="C460">
        <v>440</v>
      </c>
      <c r="D460" s="21">
        <v>23</v>
      </c>
      <c r="F460" t="s">
        <v>312</v>
      </c>
      <c r="G460" t="s">
        <v>313</v>
      </c>
      <c r="J460" t="str">
        <f t="shared" si="7"/>
        <v>(NULL,"440","23"),</v>
      </c>
      <c r="K460" t="str">
        <f>TextJoin(tblClassSubjs[[#This Row],[ClassID]:[SubjectID]],"Value")</f>
        <v>"440","23"</v>
      </c>
    </row>
    <row r="461" spans="2:11" x14ac:dyDescent="0.25">
      <c r="B461">
        <v>459</v>
      </c>
      <c r="C461">
        <v>441</v>
      </c>
      <c r="D461" s="21">
        <v>24</v>
      </c>
      <c r="F461" t="s">
        <v>314</v>
      </c>
      <c r="G461" t="s">
        <v>315</v>
      </c>
      <c r="J461" t="str">
        <f t="shared" si="7"/>
        <v>(NULL,"441","24"),</v>
      </c>
      <c r="K461" t="str">
        <f>TextJoin(tblClassSubjs[[#This Row],[ClassID]:[SubjectID]],"Value")</f>
        <v>"441","24"</v>
      </c>
    </row>
    <row r="462" spans="2:11" x14ac:dyDescent="0.25">
      <c r="B462">
        <v>460</v>
      </c>
      <c r="C462">
        <v>442</v>
      </c>
      <c r="D462" s="21">
        <v>25</v>
      </c>
      <c r="F462" t="s">
        <v>316</v>
      </c>
      <c r="G462" t="s">
        <v>317</v>
      </c>
      <c r="J462" t="str">
        <f t="shared" si="7"/>
        <v>(NULL,"442","25"),</v>
      </c>
      <c r="K462" t="str">
        <f>TextJoin(tblClassSubjs[[#This Row],[ClassID]:[SubjectID]],"Value")</f>
        <v>"442","25"</v>
      </c>
    </row>
    <row r="463" spans="2:11" x14ac:dyDescent="0.25">
      <c r="B463">
        <v>461</v>
      </c>
      <c r="C463">
        <v>443</v>
      </c>
      <c r="D463" s="21">
        <v>26</v>
      </c>
      <c r="F463" t="s">
        <v>318</v>
      </c>
      <c r="G463" t="s">
        <v>319</v>
      </c>
      <c r="J463" t="str">
        <f t="shared" si="7"/>
        <v>(NULL,"443","26"),</v>
      </c>
      <c r="K463" t="str">
        <f>TextJoin(tblClassSubjs[[#This Row],[ClassID]:[SubjectID]],"Value")</f>
        <v>"443","26"</v>
      </c>
    </row>
    <row r="464" spans="2:11" x14ac:dyDescent="0.25">
      <c r="B464">
        <v>462</v>
      </c>
      <c r="C464">
        <v>444</v>
      </c>
      <c r="D464" s="21">
        <v>27</v>
      </c>
      <c r="F464" t="s">
        <v>320</v>
      </c>
      <c r="G464" t="s">
        <v>321</v>
      </c>
      <c r="J464" t="str">
        <f t="shared" si="7"/>
        <v>(NULL,"444","27"),</v>
      </c>
      <c r="K464" t="str">
        <f>TextJoin(tblClassSubjs[[#This Row],[ClassID]:[SubjectID]],"Value")</f>
        <v>"444","27"</v>
      </c>
    </row>
    <row r="465" spans="2:11" x14ac:dyDescent="0.25">
      <c r="B465">
        <v>463</v>
      </c>
      <c r="C465">
        <v>445</v>
      </c>
      <c r="D465" s="21">
        <v>103</v>
      </c>
      <c r="F465" t="s">
        <v>450</v>
      </c>
      <c r="G465" t="s">
        <v>451</v>
      </c>
      <c r="J465" t="str">
        <f t="shared" si="7"/>
        <v>(NULL,"445","103"),</v>
      </c>
      <c r="K465" t="str">
        <f>TextJoin(tblClassSubjs[[#This Row],[ClassID]:[SubjectID]],"Value")</f>
        <v>"445","103"</v>
      </c>
    </row>
    <row r="466" spans="2:11" x14ac:dyDescent="0.25">
      <c r="B466">
        <v>464</v>
      </c>
      <c r="C466">
        <v>446</v>
      </c>
      <c r="D466" s="21">
        <v>104</v>
      </c>
      <c r="F466" t="s">
        <v>452</v>
      </c>
      <c r="G466" t="s">
        <v>453</v>
      </c>
      <c r="J466" t="str">
        <f t="shared" si="7"/>
        <v>(NULL,"446","104"),</v>
      </c>
      <c r="K466" t="str">
        <f>TextJoin(tblClassSubjs[[#This Row],[ClassID]:[SubjectID]],"Value")</f>
        <v>"446","104"</v>
      </c>
    </row>
    <row r="467" spans="2:11" x14ac:dyDescent="0.25">
      <c r="B467">
        <v>465</v>
      </c>
      <c r="C467">
        <v>447</v>
      </c>
      <c r="D467" s="21">
        <v>105</v>
      </c>
      <c r="F467" t="s">
        <v>454</v>
      </c>
      <c r="G467" t="s">
        <v>455</v>
      </c>
      <c r="J467" t="str">
        <f t="shared" si="7"/>
        <v>(NULL,"447","105"),</v>
      </c>
      <c r="K467" t="str">
        <f>TextJoin(tblClassSubjs[[#This Row],[ClassID]:[SubjectID]],"Value")</f>
        <v>"447","105"</v>
      </c>
    </row>
    <row r="468" spans="2:11" x14ac:dyDescent="0.25">
      <c r="B468">
        <v>466</v>
      </c>
      <c r="C468">
        <v>448</v>
      </c>
      <c r="D468" s="21">
        <v>106</v>
      </c>
      <c r="F468" t="s">
        <v>456</v>
      </c>
      <c r="G468" t="s">
        <v>329</v>
      </c>
      <c r="J468" t="str">
        <f t="shared" si="7"/>
        <v>(NULL,"448","106"),</v>
      </c>
      <c r="K468" t="str">
        <f>TextJoin(tblClassSubjs[[#This Row],[ClassID]:[SubjectID]],"Value")</f>
        <v>"448","106"</v>
      </c>
    </row>
    <row r="469" spans="2:11" x14ac:dyDescent="0.25">
      <c r="B469">
        <v>467</v>
      </c>
      <c r="C469">
        <v>449</v>
      </c>
      <c r="D469" s="21">
        <v>107</v>
      </c>
      <c r="F469" t="s">
        <v>457</v>
      </c>
      <c r="G469" t="s">
        <v>458</v>
      </c>
      <c r="J469" t="str">
        <f t="shared" si="7"/>
        <v>(NULL,"449","107"),</v>
      </c>
      <c r="K469" t="str">
        <f>TextJoin(tblClassSubjs[[#This Row],[ClassID]:[SubjectID]],"Value")</f>
        <v>"449","107"</v>
      </c>
    </row>
    <row r="470" spans="2:11" x14ac:dyDescent="0.25">
      <c r="B470">
        <v>468</v>
      </c>
      <c r="C470">
        <v>450</v>
      </c>
      <c r="D470" s="21">
        <v>35</v>
      </c>
      <c r="F470" t="s">
        <v>337</v>
      </c>
      <c r="G470" t="s">
        <v>338</v>
      </c>
      <c r="J470" t="str">
        <f t="shared" si="7"/>
        <v>(NULL,"450","35"),</v>
      </c>
      <c r="K470" t="str">
        <f>TextJoin(tblClassSubjs[[#This Row],[ClassID]:[SubjectID]],"Value")</f>
        <v>"450","35"</v>
      </c>
    </row>
    <row r="471" spans="2:11" x14ac:dyDescent="0.25">
      <c r="B471">
        <v>469</v>
      </c>
      <c r="C471">
        <v>451</v>
      </c>
      <c r="D471" s="21">
        <v>36</v>
      </c>
      <c r="F471" t="s">
        <v>339</v>
      </c>
      <c r="G471" t="s">
        <v>340</v>
      </c>
      <c r="J471" t="str">
        <f t="shared" si="7"/>
        <v>(NULL,"451","36"),</v>
      </c>
      <c r="K471" t="str">
        <f>TextJoin(tblClassSubjs[[#This Row],[ClassID]:[SubjectID]],"Value")</f>
        <v>"451","36"</v>
      </c>
    </row>
    <row r="472" spans="2:11" x14ac:dyDescent="0.25">
      <c r="B472">
        <v>470</v>
      </c>
      <c r="C472">
        <v>452</v>
      </c>
      <c r="D472" s="21">
        <v>37</v>
      </c>
      <c r="F472" t="s">
        <v>341</v>
      </c>
      <c r="G472" t="s">
        <v>342</v>
      </c>
      <c r="J472" t="str">
        <f t="shared" si="7"/>
        <v>(NULL,"452","37"),</v>
      </c>
      <c r="K472" t="str">
        <f>TextJoin(tblClassSubjs[[#This Row],[ClassID]:[SubjectID]],"Value")</f>
        <v>"452","37"</v>
      </c>
    </row>
    <row r="473" spans="2:11" x14ac:dyDescent="0.25">
      <c r="B473">
        <v>471</v>
      </c>
      <c r="C473">
        <v>453</v>
      </c>
      <c r="D473" s="21">
        <v>38</v>
      </c>
      <c r="F473" t="s">
        <v>343</v>
      </c>
      <c r="G473" t="s">
        <v>344</v>
      </c>
      <c r="J473" t="str">
        <f t="shared" si="7"/>
        <v>(NULL,"453","38"),</v>
      </c>
      <c r="K473" t="str">
        <f>TextJoin(tblClassSubjs[[#This Row],[ClassID]:[SubjectID]],"Value")</f>
        <v>"453","38"</v>
      </c>
    </row>
    <row r="474" spans="2:11" x14ac:dyDescent="0.25">
      <c r="B474">
        <v>472</v>
      </c>
      <c r="C474">
        <v>454</v>
      </c>
      <c r="D474" s="21">
        <v>39</v>
      </c>
      <c r="F474" t="s">
        <v>345</v>
      </c>
      <c r="G474" t="s">
        <v>346</v>
      </c>
      <c r="J474" t="str">
        <f t="shared" si="7"/>
        <v>(NULL,"454","39"),</v>
      </c>
      <c r="K474" t="str">
        <f>TextJoin(tblClassSubjs[[#This Row],[ClassID]:[SubjectID]],"Value")</f>
        <v>"454","39"</v>
      </c>
    </row>
    <row r="475" spans="2:11" x14ac:dyDescent="0.25">
      <c r="B475">
        <v>473</v>
      </c>
      <c r="C475">
        <v>455</v>
      </c>
      <c r="D475" s="21">
        <v>40</v>
      </c>
      <c r="F475" t="s">
        <v>347</v>
      </c>
      <c r="G475" t="s">
        <v>348</v>
      </c>
      <c r="J475" t="str">
        <f t="shared" si="7"/>
        <v>(NULL,"455","40"),</v>
      </c>
      <c r="K475" t="str">
        <f>TextJoin(tblClassSubjs[[#This Row],[ClassID]:[SubjectID]],"Value")</f>
        <v>"455","40"</v>
      </c>
    </row>
    <row r="476" spans="2:11" x14ac:dyDescent="0.25">
      <c r="B476">
        <v>474</v>
      </c>
      <c r="C476">
        <v>456</v>
      </c>
      <c r="D476" s="21">
        <v>41</v>
      </c>
      <c r="F476" t="s">
        <v>349</v>
      </c>
      <c r="G476" t="s">
        <v>350</v>
      </c>
      <c r="J476" t="str">
        <f t="shared" si="7"/>
        <v>(NULL,"456","41"),</v>
      </c>
      <c r="K476" t="str">
        <f>TextJoin(tblClassSubjs[[#This Row],[ClassID]:[SubjectID]],"Value")</f>
        <v>"456","41"</v>
      </c>
    </row>
    <row r="477" spans="2:11" x14ac:dyDescent="0.25">
      <c r="B477">
        <v>475</v>
      </c>
      <c r="C477">
        <v>457</v>
      </c>
      <c r="D477" s="21">
        <v>42</v>
      </c>
      <c r="F477" t="s">
        <v>351</v>
      </c>
      <c r="G477" t="s">
        <v>610</v>
      </c>
      <c r="J477" t="str">
        <f t="shared" si="7"/>
        <v>(NULL,"457","42"),</v>
      </c>
      <c r="K477" t="str">
        <f>TextJoin(tblClassSubjs[[#This Row],[ClassID]:[SubjectID]],"Value")</f>
        <v>"457","42"</v>
      </c>
    </row>
    <row r="478" spans="2:11" x14ac:dyDescent="0.25">
      <c r="B478">
        <v>476</v>
      </c>
      <c r="C478">
        <v>458</v>
      </c>
      <c r="D478" s="21">
        <v>120</v>
      </c>
      <c r="F478" t="s">
        <v>475</v>
      </c>
      <c r="G478" t="s">
        <v>476</v>
      </c>
      <c r="J478" t="str">
        <f t="shared" si="7"/>
        <v>(NULL,"458","120"),</v>
      </c>
      <c r="K478" t="str">
        <f>TextJoin(tblClassSubjs[[#This Row],[ClassID]:[SubjectID]],"Value")</f>
        <v>"458","120"</v>
      </c>
    </row>
    <row r="479" spans="2:11" x14ac:dyDescent="0.25">
      <c r="B479">
        <v>477</v>
      </c>
      <c r="C479">
        <v>459</v>
      </c>
      <c r="D479" s="21">
        <v>121</v>
      </c>
      <c r="F479" t="s">
        <v>477</v>
      </c>
      <c r="G479" t="s">
        <v>389</v>
      </c>
      <c r="J479" t="str">
        <f t="shared" si="7"/>
        <v>(NULL,"459","121"),</v>
      </c>
      <c r="K479" t="str">
        <f>TextJoin(tblClassSubjs[[#This Row],[ClassID]:[SubjectID]],"Value")</f>
        <v>"459","121"</v>
      </c>
    </row>
    <row r="480" spans="2:11" x14ac:dyDescent="0.25">
      <c r="B480">
        <v>478</v>
      </c>
      <c r="C480">
        <v>460</v>
      </c>
      <c r="D480" s="21">
        <v>122</v>
      </c>
      <c r="F480" t="s">
        <v>478</v>
      </c>
      <c r="G480" t="s">
        <v>479</v>
      </c>
      <c r="J480" t="str">
        <f t="shared" si="7"/>
        <v>(NULL,"460","122"),</v>
      </c>
      <c r="K480" t="str">
        <f>TextJoin(tblClassSubjs[[#This Row],[ClassID]:[SubjectID]],"Value")</f>
        <v>"460","122"</v>
      </c>
    </row>
    <row r="481" spans="2:11" x14ac:dyDescent="0.25">
      <c r="B481">
        <v>479</v>
      </c>
      <c r="C481">
        <v>461</v>
      </c>
      <c r="D481" s="21">
        <v>123</v>
      </c>
      <c r="F481" t="s">
        <v>480</v>
      </c>
      <c r="G481" t="s">
        <v>359</v>
      </c>
      <c r="J481" t="str">
        <f t="shared" si="7"/>
        <v>(NULL,"461","123"),</v>
      </c>
      <c r="K481" t="str">
        <f>TextJoin(tblClassSubjs[[#This Row],[ClassID]:[SubjectID]],"Value")</f>
        <v>"461","123"</v>
      </c>
    </row>
    <row r="482" spans="2:11" x14ac:dyDescent="0.25">
      <c r="B482">
        <v>480</v>
      </c>
      <c r="C482">
        <v>462</v>
      </c>
      <c r="D482" s="21">
        <v>124</v>
      </c>
      <c r="F482" t="s">
        <v>481</v>
      </c>
      <c r="G482" t="s">
        <v>298</v>
      </c>
      <c r="J482" t="str">
        <f t="shared" si="7"/>
        <v>(NULL,"462","124"),</v>
      </c>
      <c r="K482" t="str">
        <f>TextJoin(tblClassSubjs[[#This Row],[ClassID]:[SubjectID]],"Value")</f>
        <v>"462","124"</v>
      </c>
    </row>
    <row r="483" spans="2:11" x14ac:dyDescent="0.25">
      <c r="B483">
        <v>481</v>
      </c>
      <c r="C483">
        <v>463</v>
      </c>
      <c r="D483" s="21">
        <v>125</v>
      </c>
      <c r="F483" t="s">
        <v>482</v>
      </c>
      <c r="G483" t="s">
        <v>483</v>
      </c>
      <c r="J483" t="str">
        <f t="shared" si="7"/>
        <v>(NULL,"463","125"),</v>
      </c>
      <c r="K483" t="str">
        <f>TextJoin(tblClassSubjs[[#This Row],[ClassID]:[SubjectID]],"Value")</f>
        <v>"463","125"</v>
      </c>
    </row>
    <row r="484" spans="2:11" x14ac:dyDescent="0.25">
      <c r="B484">
        <v>482</v>
      </c>
      <c r="C484">
        <v>464</v>
      </c>
      <c r="D484" s="21">
        <v>126</v>
      </c>
      <c r="F484" t="s">
        <v>484</v>
      </c>
      <c r="G484" t="s">
        <v>333</v>
      </c>
      <c r="J484" t="str">
        <f t="shared" si="7"/>
        <v>(NULL,"464","126"),</v>
      </c>
      <c r="K484" t="str">
        <f>TextJoin(tblClassSubjs[[#This Row],[ClassID]:[SubjectID]],"Value")</f>
        <v>"464","126"</v>
      </c>
    </row>
    <row r="485" spans="2:11" x14ac:dyDescent="0.25">
      <c r="B485">
        <v>483</v>
      </c>
      <c r="C485">
        <v>465</v>
      </c>
      <c r="D485" s="21">
        <v>51</v>
      </c>
      <c r="F485" t="s">
        <v>368</v>
      </c>
      <c r="G485" t="s">
        <v>369</v>
      </c>
      <c r="J485" t="str">
        <f t="shared" si="7"/>
        <v>(NULL,"465","51"),</v>
      </c>
      <c r="K485" t="str">
        <f>TextJoin(tblClassSubjs[[#This Row],[ClassID]:[SubjectID]],"Value")</f>
        <v>"465","51"</v>
      </c>
    </row>
    <row r="486" spans="2:11" x14ac:dyDescent="0.25">
      <c r="B486">
        <v>484</v>
      </c>
      <c r="C486">
        <v>466</v>
      </c>
      <c r="D486" s="21">
        <v>52</v>
      </c>
      <c r="F486" t="s">
        <v>370</v>
      </c>
      <c r="G486" t="s">
        <v>371</v>
      </c>
      <c r="J486" t="str">
        <f t="shared" si="7"/>
        <v>(NULL,"466","52"),</v>
      </c>
      <c r="K486" t="str">
        <f>TextJoin(tblClassSubjs[[#This Row],[ClassID]:[SubjectID]],"Value")</f>
        <v>"466","52"</v>
      </c>
    </row>
    <row r="487" spans="2:11" x14ac:dyDescent="0.25">
      <c r="B487">
        <v>485</v>
      </c>
      <c r="C487">
        <v>467</v>
      </c>
      <c r="D487" s="21">
        <v>53</v>
      </c>
      <c r="F487" t="s">
        <v>372</v>
      </c>
      <c r="G487" t="s">
        <v>373</v>
      </c>
      <c r="J487" t="str">
        <f t="shared" si="7"/>
        <v>(NULL,"467","53"),</v>
      </c>
      <c r="K487" t="str">
        <f>TextJoin(tblClassSubjs[[#This Row],[ClassID]:[SubjectID]],"Value")</f>
        <v>"467","53"</v>
      </c>
    </row>
    <row r="488" spans="2:11" x14ac:dyDescent="0.25">
      <c r="B488">
        <v>486</v>
      </c>
      <c r="C488">
        <v>468</v>
      </c>
      <c r="D488" s="21">
        <v>54</v>
      </c>
      <c r="F488" t="s">
        <v>374</v>
      </c>
      <c r="G488" t="s">
        <v>375</v>
      </c>
      <c r="J488" t="str">
        <f t="shared" si="7"/>
        <v>(NULL,"468","54"),</v>
      </c>
      <c r="K488" t="str">
        <f>TextJoin(tblClassSubjs[[#This Row],[ClassID]:[SubjectID]],"Value")</f>
        <v>"468","54"</v>
      </c>
    </row>
    <row r="489" spans="2:11" x14ac:dyDescent="0.25">
      <c r="B489">
        <v>487</v>
      </c>
      <c r="C489">
        <v>469</v>
      </c>
      <c r="D489" s="21">
        <v>55</v>
      </c>
      <c r="F489" t="s">
        <v>376</v>
      </c>
      <c r="G489" t="s">
        <v>377</v>
      </c>
      <c r="J489" t="str">
        <f t="shared" si="7"/>
        <v>(NULL,"469","55"),</v>
      </c>
      <c r="K489" t="str">
        <f>TextJoin(tblClassSubjs[[#This Row],[ClassID]:[SubjectID]],"Value")</f>
        <v>"469","55"</v>
      </c>
    </row>
    <row r="490" spans="2:11" x14ac:dyDescent="0.25">
      <c r="B490">
        <v>488</v>
      </c>
      <c r="C490">
        <v>470</v>
      </c>
      <c r="D490" s="21">
        <v>56</v>
      </c>
      <c r="F490" t="s">
        <v>378</v>
      </c>
      <c r="G490" t="s">
        <v>379</v>
      </c>
      <c r="J490" t="str">
        <f t="shared" si="7"/>
        <v>(NULL,"470","56"),</v>
      </c>
      <c r="K490" t="str">
        <f>TextJoin(tblClassSubjs[[#This Row],[ClassID]:[SubjectID]],"Value")</f>
        <v>"470","56"</v>
      </c>
    </row>
    <row r="491" spans="2:11" x14ac:dyDescent="0.25">
      <c r="B491">
        <v>489</v>
      </c>
      <c r="C491">
        <v>471</v>
      </c>
      <c r="D491" s="21">
        <v>57</v>
      </c>
      <c r="F491" t="s">
        <v>380</v>
      </c>
      <c r="G491" t="s">
        <v>381</v>
      </c>
      <c r="J491" t="str">
        <f t="shared" si="7"/>
        <v>(NULL,"471","57"),</v>
      </c>
      <c r="K491" t="str">
        <f>TextJoin(tblClassSubjs[[#This Row],[ClassID]:[SubjectID]],"Value")</f>
        <v>"471","57"</v>
      </c>
    </row>
    <row r="492" spans="2:11" x14ac:dyDescent="0.25">
      <c r="B492">
        <v>490</v>
      </c>
      <c r="C492">
        <v>472</v>
      </c>
      <c r="D492" s="21">
        <v>58</v>
      </c>
      <c r="F492" t="s">
        <v>382</v>
      </c>
      <c r="G492" t="s">
        <v>383</v>
      </c>
      <c r="J492" t="str">
        <f t="shared" si="7"/>
        <v>(NULL,"472","58"),</v>
      </c>
      <c r="K492" t="str">
        <f>TextJoin(tblClassSubjs[[#This Row],[ClassID]:[SubjectID]],"Value")</f>
        <v>"472","58"</v>
      </c>
    </row>
    <row r="493" spans="2:11" x14ac:dyDescent="0.25">
      <c r="B493">
        <v>491</v>
      </c>
      <c r="C493">
        <v>473</v>
      </c>
      <c r="D493" s="24">
        <v>136</v>
      </c>
      <c r="E493" s="4"/>
      <c r="F493" s="4" t="s">
        <v>498</v>
      </c>
      <c r="G493" s="4" t="s">
        <v>499</v>
      </c>
      <c r="H493" s="4"/>
      <c r="J493" t="str">
        <f t="shared" si="7"/>
        <v>(NULL,"473","136"),</v>
      </c>
      <c r="K493" t="str">
        <f>TextJoin(tblClassSubjs[[#This Row],[ClassID]:[SubjectID]],"Value")</f>
        <v>"473","136"</v>
      </c>
    </row>
    <row r="494" spans="2:11" x14ac:dyDescent="0.25">
      <c r="B494">
        <v>492</v>
      </c>
      <c r="C494">
        <v>474</v>
      </c>
      <c r="D494" s="21">
        <v>137</v>
      </c>
      <c r="F494" t="s">
        <v>500</v>
      </c>
      <c r="G494" t="s">
        <v>501</v>
      </c>
      <c r="J494" t="str">
        <f t="shared" si="7"/>
        <v>(NULL,"474","137"),</v>
      </c>
      <c r="K494" t="str">
        <f>TextJoin(tblClassSubjs[[#This Row],[ClassID]:[SubjectID]],"Value")</f>
        <v>"474","137"</v>
      </c>
    </row>
    <row r="495" spans="2:11" x14ac:dyDescent="0.25">
      <c r="B495">
        <v>493</v>
      </c>
      <c r="C495">
        <v>475</v>
      </c>
      <c r="D495" s="21">
        <v>138</v>
      </c>
      <c r="F495" t="s">
        <v>502</v>
      </c>
      <c r="G495" t="s">
        <v>391</v>
      </c>
      <c r="J495" t="str">
        <f t="shared" si="7"/>
        <v>(NULL,"475","138"),</v>
      </c>
      <c r="K495" t="str">
        <f>TextJoin(tblClassSubjs[[#This Row],[ClassID]:[SubjectID]],"Value")</f>
        <v>"475","138"</v>
      </c>
    </row>
    <row r="496" spans="2:11" x14ac:dyDescent="0.25">
      <c r="B496">
        <v>494</v>
      </c>
      <c r="C496">
        <v>476</v>
      </c>
      <c r="D496" s="21">
        <v>139</v>
      </c>
      <c r="F496" t="s">
        <v>503</v>
      </c>
      <c r="G496" t="s">
        <v>504</v>
      </c>
      <c r="J496" t="str">
        <f t="shared" si="7"/>
        <v>(NULL,"476","139"),</v>
      </c>
      <c r="K496" t="str">
        <f>TextJoin(tblClassSubjs[[#This Row],[ClassID]:[SubjectID]],"Value")</f>
        <v>"476","139"</v>
      </c>
    </row>
    <row r="497" spans="2:11" x14ac:dyDescent="0.25">
      <c r="B497">
        <v>495</v>
      </c>
      <c r="C497">
        <v>477</v>
      </c>
      <c r="D497" s="21">
        <v>140</v>
      </c>
      <c r="F497" t="s">
        <v>505</v>
      </c>
      <c r="G497" t="s">
        <v>506</v>
      </c>
      <c r="J497" t="str">
        <f t="shared" si="7"/>
        <v>(NULL,"477","140"),</v>
      </c>
      <c r="K497" t="str">
        <f>TextJoin(tblClassSubjs[[#This Row],[ClassID]:[SubjectID]],"Value")</f>
        <v>"477","140"</v>
      </c>
    </row>
    <row r="498" spans="2:11" x14ac:dyDescent="0.25">
      <c r="B498">
        <v>496</v>
      </c>
      <c r="C498">
        <v>478</v>
      </c>
      <c r="D498" s="21">
        <v>132</v>
      </c>
      <c r="F498" t="s">
        <v>493</v>
      </c>
      <c r="G498" t="s">
        <v>415</v>
      </c>
      <c r="J498" t="str">
        <f t="shared" si="7"/>
        <v>(NULL,"478","132"),</v>
      </c>
      <c r="K498" t="str">
        <f>TextJoin(tblClassSubjs[[#This Row],[ClassID]:[SubjectID]],"Value")</f>
        <v>"478","132"</v>
      </c>
    </row>
    <row r="499" spans="2:11" x14ac:dyDescent="0.25">
      <c r="B499">
        <v>497</v>
      </c>
      <c r="C499">
        <v>479</v>
      </c>
      <c r="D499" s="21">
        <v>67</v>
      </c>
      <c r="F499" t="s">
        <v>400</v>
      </c>
      <c r="G499" t="s">
        <v>401</v>
      </c>
      <c r="J499" t="str">
        <f t="shared" si="7"/>
        <v>(NULL,"479","67"),</v>
      </c>
      <c r="K499" t="str">
        <f>TextJoin(tblClassSubjs[[#This Row],[ClassID]:[SubjectID]],"Value")</f>
        <v>"479","67"</v>
      </c>
    </row>
    <row r="500" spans="2:11" x14ac:dyDescent="0.25">
      <c r="B500">
        <v>498</v>
      </c>
      <c r="C500">
        <v>480</v>
      </c>
      <c r="D500" s="21">
        <v>68</v>
      </c>
      <c r="F500" t="s">
        <v>402</v>
      </c>
      <c r="G500" t="s">
        <v>403</v>
      </c>
      <c r="J500" t="str">
        <f t="shared" si="7"/>
        <v>(NULL,"480","68"),</v>
      </c>
      <c r="K500" t="str">
        <f>TextJoin(tblClassSubjs[[#This Row],[ClassID]:[SubjectID]],"Value")</f>
        <v>"480","68"</v>
      </c>
    </row>
    <row r="501" spans="2:11" x14ac:dyDescent="0.25">
      <c r="B501">
        <v>499</v>
      </c>
      <c r="C501">
        <v>481</v>
      </c>
      <c r="D501" s="21">
        <v>69</v>
      </c>
      <c r="F501" t="s">
        <v>404</v>
      </c>
      <c r="G501" t="s">
        <v>405</v>
      </c>
      <c r="J501" t="str">
        <f t="shared" si="7"/>
        <v>(NULL,"481","69"),</v>
      </c>
      <c r="K501" t="str">
        <f>TextJoin(tblClassSubjs[[#This Row],[ClassID]:[SubjectID]],"Value")</f>
        <v>"481","69"</v>
      </c>
    </row>
    <row r="502" spans="2:11" x14ac:dyDescent="0.25">
      <c r="B502">
        <v>500</v>
      </c>
      <c r="C502">
        <v>482</v>
      </c>
      <c r="D502" s="21">
        <v>70</v>
      </c>
      <c r="F502" t="s">
        <v>406</v>
      </c>
      <c r="G502" t="s">
        <v>407</v>
      </c>
      <c r="J502" t="str">
        <f t="shared" si="7"/>
        <v>(NULL,"482","70"),</v>
      </c>
      <c r="K502" t="str">
        <f>TextJoin(tblClassSubjs[[#This Row],[ClassID]:[SubjectID]],"Value")</f>
        <v>"482","70"</v>
      </c>
    </row>
    <row r="503" spans="2:11" x14ac:dyDescent="0.25">
      <c r="B503">
        <v>501</v>
      </c>
      <c r="C503">
        <v>483</v>
      </c>
      <c r="D503" s="21">
        <v>71</v>
      </c>
      <c r="F503" t="s">
        <v>408</v>
      </c>
      <c r="G503" t="s">
        <v>409</v>
      </c>
      <c r="J503" t="str">
        <f t="shared" si="7"/>
        <v>(NULL,"483","71"),</v>
      </c>
      <c r="K503" t="str">
        <f>TextJoin(tblClassSubjs[[#This Row],[ClassID]:[SubjectID]],"Value")</f>
        <v>"483","71"</v>
      </c>
    </row>
    <row r="504" spans="2:11" x14ac:dyDescent="0.25">
      <c r="B504">
        <v>502</v>
      </c>
      <c r="C504">
        <v>484</v>
      </c>
      <c r="D504" s="21">
        <v>72</v>
      </c>
      <c r="F504" t="s">
        <v>410</v>
      </c>
      <c r="G504" t="s">
        <v>411</v>
      </c>
      <c r="J504" t="str">
        <f t="shared" si="7"/>
        <v>(NULL,"484","72"),</v>
      </c>
      <c r="K504" t="str">
        <f>TextJoin(tblClassSubjs[[#This Row],[ClassID]:[SubjectID]],"Value")</f>
        <v>"484","72"</v>
      </c>
    </row>
    <row r="505" spans="2:11" x14ac:dyDescent="0.25">
      <c r="B505">
        <v>503</v>
      </c>
      <c r="C505">
        <v>485</v>
      </c>
      <c r="D505" s="21">
        <v>73</v>
      </c>
      <c r="F505" t="s">
        <v>412</v>
      </c>
      <c r="G505" t="s">
        <v>413</v>
      </c>
      <c r="J505" t="str">
        <f t="shared" si="7"/>
        <v>(NULL,"485","73"),</v>
      </c>
      <c r="K505" t="str">
        <f>TextJoin(tblClassSubjs[[#This Row],[ClassID]:[SubjectID]],"Value")</f>
        <v>"485","73"</v>
      </c>
    </row>
    <row r="506" spans="2:11" x14ac:dyDescent="0.25">
      <c r="B506">
        <v>504</v>
      </c>
      <c r="C506">
        <v>486</v>
      </c>
      <c r="D506" s="21">
        <v>141</v>
      </c>
      <c r="E506" s="30"/>
      <c r="F506" s="29" t="s">
        <v>507</v>
      </c>
      <c r="G506" s="29" t="s">
        <v>508</v>
      </c>
      <c r="H506" s="29">
        <v>8</v>
      </c>
      <c r="J506" t="str">
        <f t="shared" si="7"/>
        <v>(NULL,"486","141"),</v>
      </c>
      <c r="K506" t="str">
        <f>TextJoin(tblClassSubjs[[#This Row],[ClassID]:[SubjectID]],"Value")</f>
        <v>"486","141"</v>
      </c>
    </row>
    <row r="507" spans="2:11" x14ac:dyDescent="0.25">
      <c r="B507">
        <v>505</v>
      </c>
      <c r="C507">
        <v>487</v>
      </c>
      <c r="D507" s="21">
        <v>10</v>
      </c>
      <c r="F507" t="s">
        <v>287</v>
      </c>
      <c r="G507" t="s">
        <v>288</v>
      </c>
      <c r="H507">
        <v>9</v>
      </c>
      <c r="J507" t="str">
        <f t="shared" si="7"/>
        <v>(NULL,"487","10"),</v>
      </c>
      <c r="K507" t="str">
        <f>TextJoin(tblClassSubjs[[#This Row],[ClassID]:[SubjectID]],"Value")</f>
        <v>"487","10"</v>
      </c>
    </row>
    <row r="508" spans="2:11" x14ac:dyDescent="0.25">
      <c r="B508">
        <v>506</v>
      </c>
      <c r="C508">
        <v>488</v>
      </c>
      <c r="D508" s="21">
        <v>11</v>
      </c>
      <c r="F508" t="s">
        <v>289</v>
      </c>
      <c r="G508" t="s">
        <v>290</v>
      </c>
      <c r="J508" t="str">
        <f t="shared" si="7"/>
        <v>(NULL,"488","11"),</v>
      </c>
      <c r="K508" t="str">
        <f>TextJoin(tblClassSubjs[[#This Row],[ClassID]:[SubjectID]],"Value")</f>
        <v>"488","11"</v>
      </c>
    </row>
    <row r="509" spans="2:11" x14ac:dyDescent="0.25">
      <c r="B509">
        <v>507</v>
      </c>
      <c r="C509">
        <v>489</v>
      </c>
      <c r="D509" s="21">
        <v>12</v>
      </c>
      <c r="F509" t="s">
        <v>291</v>
      </c>
      <c r="G509" t="s">
        <v>292</v>
      </c>
      <c r="J509" t="str">
        <f t="shared" si="7"/>
        <v>(NULL,"489","12"),</v>
      </c>
      <c r="K509" t="str">
        <f>TextJoin(tblClassSubjs[[#This Row],[ClassID]:[SubjectID]],"Value")</f>
        <v>"489","12"</v>
      </c>
    </row>
    <row r="510" spans="2:11" x14ac:dyDescent="0.25">
      <c r="B510">
        <v>508</v>
      </c>
      <c r="C510">
        <v>490</v>
      </c>
      <c r="D510" s="21">
        <v>13</v>
      </c>
      <c r="F510" t="s">
        <v>293</v>
      </c>
      <c r="G510" t="s">
        <v>294</v>
      </c>
      <c r="J510" t="str">
        <f t="shared" si="7"/>
        <v>(NULL,"490","13"),</v>
      </c>
      <c r="K510" t="str">
        <f>TextJoin(tblClassSubjs[[#This Row],[ClassID]:[SubjectID]],"Value")</f>
        <v>"490","13"</v>
      </c>
    </row>
    <row r="511" spans="2:11" x14ac:dyDescent="0.25">
      <c r="B511">
        <v>509</v>
      </c>
      <c r="C511">
        <v>491</v>
      </c>
      <c r="D511" s="21">
        <v>14</v>
      </c>
      <c r="F511" t="s">
        <v>295</v>
      </c>
      <c r="G511" t="s">
        <v>296</v>
      </c>
      <c r="J511" t="str">
        <f t="shared" si="7"/>
        <v>(NULL,"491","14"),</v>
      </c>
      <c r="K511" t="str">
        <f>TextJoin(tblClassSubjs[[#This Row],[ClassID]:[SubjectID]],"Value")</f>
        <v>"491","14"</v>
      </c>
    </row>
    <row r="512" spans="2:11" x14ac:dyDescent="0.25">
      <c r="B512">
        <v>510</v>
      </c>
      <c r="C512">
        <v>492</v>
      </c>
      <c r="D512" s="21">
        <v>15</v>
      </c>
      <c r="F512" t="s">
        <v>297</v>
      </c>
      <c r="G512" t="s">
        <v>298</v>
      </c>
      <c r="J512" t="str">
        <f t="shared" si="7"/>
        <v>(NULL,"492","15"),</v>
      </c>
      <c r="K512" t="str">
        <f>TextJoin(tblClassSubjs[[#This Row],[ClassID]:[SubjectID]],"Value")</f>
        <v>"492","15"</v>
      </c>
    </row>
    <row r="513" spans="2:11" x14ac:dyDescent="0.25">
      <c r="B513">
        <v>511</v>
      </c>
      <c r="C513">
        <v>493</v>
      </c>
      <c r="D513" s="21">
        <v>16</v>
      </c>
      <c r="F513" t="s">
        <v>447</v>
      </c>
      <c r="G513" t="s">
        <v>299</v>
      </c>
      <c r="J513" t="str">
        <f t="shared" si="7"/>
        <v>(NULL,"493","16"),</v>
      </c>
      <c r="K513" t="str">
        <f>TextJoin(tblClassSubjs[[#This Row],[ClassID]:[SubjectID]],"Value")</f>
        <v>"493","16"</v>
      </c>
    </row>
    <row r="514" spans="2:11" x14ac:dyDescent="0.25">
      <c r="B514">
        <v>512</v>
      </c>
      <c r="C514">
        <v>494</v>
      </c>
      <c r="D514" s="21">
        <v>17</v>
      </c>
      <c r="F514" t="s">
        <v>300</v>
      </c>
      <c r="G514" t="s">
        <v>301</v>
      </c>
      <c r="J514" t="str">
        <f t="shared" si="7"/>
        <v>(NULL,"494","17"),</v>
      </c>
      <c r="K514" t="str">
        <f>TextJoin(tblClassSubjs[[#This Row],[ClassID]:[SubjectID]],"Value")</f>
        <v>"494","17"</v>
      </c>
    </row>
    <row r="515" spans="2:11" x14ac:dyDescent="0.25">
      <c r="B515">
        <v>513</v>
      </c>
      <c r="C515">
        <v>495</v>
      </c>
      <c r="D515" s="21">
        <v>18</v>
      </c>
      <c r="F515" t="s">
        <v>302</v>
      </c>
      <c r="G515" t="s">
        <v>303</v>
      </c>
      <c r="J515" t="str">
        <f t="shared" si="7"/>
        <v>(NULL,"495","18"),</v>
      </c>
      <c r="K515" t="str">
        <f>TextJoin(tblClassSubjs[[#This Row],[ClassID]:[SubjectID]],"Value")</f>
        <v>"495","18"</v>
      </c>
    </row>
    <row r="516" spans="2:11" x14ac:dyDescent="0.25">
      <c r="B516">
        <v>514</v>
      </c>
      <c r="C516">
        <v>496</v>
      </c>
      <c r="D516" s="21">
        <v>19</v>
      </c>
      <c r="F516" t="s">
        <v>304</v>
      </c>
      <c r="G516" t="s">
        <v>305</v>
      </c>
      <c r="J516" t="str">
        <f t="shared" ref="J516:J579" si="8">"(NULL,"&amp;K516&amp;")"&amp;IF(J517&lt;&gt;"",",",";")</f>
        <v>(NULL,"496","19"),</v>
      </c>
      <c r="K516" t="str">
        <f>TextJoin(tblClassSubjs[[#This Row],[ClassID]:[SubjectID]],"Value")</f>
        <v>"496","19"</v>
      </c>
    </row>
    <row r="517" spans="2:11" x14ac:dyDescent="0.25">
      <c r="B517">
        <v>515</v>
      </c>
      <c r="C517">
        <v>497</v>
      </c>
      <c r="D517" s="21">
        <v>92</v>
      </c>
      <c r="F517" t="s">
        <v>291</v>
      </c>
      <c r="G517" t="s">
        <v>439</v>
      </c>
      <c r="J517" t="str">
        <f t="shared" si="8"/>
        <v>(NULL,"497","92"),</v>
      </c>
      <c r="K517" t="str">
        <f>TextJoin(tblClassSubjs[[#This Row],[ClassID]:[SubjectID]],"Value")</f>
        <v>"497","92"</v>
      </c>
    </row>
    <row r="518" spans="2:11" x14ac:dyDescent="0.25">
      <c r="B518">
        <v>516</v>
      </c>
      <c r="C518">
        <v>498</v>
      </c>
      <c r="D518" s="21">
        <v>93</v>
      </c>
      <c r="F518" t="s">
        <v>273</v>
      </c>
      <c r="G518" t="s">
        <v>440</v>
      </c>
      <c r="J518" t="str">
        <f t="shared" si="8"/>
        <v>(NULL,"498","93"),</v>
      </c>
      <c r="K518" t="str">
        <f>TextJoin(tblClassSubjs[[#This Row],[ClassID]:[SubjectID]],"Value")</f>
        <v>"498","93"</v>
      </c>
    </row>
    <row r="519" spans="2:11" x14ac:dyDescent="0.25">
      <c r="B519">
        <v>517</v>
      </c>
      <c r="C519">
        <v>499</v>
      </c>
      <c r="D519" s="21">
        <v>94</v>
      </c>
      <c r="F519" t="s">
        <v>441</v>
      </c>
      <c r="G519" t="s">
        <v>442</v>
      </c>
      <c r="J519" t="str">
        <f t="shared" si="8"/>
        <v>(NULL,"499","94"),</v>
      </c>
      <c r="K519" t="str">
        <f>TextJoin(tblClassSubjs[[#This Row],[ClassID]:[SubjectID]],"Value")</f>
        <v>"499","94"</v>
      </c>
    </row>
    <row r="520" spans="2:11" x14ac:dyDescent="0.25">
      <c r="B520">
        <v>518</v>
      </c>
      <c r="C520">
        <v>500</v>
      </c>
      <c r="D520" s="21">
        <v>95</v>
      </c>
      <c r="F520" t="s">
        <v>443</v>
      </c>
      <c r="G520" t="s">
        <v>444</v>
      </c>
      <c r="J520" t="str">
        <f t="shared" si="8"/>
        <v>(NULL,"500","95"),</v>
      </c>
      <c r="K520" t="str">
        <f>TextJoin(tblClassSubjs[[#This Row],[ClassID]:[SubjectID]],"Value")</f>
        <v>"500","95"</v>
      </c>
    </row>
    <row r="521" spans="2:11" x14ac:dyDescent="0.25">
      <c r="B521">
        <v>519</v>
      </c>
      <c r="C521">
        <v>501</v>
      </c>
      <c r="D521" s="21">
        <v>96</v>
      </c>
      <c r="F521" t="s">
        <v>445</v>
      </c>
      <c r="G521" t="s">
        <v>446</v>
      </c>
      <c r="J521" t="str">
        <f t="shared" si="8"/>
        <v>(NULL,"501","96"),</v>
      </c>
      <c r="K521" t="str">
        <f>TextJoin(tblClassSubjs[[#This Row],[ClassID]:[SubjectID]],"Value")</f>
        <v>"501","96"</v>
      </c>
    </row>
    <row r="522" spans="2:11" x14ac:dyDescent="0.25">
      <c r="B522">
        <v>520</v>
      </c>
      <c r="C522">
        <v>502</v>
      </c>
      <c r="D522" s="21">
        <v>98</v>
      </c>
      <c r="F522" t="s">
        <v>304</v>
      </c>
      <c r="G522" t="s">
        <v>305</v>
      </c>
      <c r="J522" t="str">
        <f t="shared" si="8"/>
        <v>(NULL,"502","98"),</v>
      </c>
      <c r="K522" t="str">
        <f>TextJoin(tblClassSubjs[[#This Row],[ClassID]:[SubjectID]],"Value")</f>
        <v>"502","98"</v>
      </c>
    </row>
    <row r="523" spans="2:11" x14ac:dyDescent="0.25">
      <c r="B523">
        <v>521</v>
      </c>
      <c r="C523">
        <v>503</v>
      </c>
      <c r="D523" s="21">
        <v>99</v>
      </c>
      <c r="F523" t="s">
        <v>448</v>
      </c>
      <c r="G523" t="s">
        <v>311</v>
      </c>
      <c r="J523" t="str">
        <f t="shared" si="8"/>
        <v>(NULL,"503","99"),</v>
      </c>
      <c r="K523" t="str">
        <f>TextJoin(tblClassSubjs[[#This Row],[ClassID]:[SubjectID]],"Value")</f>
        <v>"503","99"</v>
      </c>
    </row>
    <row r="524" spans="2:11" x14ac:dyDescent="0.25">
      <c r="B524">
        <v>522</v>
      </c>
      <c r="C524">
        <v>504</v>
      </c>
      <c r="D524" s="21">
        <v>28</v>
      </c>
      <c r="F524" t="s">
        <v>322</v>
      </c>
      <c r="G524" t="s">
        <v>323</v>
      </c>
      <c r="J524" t="str">
        <f t="shared" si="8"/>
        <v>(NULL,"504","28"),</v>
      </c>
      <c r="K524" t="str">
        <f>TextJoin(tblClassSubjs[[#This Row],[ClassID]:[SubjectID]],"Value")</f>
        <v>"504","28"</v>
      </c>
    </row>
    <row r="525" spans="2:11" x14ac:dyDescent="0.25">
      <c r="B525">
        <v>523</v>
      </c>
      <c r="C525">
        <v>505</v>
      </c>
      <c r="D525" s="21">
        <v>29</v>
      </c>
      <c r="F525" t="s">
        <v>324</v>
      </c>
      <c r="G525" t="s">
        <v>325</v>
      </c>
      <c r="J525" t="str">
        <f t="shared" si="8"/>
        <v>(NULL,"505","29"),</v>
      </c>
      <c r="K525" t="str">
        <f>TextJoin(tblClassSubjs[[#This Row],[ClassID]:[SubjectID]],"Value")</f>
        <v>"505","29"</v>
      </c>
    </row>
    <row r="526" spans="2:11" x14ac:dyDescent="0.25">
      <c r="B526">
        <v>524</v>
      </c>
      <c r="C526">
        <v>506</v>
      </c>
      <c r="D526" s="21">
        <v>30</v>
      </c>
      <c r="F526" t="s">
        <v>326</v>
      </c>
      <c r="G526" t="s">
        <v>327</v>
      </c>
      <c r="J526" t="str">
        <f t="shared" si="8"/>
        <v>(NULL,"506","30"),</v>
      </c>
      <c r="K526" t="str">
        <f>TextJoin(tblClassSubjs[[#This Row],[ClassID]:[SubjectID]],"Value")</f>
        <v>"506","30"</v>
      </c>
    </row>
    <row r="527" spans="2:11" x14ac:dyDescent="0.25">
      <c r="B527">
        <v>525</v>
      </c>
      <c r="C527">
        <v>507</v>
      </c>
      <c r="D527" s="21">
        <v>31</v>
      </c>
      <c r="F527" t="s">
        <v>328</v>
      </c>
      <c r="G527" t="s">
        <v>329</v>
      </c>
      <c r="J527" t="str">
        <f t="shared" si="8"/>
        <v>(NULL,"507","31"),</v>
      </c>
      <c r="K527" t="str">
        <f>TextJoin(tblClassSubjs[[#This Row],[ClassID]:[SubjectID]],"Value")</f>
        <v>"507","31"</v>
      </c>
    </row>
    <row r="528" spans="2:11" x14ac:dyDescent="0.25">
      <c r="B528">
        <v>526</v>
      </c>
      <c r="C528">
        <v>508</v>
      </c>
      <c r="D528" s="21">
        <v>32</v>
      </c>
      <c r="F528" t="s">
        <v>330</v>
      </c>
      <c r="G528" t="s">
        <v>331</v>
      </c>
      <c r="J528" t="str">
        <f t="shared" si="8"/>
        <v>(NULL,"508","32"),</v>
      </c>
      <c r="K528" t="str">
        <f>TextJoin(tblClassSubjs[[#This Row],[ClassID]:[SubjectID]],"Value")</f>
        <v>"508","32"</v>
      </c>
    </row>
    <row r="529" spans="2:11" x14ac:dyDescent="0.25">
      <c r="B529">
        <v>527</v>
      </c>
      <c r="C529">
        <v>509</v>
      </c>
      <c r="D529" s="21">
        <v>33</v>
      </c>
      <c r="F529" t="s">
        <v>332</v>
      </c>
      <c r="G529" t="s">
        <v>333</v>
      </c>
      <c r="J529" t="str">
        <f t="shared" si="8"/>
        <v>(NULL,"509","33"),</v>
      </c>
      <c r="K529" t="str">
        <f>TextJoin(tblClassSubjs[[#This Row],[ClassID]:[SubjectID]],"Value")</f>
        <v>"509","33"</v>
      </c>
    </row>
    <row r="530" spans="2:11" x14ac:dyDescent="0.25">
      <c r="B530">
        <v>528</v>
      </c>
      <c r="C530">
        <v>510</v>
      </c>
      <c r="D530" s="21">
        <v>34</v>
      </c>
      <c r="F530" t="s">
        <v>334</v>
      </c>
      <c r="G530" t="s">
        <v>335</v>
      </c>
      <c r="J530" t="str">
        <f t="shared" si="8"/>
        <v>(NULL,"510","34"),</v>
      </c>
      <c r="K530" t="str">
        <f>TextJoin(tblClassSubjs[[#This Row],[ClassID]:[SubjectID]],"Value")</f>
        <v>"510","34"</v>
      </c>
    </row>
    <row r="531" spans="2:11" x14ac:dyDescent="0.25">
      <c r="B531">
        <v>529</v>
      </c>
      <c r="C531">
        <v>511</v>
      </c>
      <c r="D531" s="21">
        <v>111</v>
      </c>
      <c r="F531" t="s">
        <v>460</v>
      </c>
      <c r="G531" t="s">
        <v>461</v>
      </c>
      <c r="J531" t="str">
        <f t="shared" si="8"/>
        <v>(NULL,"511","111"),</v>
      </c>
      <c r="K531" t="str">
        <f>TextJoin(tblClassSubjs[[#This Row],[ClassID]:[SubjectID]],"Value")</f>
        <v>"511","111"</v>
      </c>
    </row>
    <row r="532" spans="2:11" x14ac:dyDescent="0.25">
      <c r="B532">
        <v>530</v>
      </c>
      <c r="C532">
        <v>512</v>
      </c>
      <c r="D532" s="21">
        <v>112</v>
      </c>
      <c r="F532" t="s">
        <v>462</v>
      </c>
      <c r="G532" t="s">
        <v>401</v>
      </c>
      <c r="J532" t="str">
        <f t="shared" si="8"/>
        <v>(NULL,"512","112"),</v>
      </c>
      <c r="K532" t="str">
        <f>TextJoin(tblClassSubjs[[#This Row],[ClassID]:[SubjectID]],"Value")</f>
        <v>"512","112"</v>
      </c>
    </row>
    <row r="533" spans="2:11" x14ac:dyDescent="0.25">
      <c r="B533">
        <v>531</v>
      </c>
      <c r="C533">
        <v>513</v>
      </c>
      <c r="D533" s="21">
        <v>113</v>
      </c>
      <c r="F533" t="s">
        <v>463</v>
      </c>
      <c r="G533" t="s">
        <v>464</v>
      </c>
      <c r="J533" t="str">
        <f t="shared" si="8"/>
        <v>(NULL,"513","113"),</v>
      </c>
      <c r="K533" t="str">
        <f>TextJoin(tblClassSubjs[[#This Row],[ClassID]:[SubjectID]],"Value")</f>
        <v>"513","113"</v>
      </c>
    </row>
    <row r="534" spans="2:11" x14ac:dyDescent="0.25">
      <c r="B534">
        <v>532</v>
      </c>
      <c r="C534">
        <v>514</v>
      </c>
      <c r="D534" s="21">
        <v>114</v>
      </c>
      <c r="F534" t="s">
        <v>465</v>
      </c>
      <c r="G534" t="s">
        <v>466</v>
      </c>
      <c r="J534" t="str">
        <f t="shared" si="8"/>
        <v>(NULL,"514","114"),</v>
      </c>
      <c r="K534" t="str">
        <f>TextJoin(tblClassSubjs[[#This Row],[ClassID]:[SubjectID]],"Value")</f>
        <v>"514","114"</v>
      </c>
    </row>
    <row r="535" spans="2:11" x14ac:dyDescent="0.25">
      <c r="B535">
        <v>533</v>
      </c>
      <c r="C535">
        <v>515</v>
      </c>
      <c r="D535" s="21">
        <v>115</v>
      </c>
      <c r="F535" t="s">
        <v>467</v>
      </c>
      <c r="G535" t="s">
        <v>468</v>
      </c>
      <c r="J535" t="str">
        <f t="shared" si="8"/>
        <v>(NULL,"515","115"),</v>
      </c>
      <c r="K535" t="str">
        <f>TextJoin(tblClassSubjs[[#This Row],[ClassID]:[SubjectID]],"Value")</f>
        <v>"515","115"</v>
      </c>
    </row>
    <row r="536" spans="2:11" x14ac:dyDescent="0.25">
      <c r="B536">
        <v>534</v>
      </c>
      <c r="C536">
        <v>516</v>
      </c>
      <c r="D536" s="21">
        <v>118</v>
      </c>
      <c r="F536" t="s">
        <v>472</v>
      </c>
      <c r="G536" t="s">
        <v>473</v>
      </c>
      <c r="J536" t="str">
        <f t="shared" si="8"/>
        <v>(NULL,"516","118"),</v>
      </c>
      <c r="K536" t="str">
        <f>TextJoin(tblClassSubjs[[#This Row],[ClassID]:[SubjectID]],"Value")</f>
        <v>"516","118"</v>
      </c>
    </row>
    <row r="537" spans="2:11" x14ac:dyDescent="0.25">
      <c r="B537">
        <v>535</v>
      </c>
      <c r="C537">
        <v>517</v>
      </c>
      <c r="D537" s="21">
        <v>43</v>
      </c>
      <c r="F537" t="s">
        <v>352</v>
      </c>
      <c r="G537" t="s">
        <v>353</v>
      </c>
      <c r="J537" t="str">
        <f t="shared" si="8"/>
        <v>(NULL,"517","43"),</v>
      </c>
      <c r="K537" t="str">
        <f>TextJoin(tblClassSubjs[[#This Row],[ClassID]:[SubjectID]],"Value")</f>
        <v>"517","43"</v>
      </c>
    </row>
    <row r="538" spans="2:11" x14ac:dyDescent="0.25">
      <c r="B538">
        <v>536</v>
      </c>
      <c r="C538">
        <v>518</v>
      </c>
      <c r="D538" s="21">
        <v>44</v>
      </c>
      <c r="F538" t="s">
        <v>354</v>
      </c>
      <c r="G538" t="s">
        <v>355</v>
      </c>
      <c r="J538" t="str">
        <f t="shared" si="8"/>
        <v>(NULL,"518","44"),</v>
      </c>
      <c r="K538" t="str">
        <f>TextJoin(tblClassSubjs[[#This Row],[ClassID]:[SubjectID]],"Value")</f>
        <v>"518","44"</v>
      </c>
    </row>
    <row r="539" spans="2:11" x14ac:dyDescent="0.25">
      <c r="B539">
        <v>537</v>
      </c>
      <c r="C539">
        <v>519</v>
      </c>
      <c r="D539" s="21">
        <v>45</v>
      </c>
      <c r="F539" t="s">
        <v>356</v>
      </c>
      <c r="G539" t="s">
        <v>357</v>
      </c>
      <c r="J539" t="str">
        <f t="shared" si="8"/>
        <v>(NULL,"519","45"),</v>
      </c>
      <c r="K539" t="str">
        <f>TextJoin(tblClassSubjs[[#This Row],[ClassID]:[SubjectID]],"Value")</f>
        <v>"519","45"</v>
      </c>
    </row>
    <row r="540" spans="2:11" x14ac:dyDescent="0.25">
      <c r="B540">
        <v>538</v>
      </c>
      <c r="C540">
        <v>520</v>
      </c>
      <c r="D540" s="21">
        <v>46</v>
      </c>
      <c r="F540" t="s">
        <v>358</v>
      </c>
      <c r="G540" t="s">
        <v>359</v>
      </c>
      <c r="J540" t="str">
        <f t="shared" si="8"/>
        <v>(NULL,"520","46"),</v>
      </c>
      <c r="K540" t="str">
        <f>TextJoin(tblClassSubjs[[#This Row],[ClassID]:[SubjectID]],"Value")</f>
        <v>"520","46"</v>
      </c>
    </row>
    <row r="541" spans="2:11" x14ac:dyDescent="0.25">
      <c r="B541">
        <v>539</v>
      </c>
      <c r="C541">
        <v>521</v>
      </c>
      <c r="D541" s="21">
        <v>47</v>
      </c>
      <c r="F541" t="s">
        <v>360</v>
      </c>
      <c r="G541" t="s">
        <v>361</v>
      </c>
      <c r="J541" t="str">
        <f t="shared" si="8"/>
        <v>(NULL,"521","47"),</v>
      </c>
      <c r="K541" t="str">
        <f>TextJoin(tblClassSubjs[[#This Row],[ClassID]:[SubjectID]],"Value")</f>
        <v>"521","47"</v>
      </c>
    </row>
    <row r="542" spans="2:11" x14ac:dyDescent="0.25">
      <c r="B542">
        <v>540</v>
      </c>
      <c r="C542">
        <v>522</v>
      </c>
      <c r="D542" s="21">
        <v>48</v>
      </c>
      <c r="F542" t="s">
        <v>362</v>
      </c>
      <c r="G542" t="s">
        <v>363</v>
      </c>
      <c r="J542" t="str">
        <f t="shared" si="8"/>
        <v>(NULL,"522","48"),</v>
      </c>
      <c r="K542" t="str">
        <f>TextJoin(tblClassSubjs[[#This Row],[ClassID]:[SubjectID]],"Value")</f>
        <v>"522","48"</v>
      </c>
    </row>
    <row r="543" spans="2:11" x14ac:dyDescent="0.25">
      <c r="B543">
        <v>541</v>
      </c>
      <c r="C543">
        <v>523</v>
      </c>
      <c r="D543" s="21">
        <v>49</v>
      </c>
      <c r="F543" t="s">
        <v>364</v>
      </c>
      <c r="G543" t="s">
        <v>365</v>
      </c>
      <c r="J543" t="str">
        <f t="shared" si="8"/>
        <v>(NULL,"523","49"),</v>
      </c>
      <c r="K543" t="str">
        <f>TextJoin(tblClassSubjs[[#This Row],[ClassID]:[SubjectID]],"Value")</f>
        <v>"523","49"</v>
      </c>
    </row>
    <row r="544" spans="2:11" x14ac:dyDescent="0.25">
      <c r="B544">
        <v>542</v>
      </c>
      <c r="C544">
        <v>524</v>
      </c>
      <c r="D544" s="21">
        <v>50</v>
      </c>
      <c r="F544" t="s">
        <v>366</v>
      </c>
      <c r="G544" t="s">
        <v>367</v>
      </c>
      <c r="J544" t="str">
        <f t="shared" si="8"/>
        <v>(NULL,"524","50"),</v>
      </c>
      <c r="K544" t="str">
        <f>TextJoin(tblClassSubjs[[#This Row],[ClassID]:[SubjectID]],"Value")</f>
        <v>"524","50"</v>
      </c>
    </row>
    <row r="545" spans="2:11" x14ac:dyDescent="0.25">
      <c r="B545">
        <v>543</v>
      </c>
      <c r="C545">
        <v>525</v>
      </c>
      <c r="D545" s="21">
        <v>128</v>
      </c>
      <c r="F545" t="s">
        <v>486</v>
      </c>
      <c r="G545" t="s">
        <v>419</v>
      </c>
      <c r="J545" t="str">
        <f t="shared" si="8"/>
        <v>(NULL,"525","128"),</v>
      </c>
      <c r="K545" t="str">
        <f>TextJoin(tblClassSubjs[[#This Row],[ClassID]:[SubjectID]],"Value")</f>
        <v>"525","128"</v>
      </c>
    </row>
    <row r="546" spans="2:11" x14ac:dyDescent="0.25">
      <c r="B546">
        <v>544</v>
      </c>
      <c r="C546">
        <v>526</v>
      </c>
      <c r="D546" s="21">
        <v>129</v>
      </c>
      <c r="F546" t="s">
        <v>487</v>
      </c>
      <c r="G546" t="s">
        <v>488</v>
      </c>
      <c r="J546" t="str">
        <f t="shared" si="8"/>
        <v>(NULL,"526","129"),</v>
      </c>
      <c r="K546" t="str">
        <f>TextJoin(tblClassSubjs[[#This Row],[ClassID]:[SubjectID]],"Value")</f>
        <v>"526","129"</v>
      </c>
    </row>
    <row r="547" spans="2:11" x14ac:dyDescent="0.25">
      <c r="B547">
        <v>545</v>
      </c>
      <c r="C547">
        <v>527</v>
      </c>
      <c r="D547" s="21">
        <v>130</v>
      </c>
      <c r="F547" t="s">
        <v>489</v>
      </c>
      <c r="G547" t="s">
        <v>490</v>
      </c>
      <c r="J547" t="str">
        <f t="shared" si="8"/>
        <v>(NULL,"527","130"),</v>
      </c>
      <c r="K547" t="str">
        <f>TextJoin(tblClassSubjs[[#This Row],[ClassID]:[SubjectID]],"Value")</f>
        <v>"527","130"</v>
      </c>
    </row>
    <row r="548" spans="2:11" x14ac:dyDescent="0.25">
      <c r="B548">
        <v>546</v>
      </c>
      <c r="C548">
        <v>528</v>
      </c>
      <c r="D548" s="21">
        <v>131</v>
      </c>
      <c r="F548" t="s">
        <v>491</v>
      </c>
      <c r="G548" t="s">
        <v>492</v>
      </c>
      <c r="J548" t="str">
        <f t="shared" si="8"/>
        <v>(NULL,"528","131"),</v>
      </c>
      <c r="K548" t="str">
        <f>TextJoin(tblClassSubjs[[#This Row],[ClassID]:[SubjectID]],"Value")</f>
        <v>"528","131"</v>
      </c>
    </row>
    <row r="549" spans="2:11" x14ac:dyDescent="0.25">
      <c r="B549">
        <v>547</v>
      </c>
      <c r="C549">
        <v>529</v>
      </c>
      <c r="D549" s="21">
        <v>132</v>
      </c>
      <c r="F549" t="s">
        <v>493</v>
      </c>
      <c r="G549" t="s">
        <v>415</v>
      </c>
      <c r="J549" t="str">
        <f t="shared" si="8"/>
        <v>(NULL,"529","132"),</v>
      </c>
      <c r="K549" t="str">
        <f>TextJoin(tblClassSubjs[[#This Row],[ClassID]:[SubjectID]],"Value")</f>
        <v>"529","132"</v>
      </c>
    </row>
    <row r="550" spans="2:11" x14ac:dyDescent="0.25">
      <c r="B550">
        <v>548</v>
      </c>
      <c r="C550">
        <v>530</v>
      </c>
      <c r="D550" s="21">
        <v>133</v>
      </c>
      <c r="F550" t="s">
        <v>494</v>
      </c>
      <c r="G550" t="s">
        <v>385</v>
      </c>
      <c r="J550" t="str">
        <f t="shared" si="8"/>
        <v>(NULL,"530","133"),</v>
      </c>
      <c r="K550" t="str">
        <f>TextJoin(tblClassSubjs[[#This Row],[ClassID]:[SubjectID]],"Value")</f>
        <v>"530","133"</v>
      </c>
    </row>
    <row r="551" spans="2:11" x14ac:dyDescent="0.25">
      <c r="B551">
        <v>549</v>
      </c>
      <c r="C551">
        <v>531</v>
      </c>
      <c r="D551" s="21">
        <v>134</v>
      </c>
      <c r="F551" t="s">
        <v>495</v>
      </c>
      <c r="G551" t="s">
        <v>496</v>
      </c>
      <c r="J551" t="str">
        <f t="shared" si="8"/>
        <v>(NULL,"531","134"),</v>
      </c>
      <c r="K551" t="str">
        <f>TextJoin(tblClassSubjs[[#This Row],[ClassID]:[SubjectID]],"Value")</f>
        <v>"531","134"</v>
      </c>
    </row>
    <row r="552" spans="2:11" x14ac:dyDescent="0.25">
      <c r="B552">
        <v>550</v>
      </c>
      <c r="C552">
        <v>532</v>
      </c>
      <c r="D552" s="21">
        <v>59</v>
      </c>
      <c r="F552" t="s">
        <v>384</v>
      </c>
      <c r="G552" t="s">
        <v>385</v>
      </c>
      <c r="J552" t="str">
        <f t="shared" si="8"/>
        <v>(NULL,"532","59"),</v>
      </c>
      <c r="K552" t="str">
        <f>TextJoin(tblClassSubjs[[#This Row],[ClassID]:[SubjectID]],"Value")</f>
        <v>"532","59"</v>
      </c>
    </row>
    <row r="553" spans="2:11" x14ac:dyDescent="0.25">
      <c r="B553">
        <v>551</v>
      </c>
      <c r="C553">
        <v>533</v>
      </c>
      <c r="D553" s="21">
        <v>60</v>
      </c>
      <c r="F553" t="s">
        <v>386</v>
      </c>
      <c r="G553" t="s">
        <v>387</v>
      </c>
      <c r="J553" t="str">
        <f t="shared" si="8"/>
        <v>(NULL,"533","60"),</v>
      </c>
      <c r="K553" t="str">
        <f>TextJoin(tblClassSubjs[[#This Row],[ClassID]:[SubjectID]],"Value")</f>
        <v>"533","60"</v>
      </c>
    </row>
    <row r="554" spans="2:11" x14ac:dyDescent="0.25">
      <c r="B554">
        <v>552</v>
      </c>
      <c r="C554">
        <v>534</v>
      </c>
      <c r="D554" s="21">
        <v>61</v>
      </c>
      <c r="F554" t="s">
        <v>388</v>
      </c>
      <c r="G554" t="s">
        <v>389</v>
      </c>
      <c r="J554" t="str">
        <f t="shared" si="8"/>
        <v>(NULL,"534","61"),</v>
      </c>
      <c r="K554" t="str">
        <f>TextJoin(tblClassSubjs[[#This Row],[ClassID]:[SubjectID]],"Value")</f>
        <v>"534","61"</v>
      </c>
    </row>
    <row r="555" spans="2:11" x14ac:dyDescent="0.25">
      <c r="B555">
        <v>553</v>
      </c>
      <c r="C555">
        <v>535</v>
      </c>
      <c r="D555" s="21">
        <v>62</v>
      </c>
      <c r="F555" t="s">
        <v>390</v>
      </c>
      <c r="G555" t="s">
        <v>391</v>
      </c>
      <c r="J555" t="str">
        <f t="shared" si="8"/>
        <v>(NULL,"535","62"),</v>
      </c>
      <c r="K555" t="str">
        <f>TextJoin(tblClassSubjs[[#This Row],[ClassID]:[SubjectID]],"Value")</f>
        <v>"535","62"</v>
      </c>
    </row>
    <row r="556" spans="2:11" x14ac:dyDescent="0.25">
      <c r="B556">
        <v>554</v>
      </c>
      <c r="C556">
        <v>536</v>
      </c>
      <c r="D556" s="21">
        <v>63</v>
      </c>
      <c r="F556" t="s">
        <v>392</v>
      </c>
      <c r="G556" t="s">
        <v>393</v>
      </c>
      <c r="J556" t="str">
        <f t="shared" si="8"/>
        <v>(NULL,"536","63"),</v>
      </c>
      <c r="K556" t="str">
        <f>TextJoin(tblClassSubjs[[#This Row],[ClassID]:[SubjectID]],"Value")</f>
        <v>"536","63"</v>
      </c>
    </row>
    <row r="557" spans="2:11" x14ac:dyDescent="0.25">
      <c r="B557">
        <v>555</v>
      </c>
      <c r="C557">
        <v>537</v>
      </c>
      <c r="D557" s="21">
        <v>64</v>
      </c>
      <c r="F557" t="s">
        <v>394</v>
      </c>
      <c r="G557" t="s">
        <v>371</v>
      </c>
      <c r="J557" t="str">
        <f t="shared" si="8"/>
        <v>(NULL,"537","64"),</v>
      </c>
      <c r="K557" t="str">
        <f>TextJoin(tblClassSubjs[[#This Row],[ClassID]:[SubjectID]],"Value")</f>
        <v>"537","64"</v>
      </c>
    </row>
    <row r="558" spans="2:11" x14ac:dyDescent="0.25">
      <c r="B558">
        <v>556</v>
      </c>
      <c r="C558">
        <v>538</v>
      </c>
      <c r="D558" s="21">
        <v>65</v>
      </c>
      <c r="F558" t="s">
        <v>395</v>
      </c>
      <c r="G558" t="s">
        <v>396</v>
      </c>
      <c r="J558" t="str">
        <f t="shared" si="8"/>
        <v>(NULL,"538","65"),</v>
      </c>
      <c r="K558" t="str">
        <f>TextJoin(tblClassSubjs[[#This Row],[ClassID]:[SubjectID]],"Value")</f>
        <v>"538","65"</v>
      </c>
    </row>
    <row r="559" spans="2:11" x14ac:dyDescent="0.25">
      <c r="B559">
        <v>557</v>
      </c>
      <c r="C559">
        <v>539</v>
      </c>
      <c r="D559" s="21">
        <v>142</v>
      </c>
      <c r="F559" t="s">
        <v>509</v>
      </c>
      <c r="G559" t="s">
        <v>510</v>
      </c>
      <c r="J559" t="str">
        <f t="shared" si="8"/>
        <v>(NULL,"539","142"),</v>
      </c>
      <c r="K559" t="str">
        <f>TextJoin(tblClassSubjs[[#This Row],[ClassID]:[SubjectID]],"Value")</f>
        <v>"539","142"</v>
      </c>
    </row>
    <row r="560" spans="2:11" x14ac:dyDescent="0.25">
      <c r="B560">
        <v>558</v>
      </c>
      <c r="C560">
        <v>540</v>
      </c>
      <c r="D560" s="21">
        <v>143</v>
      </c>
      <c r="F560" t="s">
        <v>511</v>
      </c>
      <c r="G560" t="s">
        <v>512</v>
      </c>
      <c r="J560" t="str">
        <f t="shared" si="8"/>
        <v>(NULL,"540","143"),</v>
      </c>
      <c r="K560" t="str">
        <f>TextJoin(tblClassSubjs[[#This Row],[ClassID]:[SubjectID]],"Value")</f>
        <v>"540","143"</v>
      </c>
    </row>
    <row r="561" spans="2:11" x14ac:dyDescent="0.25">
      <c r="B561">
        <v>559</v>
      </c>
      <c r="C561">
        <v>541</v>
      </c>
      <c r="D561" s="21">
        <v>144</v>
      </c>
      <c r="F561" t="s">
        <v>513</v>
      </c>
      <c r="G561" t="s">
        <v>514</v>
      </c>
      <c r="J561" t="str">
        <f t="shared" si="8"/>
        <v>(NULL,"541","144"),</v>
      </c>
      <c r="K561" t="str">
        <f>TextJoin(tblClassSubjs[[#This Row],[ClassID]:[SubjectID]],"Value")</f>
        <v>"541","144"</v>
      </c>
    </row>
    <row r="562" spans="2:11" x14ac:dyDescent="0.25">
      <c r="B562">
        <v>560</v>
      </c>
      <c r="C562">
        <v>542</v>
      </c>
      <c r="D562" s="21">
        <v>145</v>
      </c>
      <c r="F562" t="s">
        <v>515</v>
      </c>
      <c r="G562" t="s">
        <v>508</v>
      </c>
      <c r="J562" t="str">
        <f t="shared" si="8"/>
        <v>(NULL,"542","145"),</v>
      </c>
      <c r="K562" t="str">
        <f>TextJoin(tblClassSubjs[[#This Row],[ClassID]:[SubjectID]],"Value")</f>
        <v>"542","145"</v>
      </c>
    </row>
    <row r="563" spans="2:11" x14ac:dyDescent="0.25">
      <c r="B563">
        <v>561</v>
      </c>
      <c r="C563">
        <v>543</v>
      </c>
      <c r="D563" s="21">
        <v>146</v>
      </c>
      <c r="F563" t="s">
        <v>516</v>
      </c>
      <c r="G563" t="s">
        <v>427</v>
      </c>
      <c r="J563" t="str">
        <f t="shared" si="8"/>
        <v>(NULL,"543","146"),</v>
      </c>
      <c r="K563" t="str">
        <f>TextJoin(tblClassSubjs[[#This Row],[ClassID]:[SubjectID]],"Value")</f>
        <v>"543","146"</v>
      </c>
    </row>
    <row r="564" spans="2:11" x14ac:dyDescent="0.25">
      <c r="B564">
        <v>562</v>
      </c>
      <c r="C564">
        <v>544</v>
      </c>
      <c r="D564" s="21">
        <v>75</v>
      </c>
      <c r="F564" t="s">
        <v>416</v>
      </c>
      <c r="G564" t="s">
        <v>417</v>
      </c>
      <c r="J564" t="str">
        <f t="shared" si="8"/>
        <v>(NULL,"544","75"),</v>
      </c>
      <c r="K564" t="str">
        <f>TextJoin(tblClassSubjs[[#This Row],[ClassID]:[SubjectID]],"Value")</f>
        <v>"544","75"</v>
      </c>
    </row>
    <row r="565" spans="2:11" x14ac:dyDescent="0.25">
      <c r="B565">
        <v>563</v>
      </c>
      <c r="C565">
        <v>545</v>
      </c>
      <c r="D565" s="21">
        <v>76</v>
      </c>
      <c r="F565" t="s">
        <v>418</v>
      </c>
      <c r="G565" t="s">
        <v>419</v>
      </c>
      <c r="J565" t="str">
        <f t="shared" si="8"/>
        <v>(NULL,"545","76"),</v>
      </c>
      <c r="K565" t="str">
        <f>TextJoin(tblClassSubjs[[#This Row],[ClassID]:[SubjectID]],"Value")</f>
        <v>"545","76"</v>
      </c>
    </row>
    <row r="566" spans="2:11" x14ac:dyDescent="0.25">
      <c r="B566">
        <v>564</v>
      </c>
      <c r="C566">
        <v>546</v>
      </c>
      <c r="D566" s="21">
        <v>77</v>
      </c>
      <c r="F566" t="s">
        <v>420</v>
      </c>
      <c r="G566" t="s">
        <v>421</v>
      </c>
      <c r="J566" t="str">
        <f t="shared" si="8"/>
        <v>(NULL,"546","77"),</v>
      </c>
      <c r="K566" t="str">
        <f>TextJoin(tblClassSubjs[[#This Row],[ClassID]:[SubjectID]],"Value")</f>
        <v>"546","77"</v>
      </c>
    </row>
    <row r="567" spans="2:11" x14ac:dyDescent="0.25">
      <c r="B567">
        <v>565</v>
      </c>
      <c r="C567">
        <v>547</v>
      </c>
      <c r="D567" s="21">
        <v>78</v>
      </c>
      <c r="F567" t="s">
        <v>422</v>
      </c>
      <c r="G567" t="s">
        <v>423</v>
      </c>
      <c r="J567" t="str">
        <f t="shared" si="8"/>
        <v>(NULL,"547","78"),</v>
      </c>
      <c r="K567" t="str">
        <f>TextJoin(tblClassSubjs[[#This Row],[ClassID]:[SubjectID]],"Value")</f>
        <v>"547","78"</v>
      </c>
    </row>
    <row r="568" spans="2:11" x14ac:dyDescent="0.25">
      <c r="B568">
        <v>566</v>
      </c>
      <c r="C568">
        <v>548</v>
      </c>
      <c r="D568" s="21">
        <v>79</v>
      </c>
      <c r="F568" t="s">
        <v>424</v>
      </c>
      <c r="G568" t="s">
        <v>425</v>
      </c>
      <c r="J568" t="str">
        <f t="shared" si="8"/>
        <v>(NULL,"548","79"),</v>
      </c>
      <c r="K568" t="str">
        <f>TextJoin(tblClassSubjs[[#This Row],[ClassID]:[SubjectID]],"Value")</f>
        <v>"548","79"</v>
      </c>
    </row>
    <row r="569" spans="2:11" x14ac:dyDescent="0.25">
      <c r="B569">
        <v>567</v>
      </c>
      <c r="C569">
        <v>549</v>
      </c>
      <c r="D569" s="21">
        <v>80</v>
      </c>
      <c r="E569" s="30"/>
      <c r="F569" s="29" t="s">
        <v>426</v>
      </c>
      <c r="G569" s="29" t="s">
        <v>427</v>
      </c>
      <c r="H569" s="29">
        <v>9</v>
      </c>
      <c r="J569" t="str">
        <f t="shared" si="8"/>
        <v>(NULL,"549","80"),</v>
      </c>
      <c r="K569" t="str">
        <f>TextJoin(tblClassSubjs[[#This Row],[ClassID]:[SubjectID]],"Value")</f>
        <v>"549","80"</v>
      </c>
    </row>
    <row r="570" spans="2:11" x14ac:dyDescent="0.25">
      <c r="B570">
        <v>568</v>
      </c>
      <c r="C570">
        <v>550</v>
      </c>
      <c r="D570" s="21">
        <v>1</v>
      </c>
      <c r="F570" t="s">
        <v>269</v>
      </c>
      <c r="G570" t="s">
        <v>270</v>
      </c>
      <c r="H570">
        <v>10</v>
      </c>
      <c r="J570" t="str">
        <f t="shared" si="8"/>
        <v>(NULL,"550","1"),</v>
      </c>
      <c r="K570" t="str">
        <f>TextJoin(tblClassSubjs[[#This Row],[ClassID]:[SubjectID]],"Value")</f>
        <v>"550","1"</v>
      </c>
    </row>
    <row r="571" spans="2:11" x14ac:dyDescent="0.25">
      <c r="B571">
        <v>569</v>
      </c>
      <c r="C571">
        <v>551</v>
      </c>
      <c r="D571" s="21">
        <v>2</v>
      </c>
      <c r="F571" t="s">
        <v>271</v>
      </c>
      <c r="G571" t="s">
        <v>272</v>
      </c>
      <c r="J571" t="str">
        <f t="shared" si="8"/>
        <v>(NULL,"551","2"),</v>
      </c>
      <c r="K571" t="str">
        <f>TextJoin(tblClassSubjs[[#This Row],[ClassID]:[SubjectID]],"Value")</f>
        <v>"551","2"</v>
      </c>
    </row>
    <row r="572" spans="2:11" x14ac:dyDescent="0.25">
      <c r="B572">
        <v>570</v>
      </c>
      <c r="C572">
        <v>552</v>
      </c>
      <c r="D572" s="21">
        <v>3</v>
      </c>
      <c r="F572" t="s">
        <v>273</v>
      </c>
      <c r="G572" t="s">
        <v>274</v>
      </c>
      <c r="J572" t="str">
        <f t="shared" si="8"/>
        <v>(NULL,"552","3"),</v>
      </c>
      <c r="K572" t="str">
        <f>TextJoin(tblClassSubjs[[#This Row],[ClassID]:[SubjectID]],"Value")</f>
        <v>"552","3"</v>
      </c>
    </row>
    <row r="573" spans="2:11" x14ac:dyDescent="0.25">
      <c r="B573">
        <v>571</v>
      </c>
      <c r="C573">
        <v>553</v>
      </c>
      <c r="D573" s="21">
        <v>4</v>
      </c>
      <c r="F573" t="s">
        <v>275</v>
      </c>
      <c r="G573" t="s">
        <v>276</v>
      </c>
      <c r="J573" t="str">
        <f t="shared" si="8"/>
        <v>(NULL,"553","4"),</v>
      </c>
      <c r="K573" t="str">
        <f>TextJoin(tblClassSubjs[[#This Row],[ClassID]:[SubjectID]],"Value")</f>
        <v>"553","4"</v>
      </c>
    </row>
    <row r="574" spans="2:11" x14ac:dyDescent="0.25">
      <c r="B574">
        <v>572</v>
      </c>
      <c r="C574">
        <v>554</v>
      </c>
      <c r="D574" s="21">
        <v>5</v>
      </c>
      <c r="F574" t="s">
        <v>277</v>
      </c>
      <c r="G574" t="s">
        <v>278</v>
      </c>
      <c r="J574" t="str">
        <f t="shared" si="8"/>
        <v>(NULL,"554","5"),</v>
      </c>
      <c r="K574" t="str">
        <f>TextJoin(tblClassSubjs[[#This Row],[ClassID]:[SubjectID]],"Value")</f>
        <v>"554","5"</v>
      </c>
    </row>
    <row r="575" spans="2:11" x14ac:dyDescent="0.25">
      <c r="B575">
        <v>573</v>
      </c>
      <c r="C575">
        <v>555</v>
      </c>
      <c r="D575" s="21">
        <v>6</v>
      </c>
      <c r="F575" t="s">
        <v>279</v>
      </c>
      <c r="G575" t="s">
        <v>280</v>
      </c>
      <c r="J575" t="str">
        <f t="shared" si="8"/>
        <v>(NULL,"555","6"),</v>
      </c>
      <c r="K575" t="str">
        <f>TextJoin(tblClassSubjs[[#This Row],[ClassID]:[SubjectID]],"Value")</f>
        <v>"555","6"</v>
      </c>
    </row>
    <row r="576" spans="2:11" x14ac:dyDescent="0.25">
      <c r="B576">
        <v>574</v>
      </c>
      <c r="C576">
        <v>556</v>
      </c>
      <c r="D576" s="21">
        <v>7</v>
      </c>
      <c r="F576" t="s">
        <v>281</v>
      </c>
      <c r="G576" t="s">
        <v>282</v>
      </c>
      <c r="J576" t="str">
        <f t="shared" si="8"/>
        <v>(NULL,"556","7"),</v>
      </c>
      <c r="K576" t="str">
        <f>TextJoin(tblClassSubjs[[#This Row],[ClassID]:[SubjectID]],"Value")</f>
        <v>"556","7"</v>
      </c>
    </row>
    <row r="577" spans="2:11" x14ac:dyDescent="0.25">
      <c r="B577">
        <v>575</v>
      </c>
      <c r="C577">
        <v>557</v>
      </c>
      <c r="D577" s="21">
        <v>8</v>
      </c>
      <c r="F577" t="s">
        <v>283</v>
      </c>
      <c r="G577" t="s">
        <v>284</v>
      </c>
      <c r="J577" t="str">
        <f t="shared" si="8"/>
        <v>(NULL,"557","8"),</v>
      </c>
      <c r="K577" t="str">
        <f>TextJoin(tblClassSubjs[[#This Row],[ClassID]:[SubjectID]],"Value")</f>
        <v>"557","8"</v>
      </c>
    </row>
    <row r="578" spans="2:11" x14ac:dyDescent="0.25">
      <c r="B578">
        <v>576</v>
      </c>
      <c r="C578">
        <v>558</v>
      </c>
      <c r="D578" s="21">
        <v>9</v>
      </c>
      <c r="F578" t="s">
        <v>285</v>
      </c>
      <c r="G578" t="s">
        <v>286</v>
      </c>
      <c r="J578" t="str">
        <f t="shared" si="8"/>
        <v>(NULL,"558","9"),</v>
      </c>
      <c r="K578" t="str">
        <f>TextJoin(tblClassSubjs[[#This Row],[ClassID]:[SubjectID]],"Value")</f>
        <v>"558","9"</v>
      </c>
    </row>
    <row r="579" spans="2:11" x14ac:dyDescent="0.25">
      <c r="B579">
        <v>577</v>
      </c>
      <c r="C579">
        <v>559</v>
      </c>
      <c r="D579" s="21">
        <v>84</v>
      </c>
      <c r="F579" t="s">
        <v>429</v>
      </c>
      <c r="G579" t="s">
        <v>430</v>
      </c>
      <c r="J579" t="str">
        <f t="shared" si="8"/>
        <v>(NULL,"559","84"),</v>
      </c>
      <c r="K579" t="str">
        <f>TextJoin(tblClassSubjs[[#This Row],[ClassID]:[SubjectID]],"Value")</f>
        <v>"559","84"</v>
      </c>
    </row>
    <row r="580" spans="2:11" x14ac:dyDescent="0.25">
      <c r="B580">
        <v>578</v>
      </c>
      <c r="C580">
        <v>560</v>
      </c>
      <c r="D580" s="21">
        <v>85</v>
      </c>
      <c r="F580" t="s">
        <v>431</v>
      </c>
      <c r="G580" t="s">
        <v>432</v>
      </c>
      <c r="J580" t="str">
        <f t="shared" ref="J580:J632" si="9">"(NULL,"&amp;K580&amp;")"&amp;IF(J581&lt;&gt;"",",",";")</f>
        <v>(NULL,"560","85"),</v>
      </c>
      <c r="K580" t="str">
        <f>TextJoin(tblClassSubjs[[#This Row],[ClassID]:[SubjectID]],"Value")</f>
        <v>"560","85"</v>
      </c>
    </row>
    <row r="581" spans="2:11" x14ac:dyDescent="0.25">
      <c r="B581">
        <v>579</v>
      </c>
      <c r="C581">
        <v>561</v>
      </c>
      <c r="D581" s="21">
        <v>86</v>
      </c>
      <c r="F581" t="s">
        <v>433</v>
      </c>
      <c r="G581" t="s">
        <v>434</v>
      </c>
      <c r="J581" t="str">
        <f t="shared" si="9"/>
        <v>(NULL,"561","86"),</v>
      </c>
      <c r="K581" t="str">
        <f>TextJoin(tblClassSubjs[[#This Row],[ClassID]:[SubjectID]],"Value")</f>
        <v>"561","86"</v>
      </c>
    </row>
    <row r="582" spans="2:11" x14ac:dyDescent="0.25">
      <c r="B582">
        <v>580</v>
      </c>
      <c r="C582">
        <v>562</v>
      </c>
      <c r="D582" s="21">
        <v>87</v>
      </c>
      <c r="F582" t="s">
        <v>435</v>
      </c>
      <c r="G582" t="s">
        <v>331</v>
      </c>
      <c r="J582" t="str">
        <f t="shared" si="9"/>
        <v>(NULL,"562","87"),</v>
      </c>
      <c r="K582" t="str">
        <f>TextJoin(tblClassSubjs[[#This Row],[ClassID]:[SubjectID]],"Value")</f>
        <v>"562","87"</v>
      </c>
    </row>
    <row r="583" spans="2:11" x14ac:dyDescent="0.25">
      <c r="B583">
        <v>581</v>
      </c>
      <c r="C583">
        <v>563</v>
      </c>
      <c r="D583" s="21">
        <v>20</v>
      </c>
      <c r="F583" t="s">
        <v>306</v>
      </c>
      <c r="G583" t="s">
        <v>307</v>
      </c>
      <c r="J583" t="str">
        <f t="shared" si="9"/>
        <v>(NULL,"563","20"),</v>
      </c>
      <c r="K583" t="str">
        <f>TextJoin(tblClassSubjs[[#This Row],[ClassID]:[SubjectID]],"Value")</f>
        <v>"563","20"</v>
      </c>
    </row>
    <row r="584" spans="2:11" x14ac:dyDescent="0.25">
      <c r="B584">
        <v>582</v>
      </c>
      <c r="C584">
        <v>564</v>
      </c>
      <c r="D584" s="21">
        <v>21</v>
      </c>
      <c r="F584" t="s">
        <v>308</v>
      </c>
      <c r="G584" t="s">
        <v>309</v>
      </c>
      <c r="J584" t="str">
        <f t="shared" si="9"/>
        <v>(NULL,"564","21"),</v>
      </c>
      <c r="K584" t="str">
        <f>TextJoin(tblClassSubjs[[#This Row],[ClassID]:[SubjectID]],"Value")</f>
        <v>"564","21"</v>
      </c>
    </row>
    <row r="585" spans="2:11" x14ac:dyDescent="0.25">
      <c r="B585">
        <v>583</v>
      </c>
      <c r="C585">
        <v>565</v>
      </c>
      <c r="D585" s="21">
        <v>22</v>
      </c>
      <c r="F585" t="s">
        <v>310</v>
      </c>
      <c r="G585" t="s">
        <v>311</v>
      </c>
      <c r="J585" t="str">
        <f t="shared" si="9"/>
        <v>(NULL,"565","22"),</v>
      </c>
      <c r="K585" t="str">
        <f>TextJoin(tblClassSubjs[[#This Row],[ClassID]:[SubjectID]],"Value")</f>
        <v>"565","22"</v>
      </c>
    </row>
    <row r="586" spans="2:11" x14ac:dyDescent="0.25">
      <c r="B586">
        <v>584</v>
      </c>
      <c r="C586">
        <v>566</v>
      </c>
      <c r="D586" s="21">
        <v>23</v>
      </c>
      <c r="F586" t="s">
        <v>312</v>
      </c>
      <c r="G586" t="s">
        <v>313</v>
      </c>
      <c r="J586" t="str">
        <f t="shared" si="9"/>
        <v>(NULL,"566","23"),</v>
      </c>
      <c r="K586" t="str">
        <f>TextJoin(tblClassSubjs[[#This Row],[ClassID]:[SubjectID]],"Value")</f>
        <v>"566","23"</v>
      </c>
    </row>
    <row r="587" spans="2:11" x14ac:dyDescent="0.25">
      <c r="B587">
        <v>585</v>
      </c>
      <c r="C587">
        <v>567</v>
      </c>
      <c r="D587" s="21">
        <v>24</v>
      </c>
      <c r="F587" t="s">
        <v>314</v>
      </c>
      <c r="G587" t="s">
        <v>315</v>
      </c>
      <c r="J587" t="str">
        <f t="shared" si="9"/>
        <v>(NULL,"567","24"),</v>
      </c>
      <c r="K587" t="str">
        <f>TextJoin(tblClassSubjs[[#This Row],[ClassID]:[SubjectID]],"Value")</f>
        <v>"567","24"</v>
      </c>
    </row>
    <row r="588" spans="2:11" x14ac:dyDescent="0.25">
      <c r="B588">
        <v>586</v>
      </c>
      <c r="C588">
        <v>568</v>
      </c>
      <c r="D588" s="21">
        <v>25</v>
      </c>
      <c r="F588" t="s">
        <v>316</v>
      </c>
      <c r="G588" t="s">
        <v>317</v>
      </c>
      <c r="J588" t="str">
        <f t="shared" si="9"/>
        <v>(NULL,"568","25"),</v>
      </c>
      <c r="K588" t="str">
        <f>TextJoin(tblClassSubjs[[#This Row],[ClassID]:[SubjectID]],"Value")</f>
        <v>"568","25"</v>
      </c>
    </row>
    <row r="589" spans="2:11" x14ac:dyDescent="0.25">
      <c r="B589">
        <v>587</v>
      </c>
      <c r="C589">
        <v>569</v>
      </c>
      <c r="D589" s="21">
        <v>26</v>
      </c>
      <c r="F589" t="s">
        <v>318</v>
      </c>
      <c r="G589" t="s">
        <v>319</v>
      </c>
      <c r="J589" t="str">
        <f t="shared" si="9"/>
        <v>(NULL,"569","26"),</v>
      </c>
      <c r="K589" t="str">
        <f>TextJoin(tblClassSubjs[[#This Row],[ClassID]:[SubjectID]],"Value")</f>
        <v>"569","26"</v>
      </c>
    </row>
    <row r="590" spans="2:11" x14ac:dyDescent="0.25">
      <c r="B590">
        <v>588</v>
      </c>
      <c r="C590">
        <v>570</v>
      </c>
      <c r="D590" s="21">
        <v>27</v>
      </c>
      <c r="F590" t="s">
        <v>320</v>
      </c>
      <c r="G590" t="s">
        <v>321</v>
      </c>
      <c r="J590" t="str">
        <f t="shared" si="9"/>
        <v>(NULL,"570","27"),</v>
      </c>
      <c r="K590" t="str">
        <f>TextJoin(tblClassSubjs[[#This Row],[ClassID]:[SubjectID]],"Value")</f>
        <v>"570","27"</v>
      </c>
    </row>
    <row r="591" spans="2:11" x14ac:dyDescent="0.25">
      <c r="B591">
        <v>589</v>
      </c>
      <c r="C591">
        <v>571</v>
      </c>
      <c r="D591" s="21">
        <v>103</v>
      </c>
      <c r="F591" t="s">
        <v>450</v>
      </c>
      <c r="G591" t="s">
        <v>451</v>
      </c>
      <c r="J591" t="str">
        <f t="shared" si="9"/>
        <v>(NULL,"571","103"),</v>
      </c>
      <c r="K591" t="str">
        <f>TextJoin(tblClassSubjs[[#This Row],[ClassID]:[SubjectID]],"Value")</f>
        <v>"571","103"</v>
      </c>
    </row>
    <row r="592" spans="2:11" x14ac:dyDescent="0.25">
      <c r="B592">
        <v>590</v>
      </c>
      <c r="C592">
        <v>572</v>
      </c>
      <c r="D592" s="21">
        <v>104</v>
      </c>
      <c r="F592" t="s">
        <v>452</v>
      </c>
      <c r="G592" t="s">
        <v>453</v>
      </c>
      <c r="J592" t="str">
        <f t="shared" si="9"/>
        <v>(NULL,"572","104"),</v>
      </c>
      <c r="K592" t="str">
        <f>TextJoin(tblClassSubjs[[#This Row],[ClassID]:[SubjectID]],"Value")</f>
        <v>"572","104"</v>
      </c>
    </row>
    <row r="593" spans="2:11" x14ac:dyDescent="0.25">
      <c r="B593">
        <v>591</v>
      </c>
      <c r="C593">
        <v>573</v>
      </c>
      <c r="D593" s="21">
        <v>105</v>
      </c>
      <c r="F593" t="s">
        <v>454</v>
      </c>
      <c r="G593" t="s">
        <v>455</v>
      </c>
      <c r="J593" t="str">
        <f t="shared" si="9"/>
        <v>(NULL,"573","105"),</v>
      </c>
      <c r="K593" t="str">
        <f>TextJoin(tblClassSubjs[[#This Row],[ClassID]:[SubjectID]],"Value")</f>
        <v>"573","105"</v>
      </c>
    </row>
    <row r="594" spans="2:11" x14ac:dyDescent="0.25">
      <c r="B594">
        <v>592</v>
      </c>
      <c r="C594">
        <v>574</v>
      </c>
      <c r="D594" s="21">
        <v>106</v>
      </c>
      <c r="F594" t="s">
        <v>456</v>
      </c>
      <c r="G594" t="s">
        <v>329</v>
      </c>
      <c r="J594" t="str">
        <f t="shared" si="9"/>
        <v>(NULL,"574","106"),</v>
      </c>
      <c r="K594" t="str">
        <f>TextJoin(tblClassSubjs[[#This Row],[ClassID]:[SubjectID]],"Value")</f>
        <v>"574","106"</v>
      </c>
    </row>
    <row r="595" spans="2:11" x14ac:dyDescent="0.25">
      <c r="B595">
        <v>593</v>
      </c>
      <c r="C595">
        <v>575</v>
      </c>
      <c r="D595" s="21">
        <v>107</v>
      </c>
      <c r="F595" t="s">
        <v>457</v>
      </c>
      <c r="G595" t="s">
        <v>458</v>
      </c>
      <c r="J595" t="str">
        <f t="shared" si="9"/>
        <v>(NULL,"575","107"),</v>
      </c>
      <c r="K595" t="str">
        <f>TextJoin(tblClassSubjs[[#This Row],[ClassID]:[SubjectID]],"Value")</f>
        <v>"575","107"</v>
      </c>
    </row>
    <row r="596" spans="2:11" x14ac:dyDescent="0.25">
      <c r="B596">
        <v>594</v>
      </c>
      <c r="C596">
        <v>576</v>
      </c>
      <c r="D596" s="21">
        <v>35</v>
      </c>
      <c r="F596" t="s">
        <v>337</v>
      </c>
      <c r="G596" t="s">
        <v>338</v>
      </c>
      <c r="J596" t="str">
        <f t="shared" si="9"/>
        <v>(NULL,"576","35"),</v>
      </c>
      <c r="K596" t="str">
        <f>TextJoin(tblClassSubjs[[#This Row],[ClassID]:[SubjectID]],"Value")</f>
        <v>"576","35"</v>
      </c>
    </row>
    <row r="597" spans="2:11" x14ac:dyDescent="0.25">
      <c r="B597">
        <v>595</v>
      </c>
      <c r="C597">
        <v>577</v>
      </c>
      <c r="D597" s="21">
        <v>36</v>
      </c>
      <c r="F597" t="s">
        <v>339</v>
      </c>
      <c r="G597" t="s">
        <v>340</v>
      </c>
      <c r="J597" t="str">
        <f t="shared" si="9"/>
        <v>(NULL,"577","36"),</v>
      </c>
      <c r="K597" t="str">
        <f>TextJoin(tblClassSubjs[[#This Row],[ClassID]:[SubjectID]],"Value")</f>
        <v>"577","36"</v>
      </c>
    </row>
    <row r="598" spans="2:11" x14ac:dyDescent="0.25">
      <c r="B598">
        <v>596</v>
      </c>
      <c r="C598">
        <v>578</v>
      </c>
      <c r="D598" s="21">
        <v>37</v>
      </c>
      <c r="F598" t="s">
        <v>341</v>
      </c>
      <c r="G598" t="s">
        <v>342</v>
      </c>
      <c r="J598" t="str">
        <f t="shared" si="9"/>
        <v>(NULL,"578","37"),</v>
      </c>
      <c r="K598" t="str">
        <f>TextJoin(tblClassSubjs[[#This Row],[ClassID]:[SubjectID]],"Value")</f>
        <v>"578","37"</v>
      </c>
    </row>
    <row r="599" spans="2:11" x14ac:dyDescent="0.25">
      <c r="B599">
        <v>597</v>
      </c>
      <c r="C599">
        <v>579</v>
      </c>
      <c r="D599" s="21">
        <v>38</v>
      </c>
      <c r="F599" t="s">
        <v>343</v>
      </c>
      <c r="G599" t="s">
        <v>344</v>
      </c>
      <c r="J599" t="str">
        <f t="shared" si="9"/>
        <v>(NULL,"579","38"),</v>
      </c>
      <c r="K599" t="str">
        <f>TextJoin(tblClassSubjs[[#This Row],[ClassID]:[SubjectID]],"Value")</f>
        <v>"579","38"</v>
      </c>
    </row>
    <row r="600" spans="2:11" x14ac:dyDescent="0.25">
      <c r="B600">
        <v>598</v>
      </c>
      <c r="C600">
        <v>580</v>
      </c>
      <c r="D600" s="21">
        <v>39</v>
      </c>
      <c r="F600" t="s">
        <v>345</v>
      </c>
      <c r="G600" t="s">
        <v>346</v>
      </c>
      <c r="J600" t="str">
        <f t="shared" si="9"/>
        <v>(NULL,"580","39"),</v>
      </c>
      <c r="K600" t="str">
        <f>TextJoin(tblClassSubjs[[#This Row],[ClassID]:[SubjectID]],"Value")</f>
        <v>"580","39"</v>
      </c>
    </row>
    <row r="601" spans="2:11" x14ac:dyDescent="0.25">
      <c r="B601">
        <v>599</v>
      </c>
      <c r="C601">
        <v>581</v>
      </c>
      <c r="D601" s="21">
        <v>40</v>
      </c>
      <c r="F601" t="s">
        <v>347</v>
      </c>
      <c r="G601" t="s">
        <v>348</v>
      </c>
      <c r="J601" t="str">
        <f t="shared" si="9"/>
        <v>(NULL,"581","40"),</v>
      </c>
      <c r="K601" t="str">
        <f>TextJoin(tblClassSubjs[[#This Row],[ClassID]:[SubjectID]],"Value")</f>
        <v>"581","40"</v>
      </c>
    </row>
    <row r="602" spans="2:11" x14ac:dyDescent="0.25">
      <c r="B602">
        <v>600</v>
      </c>
      <c r="C602">
        <v>582</v>
      </c>
      <c r="D602" s="21">
        <v>41</v>
      </c>
      <c r="F602" t="s">
        <v>349</v>
      </c>
      <c r="G602" t="s">
        <v>350</v>
      </c>
      <c r="J602" t="str">
        <f t="shared" si="9"/>
        <v>(NULL,"582","41"),</v>
      </c>
      <c r="K602" t="str">
        <f>TextJoin(tblClassSubjs[[#This Row],[ClassID]:[SubjectID]],"Value")</f>
        <v>"582","41"</v>
      </c>
    </row>
    <row r="603" spans="2:11" x14ac:dyDescent="0.25">
      <c r="B603">
        <v>601</v>
      </c>
      <c r="C603">
        <v>583</v>
      </c>
      <c r="D603" s="21">
        <v>42</v>
      </c>
      <c r="F603" t="s">
        <v>351</v>
      </c>
      <c r="G603" t="s">
        <v>610</v>
      </c>
      <c r="J603" t="str">
        <f t="shared" si="9"/>
        <v>(NULL,"583","42"),</v>
      </c>
      <c r="K603" t="str">
        <f>TextJoin(tblClassSubjs[[#This Row],[ClassID]:[SubjectID]],"Value")</f>
        <v>"583","42"</v>
      </c>
    </row>
    <row r="604" spans="2:11" x14ac:dyDescent="0.25">
      <c r="B604">
        <v>602</v>
      </c>
      <c r="C604">
        <v>584</v>
      </c>
      <c r="D604" s="21">
        <v>120</v>
      </c>
      <c r="F604" t="s">
        <v>475</v>
      </c>
      <c r="G604" t="s">
        <v>476</v>
      </c>
      <c r="J604" t="str">
        <f t="shared" si="9"/>
        <v>(NULL,"584","120"),</v>
      </c>
      <c r="K604" t="str">
        <f>TextJoin(tblClassSubjs[[#This Row],[ClassID]:[SubjectID]],"Value")</f>
        <v>"584","120"</v>
      </c>
    </row>
    <row r="605" spans="2:11" x14ac:dyDescent="0.25">
      <c r="B605">
        <v>603</v>
      </c>
      <c r="C605">
        <v>585</v>
      </c>
      <c r="D605" s="21">
        <v>121</v>
      </c>
      <c r="F605" t="s">
        <v>477</v>
      </c>
      <c r="G605" t="s">
        <v>389</v>
      </c>
      <c r="J605" t="str">
        <f t="shared" si="9"/>
        <v>(NULL,"585","121"),</v>
      </c>
      <c r="K605" t="str">
        <f>TextJoin(tblClassSubjs[[#This Row],[ClassID]:[SubjectID]],"Value")</f>
        <v>"585","121"</v>
      </c>
    </row>
    <row r="606" spans="2:11" x14ac:dyDescent="0.25">
      <c r="B606">
        <v>604</v>
      </c>
      <c r="C606">
        <v>586</v>
      </c>
      <c r="D606" s="21">
        <v>122</v>
      </c>
      <c r="F606" t="s">
        <v>478</v>
      </c>
      <c r="G606" t="s">
        <v>479</v>
      </c>
      <c r="J606" t="str">
        <f t="shared" si="9"/>
        <v>(NULL,"586","122"),</v>
      </c>
      <c r="K606" t="str">
        <f>TextJoin(tblClassSubjs[[#This Row],[ClassID]:[SubjectID]],"Value")</f>
        <v>"586","122"</v>
      </c>
    </row>
    <row r="607" spans="2:11" x14ac:dyDescent="0.25">
      <c r="B607">
        <v>605</v>
      </c>
      <c r="C607">
        <v>587</v>
      </c>
      <c r="D607" s="21">
        <v>123</v>
      </c>
      <c r="F607" t="s">
        <v>480</v>
      </c>
      <c r="G607" t="s">
        <v>359</v>
      </c>
      <c r="J607" t="str">
        <f t="shared" si="9"/>
        <v>(NULL,"587","123"),</v>
      </c>
      <c r="K607" t="str">
        <f>TextJoin(tblClassSubjs[[#This Row],[ClassID]:[SubjectID]],"Value")</f>
        <v>"587","123"</v>
      </c>
    </row>
    <row r="608" spans="2:11" x14ac:dyDescent="0.25">
      <c r="B608">
        <v>606</v>
      </c>
      <c r="C608">
        <v>588</v>
      </c>
      <c r="D608" s="21">
        <v>124</v>
      </c>
      <c r="F608" t="s">
        <v>481</v>
      </c>
      <c r="G608" t="s">
        <v>298</v>
      </c>
      <c r="J608" t="str">
        <f t="shared" si="9"/>
        <v>(NULL,"588","124"),</v>
      </c>
      <c r="K608" t="str">
        <f>TextJoin(tblClassSubjs[[#This Row],[ClassID]:[SubjectID]],"Value")</f>
        <v>"588","124"</v>
      </c>
    </row>
    <row r="609" spans="2:11" x14ac:dyDescent="0.25">
      <c r="B609">
        <v>607</v>
      </c>
      <c r="C609">
        <v>589</v>
      </c>
      <c r="D609" s="21">
        <v>125</v>
      </c>
      <c r="F609" t="s">
        <v>482</v>
      </c>
      <c r="G609" t="s">
        <v>483</v>
      </c>
      <c r="J609" t="str">
        <f t="shared" si="9"/>
        <v>(NULL,"589","125"),</v>
      </c>
      <c r="K609" t="str">
        <f>TextJoin(tblClassSubjs[[#This Row],[ClassID]:[SubjectID]],"Value")</f>
        <v>"589","125"</v>
      </c>
    </row>
    <row r="610" spans="2:11" x14ac:dyDescent="0.25">
      <c r="B610">
        <v>608</v>
      </c>
      <c r="C610">
        <v>590</v>
      </c>
      <c r="D610" s="21">
        <v>126</v>
      </c>
      <c r="F610" t="s">
        <v>484</v>
      </c>
      <c r="G610" t="s">
        <v>333</v>
      </c>
      <c r="J610" t="str">
        <f t="shared" si="9"/>
        <v>(NULL,"590","126"),</v>
      </c>
      <c r="K610" t="str">
        <f>TextJoin(tblClassSubjs[[#This Row],[ClassID]:[SubjectID]],"Value")</f>
        <v>"590","126"</v>
      </c>
    </row>
    <row r="611" spans="2:11" x14ac:dyDescent="0.25">
      <c r="B611">
        <v>609</v>
      </c>
      <c r="C611">
        <v>591</v>
      </c>
      <c r="D611" s="21">
        <v>51</v>
      </c>
      <c r="F611" t="s">
        <v>368</v>
      </c>
      <c r="G611" t="s">
        <v>369</v>
      </c>
      <c r="J611" t="str">
        <f t="shared" si="9"/>
        <v>(NULL,"591","51"),</v>
      </c>
      <c r="K611" t="str">
        <f>TextJoin(tblClassSubjs[[#This Row],[ClassID]:[SubjectID]],"Value")</f>
        <v>"591","51"</v>
      </c>
    </row>
    <row r="612" spans="2:11" x14ac:dyDescent="0.25">
      <c r="B612">
        <v>610</v>
      </c>
      <c r="C612">
        <v>592</v>
      </c>
      <c r="D612" s="21">
        <v>52</v>
      </c>
      <c r="F612" t="s">
        <v>370</v>
      </c>
      <c r="G612" t="s">
        <v>371</v>
      </c>
      <c r="J612" t="str">
        <f t="shared" si="9"/>
        <v>(NULL,"592","52"),</v>
      </c>
      <c r="K612" t="str">
        <f>TextJoin(tblClassSubjs[[#This Row],[ClassID]:[SubjectID]],"Value")</f>
        <v>"592","52"</v>
      </c>
    </row>
    <row r="613" spans="2:11" x14ac:dyDescent="0.25">
      <c r="B613">
        <v>611</v>
      </c>
      <c r="C613">
        <v>593</v>
      </c>
      <c r="D613" s="21">
        <v>53</v>
      </c>
      <c r="F613" t="s">
        <v>372</v>
      </c>
      <c r="G613" t="s">
        <v>373</v>
      </c>
      <c r="J613" t="str">
        <f t="shared" si="9"/>
        <v>(NULL,"593","53"),</v>
      </c>
      <c r="K613" t="str">
        <f>TextJoin(tblClassSubjs[[#This Row],[ClassID]:[SubjectID]],"Value")</f>
        <v>"593","53"</v>
      </c>
    </row>
    <row r="614" spans="2:11" x14ac:dyDescent="0.25">
      <c r="B614">
        <v>612</v>
      </c>
      <c r="C614">
        <v>594</v>
      </c>
      <c r="D614" s="21">
        <v>54</v>
      </c>
      <c r="F614" t="s">
        <v>374</v>
      </c>
      <c r="G614" t="s">
        <v>375</v>
      </c>
      <c r="J614" t="str">
        <f t="shared" si="9"/>
        <v>(NULL,"594","54"),</v>
      </c>
      <c r="K614" t="str">
        <f>TextJoin(tblClassSubjs[[#This Row],[ClassID]:[SubjectID]],"Value")</f>
        <v>"594","54"</v>
      </c>
    </row>
    <row r="615" spans="2:11" x14ac:dyDescent="0.25">
      <c r="B615">
        <v>613</v>
      </c>
      <c r="C615">
        <v>595</v>
      </c>
      <c r="D615" s="21">
        <v>55</v>
      </c>
      <c r="F615" t="s">
        <v>376</v>
      </c>
      <c r="G615" t="s">
        <v>377</v>
      </c>
      <c r="J615" t="str">
        <f t="shared" si="9"/>
        <v>(NULL,"595","55"),</v>
      </c>
      <c r="K615" t="str">
        <f>TextJoin(tblClassSubjs[[#This Row],[ClassID]:[SubjectID]],"Value")</f>
        <v>"595","55"</v>
      </c>
    </row>
    <row r="616" spans="2:11" x14ac:dyDescent="0.25">
      <c r="B616">
        <v>614</v>
      </c>
      <c r="C616">
        <v>596</v>
      </c>
      <c r="D616" s="21">
        <v>56</v>
      </c>
      <c r="F616" t="s">
        <v>378</v>
      </c>
      <c r="G616" t="s">
        <v>379</v>
      </c>
      <c r="J616" t="str">
        <f t="shared" si="9"/>
        <v>(NULL,"596","56"),</v>
      </c>
      <c r="K616" t="str">
        <f>TextJoin(tblClassSubjs[[#This Row],[ClassID]:[SubjectID]],"Value")</f>
        <v>"596","56"</v>
      </c>
    </row>
    <row r="617" spans="2:11" x14ac:dyDescent="0.25">
      <c r="B617">
        <v>615</v>
      </c>
      <c r="C617">
        <v>597</v>
      </c>
      <c r="D617" s="21">
        <v>57</v>
      </c>
      <c r="F617" t="s">
        <v>380</v>
      </c>
      <c r="G617" t="s">
        <v>381</v>
      </c>
      <c r="J617" t="str">
        <f t="shared" si="9"/>
        <v>(NULL,"597","57"),</v>
      </c>
      <c r="K617" t="str">
        <f>TextJoin(tblClassSubjs[[#This Row],[ClassID]:[SubjectID]],"Value")</f>
        <v>"597","57"</v>
      </c>
    </row>
    <row r="618" spans="2:11" x14ac:dyDescent="0.25">
      <c r="B618">
        <v>616</v>
      </c>
      <c r="C618">
        <v>598</v>
      </c>
      <c r="D618" s="21">
        <v>58</v>
      </c>
      <c r="F618" t="s">
        <v>382</v>
      </c>
      <c r="G618" t="s">
        <v>383</v>
      </c>
      <c r="J618" t="str">
        <f t="shared" si="9"/>
        <v>(NULL,"598","58"),</v>
      </c>
      <c r="K618" t="str">
        <f>TextJoin(tblClassSubjs[[#This Row],[ClassID]:[SubjectID]],"Value")</f>
        <v>"598","58"</v>
      </c>
    </row>
    <row r="619" spans="2:11" x14ac:dyDescent="0.25">
      <c r="B619">
        <v>617</v>
      </c>
      <c r="C619">
        <v>599</v>
      </c>
      <c r="D619" s="21">
        <v>136</v>
      </c>
      <c r="F619" t="s">
        <v>498</v>
      </c>
      <c r="G619" t="s">
        <v>499</v>
      </c>
      <c r="J619" t="str">
        <f t="shared" si="9"/>
        <v>(NULL,"599","136"),</v>
      </c>
      <c r="K619" t="str">
        <f>TextJoin(tblClassSubjs[[#This Row],[ClassID]:[SubjectID]],"Value")</f>
        <v>"599","136"</v>
      </c>
    </row>
    <row r="620" spans="2:11" x14ac:dyDescent="0.25">
      <c r="B620">
        <v>618</v>
      </c>
      <c r="C620">
        <v>600</v>
      </c>
      <c r="D620" s="21">
        <v>137</v>
      </c>
      <c r="F620" t="s">
        <v>500</v>
      </c>
      <c r="G620" t="s">
        <v>501</v>
      </c>
      <c r="J620" t="str">
        <f t="shared" si="9"/>
        <v>(NULL,"600","137"),</v>
      </c>
      <c r="K620" t="str">
        <f>TextJoin(tblClassSubjs[[#This Row],[ClassID]:[SubjectID]],"Value")</f>
        <v>"600","137"</v>
      </c>
    </row>
    <row r="621" spans="2:11" x14ac:dyDescent="0.25">
      <c r="B621">
        <v>619</v>
      </c>
      <c r="C621">
        <v>601</v>
      </c>
      <c r="D621" s="21">
        <v>138</v>
      </c>
      <c r="F621" t="s">
        <v>502</v>
      </c>
      <c r="G621" t="s">
        <v>391</v>
      </c>
      <c r="J621" t="str">
        <f t="shared" si="9"/>
        <v>(NULL,"601","138"),</v>
      </c>
      <c r="K621" t="str">
        <f>TextJoin(tblClassSubjs[[#This Row],[ClassID]:[SubjectID]],"Value")</f>
        <v>"601","138"</v>
      </c>
    </row>
    <row r="622" spans="2:11" x14ac:dyDescent="0.25">
      <c r="B622">
        <v>620</v>
      </c>
      <c r="C622">
        <v>602</v>
      </c>
      <c r="D622" s="21">
        <v>139</v>
      </c>
      <c r="F622" t="s">
        <v>503</v>
      </c>
      <c r="G622" t="s">
        <v>504</v>
      </c>
      <c r="J622" t="str">
        <f t="shared" si="9"/>
        <v>(NULL,"602","139"),</v>
      </c>
      <c r="K622" t="str">
        <f>TextJoin(tblClassSubjs[[#This Row],[ClassID]:[SubjectID]],"Value")</f>
        <v>"602","139"</v>
      </c>
    </row>
    <row r="623" spans="2:11" x14ac:dyDescent="0.25">
      <c r="B623">
        <v>621</v>
      </c>
      <c r="C623">
        <v>603</v>
      </c>
      <c r="D623" s="21">
        <v>140</v>
      </c>
      <c r="F623" t="s">
        <v>505</v>
      </c>
      <c r="G623" t="s">
        <v>506</v>
      </c>
      <c r="J623" t="str">
        <f t="shared" si="9"/>
        <v>(NULL,"603","140"),</v>
      </c>
      <c r="K623" t="str">
        <f>TextJoin(tblClassSubjs[[#This Row],[ClassID]:[SubjectID]],"Value")</f>
        <v>"603","140"</v>
      </c>
    </row>
    <row r="624" spans="2:11" x14ac:dyDescent="0.25">
      <c r="B624">
        <v>622</v>
      </c>
      <c r="C624">
        <v>604</v>
      </c>
      <c r="D624" s="21">
        <v>132</v>
      </c>
      <c r="F624" t="s">
        <v>493</v>
      </c>
      <c r="G624" t="s">
        <v>415</v>
      </c>
      <c r="J624" t="str">
        <f t="shared" si="9"/>
        <v>(NULL,"604","132"),</v>
      </c>
      <c r="K624" t="str">
        <f>TextJoin(tblClassSubjs[[#This Row],[ClassID]:[SubjectID]],"Value")</f>
        <v>"604","132"</v>
      </c>
    </row>
    <row r="625" spans="2:11" x14ac:dyDescent="0.25">
      <c r="B625">
        <v>623</v>
      </c>
      <c r="C625">
        <v>605</v>
      </c>
      <c r="D625" s="21">
        <v>67</v>
      </c>
      <c r="F625" t="s">
        <v>400</v>
      </c>
      <c r="G625" t="s">
        <v>401</v>
      </c>
      <c r="J625" t="str">
        <f t="shared" si="9"/>
        <v>(NULL,"605","67"),</v>
      </c>
      <c r="K625" t="str">
        <f>TextJoin(tblClassSubjs[[#This Row],[ClassID]:[SubjectID]],"Value")</f>
        <v>"605","67"</v>
      </c>
    </row>
    <row r="626" spans="2:11" x14ac:dyDescent="0.25">
      <c r="B626">
        <v>624</v>
      </c>
      <c r="C626">
        <v>606</v>
      </c>
      <c r="D626" s="21">
        <v>68</v>
      </c>
      <c r="F626" t="s">
        <v>402</v>
      </c>
      <c r="G626" t="s">
        <v>403</v>
      </c>
      <c r="J626" t="str">
        <f t="shared" si="9"/>
        <v>(NULL,"606","68"),</v>
      </c>
      <c r="K626" t="str">
        <f>TextJoin(tblClassSubjs[[#This Row],[ClassID]:[SubjectID]],"Value")</f>
        <v>"606","68"</v>
      </c>
    </row>
    <row r="627" spans="2:11" x14ac:dyDescent="0.25">
      <c r="B627">
        <v>625</v>
      </c>
      <c r="C627">
        <v>607</v>
      </c>
      <c r="D627" s="21">
        <v>69</v>
      </c>
      <c r="F627" t="s">
        <v>404</v>
      </c>
      <c r="G627" t="s">
        <v>405</v>
      </c>
      <c r="J627" t="str">
        <f t="shared" si="9"/>
        <v>(NULL,"607","69"),</v>
      </c>
      <c r="K627" t="str">
        <f>TextJoin(tblClassSubjs[[#This Row],[ClassID]:[SubjectID]],"Value")</f>
        <v>"607","69"</v>
      </c>
    </row>
    <row r="628" spans="2:11" x14ac:dyDescent="0.25">
      <c r="B628">
        <v>626</v>
      </c>
      <c r="C628">
        <v>608</v>
      </c>
      <c r="D628" s="21">
        <v>70</v>
      </c>
      <c r="F628" t="s">
        <v>406</v>
      </c>
      <c r="G628" t="s">
        <v>407</v>
      </c>
      <c r="J628" t="str">
        <f t="shared" si="9"/>
        <v>(NULL,"608","70"),</v>
      </c>
      <c r="K628" t="str">
        <f>TextJoin(tblClassSubjs[[#This Row],[ClassID]:[SubjectID]],"Value")</f>
        <v>"608","70"</v>
      </c>
    </row>
    <row r="629" spans="2:11" x14ac:dyDescent="0.25">
      <c r="B629">
        <v>627</v>
      </c>
      <c r="C629">
        <v>609</v>
      </c>
      <c r="D629" s="21">
        <v>71</v>
      </c>
      <c r="F629" t="s">
        <v>408</v>
      </c>
      <c r="G629" t="s">
        <v>409</v>
      </c>
      <c r="J629" t="str">
        <f t="shared" si="9"/>
        <v>(NULL,"609","71"),</v>
      </c>
      <c r="K629" t="str">
        <f>TextJoin(tblClassSubjs[[#This Row],[ClassID]:[SubjectID]],"Value")</f>
        <v>"609","71"</v>
      </c>
    </row>
    <row r="630" spans="2:11" x14ac:dyDescent="0.25">
      <c r="B630">
        <v>628</v>
      </c>
      <c r="C630">
        <v>610</v>
      </c>
      <c r="D630" s="21">
        <v>72</v>
      </c>
      <c r="F630" t="s">
        <v>410</v>
      </c>
      <c r="G630" t="s">
        <v>411</v>
      </c>
      <c r="J630" t="str">
        <f t="shared" si="9"/>
        <v>(NULL,"610","72"),</v>
      </c>
      <c r="K630" t="str">
        <f>TextJoin(tblClassSubjs[[#This Row],[ClassID]:[SubjectID]],"Value")</f>
        <v>"610","72"</v>
      </c>
    </row>
    <row r="631" spans="2:11" x14ac:dyDescent="0.25">
      <c r="B631">
        <v>629</v>
      </c>
      <c r="C631">
        <v>611</v>
      </c>
      <c r="D631" s="21">
        <v>73</v>
      </c>
      <c r="F631" t="s">
        <v>412</v>
      </c>
      <c r="G631" t="s">
        <v>413</v>
      </c>
      <c r="J631" t="str">
        <f t="shared" si="9"/>
        <v>(NULL,"611","73"),</v>
      </c>
      <c r="K631" t="str">
        <f>TextJoin(tblClassSubjs[[#This Row],[ClassID]:[SubjectID]],"Value")</f>
        <v>"611","73"</v>
      </c>
    </row>
    <row r="632" spans="2:11" x14ac:dyDescent="0.25">
      <c r="B632">
        <v>630</v>
      </c>
      <c r="C632">
        <v>612</v>
      </c>
      <c r="D632" s="21">
        <v>141</v>
      </c>
      <c r="E632" s="30"/>
      <c r="F632" s="29" t="s">
        <v>507</v>
      </c>
      <c r="G632" s="29" t="s">
        <v>508</v>
      </c>
      <c r="H632" s="29">
        <v>10</v>
      </c>
      <c r="J632" t="str">
        <f t="shared" si="9"/>
        <v>(NULL,"612","141");</v>
      </c>
      <c r="K632" t="str">
        <f>TextJoin(tblClassSubjs[[#This Row],[ClassID]:[SubjectID]],"Value")</f>
        <v>"612","141"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M40"/>
  <sheetViews>
    <sheetView topLeftCell="A2" workbookViewId="0">
      <selection activeCell="I3" sqref="I3"/>
    </sheetView>
  </sheetViews>
  <sheetFormatPr defaultRowHeight="15" x14ac:dyDescent="0.25"/>
  <cols>
    <col min="1" max="1" width="0.85546875" customWidth="1"/>
    <col min="3" max="3" width="13.140625" customWidth="1"/>
    <col min="5" max="5" width="10.7109375" customWidth="1"/>
    <col min="8" max="8" width="0.85546875" customWidth="1"/>
    <col min="9" max="9" width="53.5703125" bestFit="1" customWidth="1"/>
    <col min="10" max="11" width="22.140625" bestFit="1" customWidth="1"/>
    <col min="12" max="12" width="2" bestFit="1" customWidth="1"/>
  </cols>
  <sheetData>
    <row r="1" spans="2:13" ht="5.0999999999999996" customHeight="1" x14ac:dyDescent="0.25"/>
    <row r="2" spans="2:13" x14ac:dyDescent="0.25">
      <c r="B2" t="s">
        <v>743</v>
      </c>
      <c r="C2" t="s">
        <v>31</v>
      </c>
      <c r="D2" t="s">
        <v>24</v>
      </c>
      <c r="E2" t="s">
        <v>29</v>
      </c>
      <c r="F2" t="s">
        <v>27</v>
      </c>
      <c r="G2" t="s">
        <v>28</v>
      </c>
      <c r="I2" t="str">
        <f>TextJoin(tblClassSchedules[[#Headers],[CSchedID]:[TimeEnd]])</f>
        <v>CSchedID,ClassID,Day,TimeStart,TimeEnd</v>
      </c>
    </row>
    <row r="3" spans="2:13" x14ac:dyDescent="0.25">
      <c r="B3" t="s">
        <v>693</v>
      </c>
      <c r="C3">
        <v>1</v>
      </c>
      <c r="D3">
        <v>1</v>
      </c>
      <c r="E3">
        <f>LOOKUP(tblClassSchedules[[#This Row],[TextDay]],$M$3:$M$9,$L$3:$L$9)</f>
        <v>1</v>
      </c>
      <c r="F3" s="19">
        <v>0.54166666666666663</v>
      </c>
      <c r="G3" s="19">
        <v>0.66666666666666663</v>
      </c>
      <c r="I3" t="str">
        <f>"(NULL,"&amp;J3&amp;")"&amp;IF(I4&lt;&gt;"",",",";")</f>
        <v>(NULL,"1","1","13:00","16:00"),</v>
      </c>
      <c r="J3" t="str">
        <f>TextJoin(tblClassSchedules[[#This Row],[ClassID]:[TimeEnd]],"Value")</f>
        <v>"1","1","13:00","16:00"</v>
      </c>
      <c r="L3">
        <v>5</v>
      </c>
      <c r="M3" t="s">
        <v>740</v>
      </c>
    </row>
    <row r="4" spans="2:13" x14ac:dyDescent="0.25">
      <c r="B4" t="s">
        <v>696</v>
      </c>
      <c r="C4">
        <v>2</v>
      </c>
      <c r="D4">
        <v>2</v>
      </c>
      <c r="E4">
        <f>LOOKUP(tblClassSchedules[[#This Row],[TextDay]],$M$3:$M$9,$L$3:$L$9)</f>
        <v>4</v>
      </c>
      <c r="F4" s="19">
        <v>0.54166666666666663</v>
      </c>
      <c r="G4" s="19">
        <v>0.66666666666666663</v>
      </c>
      <c r="I4" t="str">
        <f t="shared" ref="I4:I40" si="0">"(NULL,"&amp;J4&amp;")"&amp;IF(I5&lt;&gt;"",",",";")</f>
        <v>(NULL,"2","4","13:00","16:00"),</v>
      </c>
      <c r="J4" t="str">
        <f>TextJoin(tblClassSchedules[[#This Row],[ClassID]:[TimeEnd]],"Value")</f>
        <v>"2","4","13:00","16:00"</v>
      </c>
      <c r="L4">
        <v>1</v>
      </c>
      <c r="M4" t="s">
        <v>693</v>
      </c>
    </row>
    <row r="5" spans="2:13" x14ac:dyDescent="0.25">
      <c r="B5" t="s">
        <v>697</v>
      </c>
      <c r="C5">
        <v>3</v>
      </c>
      <c r="D5">
        <v>3</v>
      </c>
      <c r="E5">
        <f>LOOKUP(tblClassSchedules[[#This Row],[TextDay]],$M$3:$M$9,$L$3:$L$9)</f>
        <v>6</v>
      </c>
      <c r="F5" s="19">
        <v>0.3125</v>
      </c>
      <c r="G5" s="19">
        <v>0.4375</v>
      </c>
      <c r="I5" t="str">
        <f t="shared" si="0"/>
        <v>(NULL,"3","6","7:30","10:30"),</v>
      </c>
      <c r="J5" t="str">
        <f>TextJoin(tblClassSchedules[[#This Row],[ClassID]:[TimeEnd]],"Value")</f>
        <v>"3","6","7:30","10:30"</v>
      </c>
      <c r="L5">
        <v>6</v>
      </c>
      <c r="M5" t="s">
        <v>697</v>
      </c>
    </row>
    <row r="6" spans="2:13" x14ac:dyDescent="0.25">
      <c r="B6" t="s">
        <v>696</v>
      </c>
      <c r="C6">
        <v>4</v>
      </c>
      <c r="D6">
        <v>4</v>
      </c>
      <c r="E6">
        <f>LOOKUP(tblClassSchedules[[#This Row],[TextDay]],$M$3:$M$9,$L$3:$L$9)</f>
        <v>4</v>
      </c>
      <c r="F6" s="19">
        <v>0.375</v>
      </c>
      <c r="G6" s="19">
        <v>0.5</v>
      </c>
      <c r="I6" t="str">
        <f t="shared" si="0"/>
        <v>(NULL,"4","4","9:00","12:00"),</v>
      </c>
      <c r="J6" t="str">
        <f>TextJoin(tblClassSchedules[[#This Row],[ClassID]:[TimeEnd]],"Value")</f>
        <v>"4","4","9:00","12:00"</v>
      </c>
      <c r="L6">
        <v>7</v>
      </c>
      <c r="M6" t="s">
        <v>742</v>
      </c>
    </row>
    <row r="7" spans="2:13" x14ac:dyDescent="0.25">
      <c r="B7" t="s">
        <v>695</v>
      </c>
      <c r="C7">
        <v>5</v>
      </c>
      <c r="D7">
        <v>5</v>
      </c>
      <c r="E7">
        <f>LOOKUP(tblClassSchedules[[#This Row],[TextDay]],$M$3:$M$9,$L$3:$L$9)</f>
        <v>3</v>
      </c>
      <c r="F7" s="19">
        <v>0.54166666666666663</v>
      </c>
      <c r="G7" s="19">
        <v>0.66666666666666663</v>
      </c>
      <c r="I7" t="str">
        <f t="shared" si="0"/>
        <v>(NULL,"5","3","13:00","16:00"),</v>
      </c>
      <c r="J7" t="str">
        <f>TextJoin(tblClassSchedules[[#This Row],[ClassID]:[TimeEnd]],"Value")</f>
        <v>"5","3","13:00","16:00"</v>
      </c>
      <c r="L7">
        <v>4</v>
      </c>
      <c r="M7" t="s">
        <v>696</v>
      </c>
    </row>
    <row r="8" spans="2:13" x14ac:dyDescent="0.25">
      <c r="B8" t="s">
        <v>695</v>
      </c>
      <c r="C8">
        <v>6</v>
      </c>
      <c r="D8">
        <v>6</v>
      </c>
      <c r="E8">
        <f>LOOKUP(tblClassSchedules[[#This Row],[TextDay]],$M$3:$M$9,$L$3:$L$9)</f>
        <v>3</v>
      </c>
      <c r="F8" s="19">
        <v>0.66666666666666663</v>
      </c>
      <c r="G8" s="19">
        <v>0.79166666666666663</v>
      </c>
      <c r="I8" t="str">
        <f t="shared" si="0"/>
        <v>(NULL,"6","3","16:00","19:00"),</v>
      </c>
      <c r="J8" t="str">
        <f>TextJoin(tblClassSchedules[[#This Row],[ClassID]:[TimeEnd]],"Value")</f>
        <v>"6","3","16:00","19:00"</v>
      </c>
      <c r="L8">
        <v>2</v>
      </c>
      <c r="M8" t="s">
        <v>694</v>
      </c>
    </row>
    <row r="9" spans="2:13" x14ac:dyDescent="0.25">
      <c r="B9" t="s">
        <v>697</v>
      </c>
      <c r="C9">
        <v>7</v>
      </c>
      <c r="D9">
        <v>7</v>
      </c>
      <c r="E9">
        <f>LOOKUP(tblClassSchedules[[#This Row],[TextDay]],$M$3:$M$9,$L$3:$L$9)</f>
        <v>6</v>
      </c>
      <c r="F9" s="19">
        <v>0.4375</v>
      </c>
      <c r="G9" s="19">
        <v>0.52083333333333337</v>
      </c>
      <c r="I9" t="str">
        <f t="shared" si="0"/>
        <v>(NULL,"7","6","10:30","12:30"),</v>
      </c>
      <c r="J9" t="str">
        <f>TextJoin(tblClassSchedules[[#This Row],[ClassID]:[TimeEnd]],"Value")</f>
        <v>"7","6","10:30","12:30"</v>
      </c>
      <c r="L9">
        <v>3</v>
      </c>
      <c r="M9" t="s">
        <v>695</v>
      </c>
    </row>
    <row r="10" spans="2:13" x14ac:dyDescent="0.25">
      <c r="B10" t="s">
        <v>697</v>
      </c>
      <c r="C10">
        <v>8</v>
      </c>
      <c r="D10">
        <v>7</v>
      </c>
      <c r="E10">
        <f>LOOKUP(tblClassSchedules[[#This Row],[TextDay]],$M$3:$M$9,$L$3:$L$9)</f>
        <v>6</v>
      </c>
      <c r="F10" s="19">
        <v>0.54166666666666663</v>
      </c>
      <c r="G10" s="19">
        <v>0.625</v>
      </c>
      <c r="I10" t="str">
        <f t="shared" si="0"/>
        <v>(NULL,"7","6","13:00","15:00"),</v>
      </c>
      <c r="J10" t="str">
        <f>TextJoin(tblClassSchedules[[#This Row],[ClassID]:[TimeEnd]],"Value")</f>
        <v>"7","6","13:00","15:00"</v>
      </c>
    </row>
    <row r="11" spans="2:13" x14ac:dyDescent="0.25">
      <c r="B11" t="s">
        <v>693</v>
      </c>
      <c r="C11">
        <v>9</v>
      </c>
      <c r="D11">
        <v>8</v>
      </c>
      <c r="E11">
        <f>LOOKUP(tblClassSchedules[[#This Row],[TextDay]],$M$3:$M$9,$L$3:$L$9)</f>
        <v>1</v>
      </c>
      <c r="F11" s="19">
        <v>0.66666666666666663</v>
      </c>
      <c r="G11" s="19">
        <v>0.79166666666666663</v>
      </c>
      <c r="I11" t="str">
        <f t="shared" si="0"/>
        <v>(NULL,"8","1","16:00","19:00"),</v>
      </c>
      <c r="J11" t="str">
        <f>TextJoin(tblClassSchedules[[#This Row],[ClassID]:[TimeEnd]],"Value")</f>
        <v>"8","1","16:00","19:00"</v>
      </c>
    </row>
    <row r="12" spans="2:13" x14ac:dyDescent="0.25">
      <c r="B12" t="s">
        <v>693</v>
      </c>
      <c r="C12">
        <v>10</v>
      </c>
      <c r="D12">
        <v>9</v>
      </c>
      <c r="E12">
        <f>LOOKUP(tblClassSchedules[[#This Row],[TextDay]],$M$3:$M$9,$L$3:$L$9)</f>
        <v>1</v>
      </c>
      <c r="F12" s="19">
        <v>0.4375</v>
      </c>
      <c r="G12" s="19">
        <v>0.5</v>
      </c>
      <c r="I12" t="str">
        <f t="shared" si="0"/>
        <v>(NULL,"9","1","10:30","12:00"),</v>
      </c>
      <c r="J12" t="str">
        <f>TextJoin(tblClassSchedules[[#This Row],[ClassID]:[TimeEnd]],"Value")</f>
        <v>"9","1","10:30","12:00"</v>
      </c>
    </row>
    <row r="13" spans="2:13" x14ac:dyDescent="0.25">
      <c r="B13" t="s">
        <v>695</v>
      </c>
      <c r="C13">
        <v>11</v>
      </c>
      <c r="D13">
        <v>10</v>
      </c>
      <c r="E13">
        <f>LOOKUP(tblClassSchedules[[#This Row],[TextDay]],$M$3:$M$9,$L$3:$L$9)</f>
        <v>3</v>
      </c>
      <c r="F13" s="19">
        <v>0.54166666666666663</v>
      </c>
      <c r="G13" s="19">
        <v>0.66666666666666663</v>
      </c>
      <c r="I13" t="str">
        <f t="shared" si="0"/>
        <v>(NULL,"10","3","13:00","16:00"),</v>
      </c>
      <c r="J13" t="str">
        <f>TextJoin(tblClassSchedules[[#This Row],[ClassID]:[TimeEnd]],"Value")</f>
        <v>"10","3","13:00","16:00"</v>
      </c>
    </row>
    <row r="14" spans="2:13" x14ac:dyDescent="0.25">
      <c r="B14" t="s">
        <v>740</v>
      </c>
      <c r="C14">
        <v>12</v>
      </c>
      <c r="D14">
        <v>11</v>
      </c>
      <c r="E14">
        <f>LOOKUP(tblClassSchedules[[#This Row],[TextDay]],$M$3:$M$9,$L$3:$L$9)</f>
        <v>5</v>
      </c>
      <c r="F14" s="19">
        <v>0.375</v>
      </c>
      <c r="G14" s="19">
        <v>0.5</v>
      </c>
      <c r="I14" t="str">
        <f t="shared" si="0"/>
        <v>(NULL,"11","5","9:00","12:00"),</v>
      </c>
      <c r="J14" t="str">
        <f>TextJoin(tblClassSchedules[[#This Row],[ClassID]:[TimeEnd]],"Value")</f>
        <v>"11","5","9:00","12:00"</v>
      </c>
    </row>
    <row r="15" spans="2:13" x14ac:dyDescent="0.25">
      <c r="B15" t="s">
        <v>693</v>
      </c>
      <c r="C15">
        <v>13</v>
      </c>
      <c r="D15">
        <v>12</v>
      </c>
      <c r="E15">
        <f>LOOKUP(tblClassSchedules[[#This Row],[TextDay]],$M$3:$M$9,$L$3:$L$9)</f>
        <v>1</v>
      </c>
      <c r="F15" s="19">
        <v>0.54166666666666663</v>
      </c>
      <c r="G15" s="19">
        <v>0.66666666666666663</v>
      </c>
      <c r="I15" t="str">
        <f t="shared" si="0"/>
        <v>(NULL,"12","1","13:00","16:00"),</v>
      </c>
      <c r="J15" t="str">
        <f>TextJoin(tblClassSchedules[[#This Row],[ClassID]:[TimeEnd]],"Value")</f>
        <v>"12","1","13:00","16:00"</v>
      </c>
    </row>
    <row r="16" spans="2:13" x14ac:dyDescent="0.25">
      <c r="B16" t="s">
        <v>695</v>
      </c>
      <c r="C16">
        <v>14</v>
      </c>
      <c r="D16">
        <v>13</v>
      </c>
      <c r="E16">
        <f>LOOKUP(tblClassSchedules[[#This Row],[TextDay]],$M$3:$M$9,$L$3:$L$9)</f>
        <v>3</v>
      </c>
      <c r="F16" s="19">
        <v>0.375</v>
      </c>
      <c r="G16" s="19">
        <v>0.5</v>
      </c>
      <c r="I16" t="str">
        <f t="shared" si="0"/>
        <v>(NULL,"13","3","9:00","12:00"),</v>
      </c>
      <c r="J16" t="str">
        <f>TextJoin(tblClassSchedules[[#This Row],[ClassID]:[TimeEnd]],"Value")</f>
        <v>"13","3","9:00","12:00"</v>
      </c>
    </row>
    <row r="17" spans="2:10" x14ac:dyDescent="0.25">
      <c r="B17" t="s">
        <v>696</v>
      </c>
      <c r="C17">
        <v>15</v>
      </c>
      <c r="D17">
        <v>14</v>
      </c>
      <c r="E17">
        <f>LOOKUP(tblClassSchedules[[#This Row],[TextDay]],$M$3:$M$9,$L$3:$L$9)</f>
        <v>4</v>
      </c>
      <c r="F17" s="19">
        <v>0.375</v>
      </c>
      <c r="G17" s="19">
        <v>0.5</v>
      </c>
      <c r="I17" t="str">
        <f t="shared" si="0"/>
        <v>(NULL,"14","4","9:00","12:00"),</v>
      </c>
      <c r="J17" t="str">
        <f>TextJoin(tblClassSchedules[[#This Row],[ClassID]:[TimeEnd]],"Value")</f>
        <v>"14","4","9:00","12:00"</v>
      </c>
    </row>
    <row r="18" spans="2:10" x14ac:dyDescent="0.25">
      <c r="B18" t="s">
        <v>697</v>
      </c>
      <c r="C18">
        <v>16</v>
      </c>
      <c r="D18">
        <v>15</v>
      </c>
      <c r="E18">
        <f>LOOKUP(tblClassSchedules[[#This Row],[TextDay]],$M$3:$M$9,$L$3:$L$9)</f>
        <v>6</v>
      </c>
      <c r="F18" s="19">
        <v>0.3125</v>
      </c>
      <c r="G18" s="19">
        <v>0.4375</v>
      </c>
      <c r="I18" t="str">
        <f t="shared" si="0"/>
        <v>(NULL,"15","6","7:30","10:30"),</v>
      </c>
      <c r="J18" t="str">
        <f>TextJoin(tblClassSchedules[[#This Row],[ClassID]:[TimeEnd]],"Value")</f>
        <v>"15","6","7:30","10:30"</v>
      </c>
    </row>
    <row r="19" spans="2:10" x14ac:dyDescent="0.25">
      <c r="B19" t="s">
        <v>697</v>
      </c>
      <c r="C19">
        <v>17</v>
      </c>
      <c r="D19">
        <v>16</v>
      </c>
      <c r="E19">
        <f>LOOKUP(tblClassSchedules[[#This Row],[TextDay]],$M$3:$M$9,$L$3:$L$9)</f>
        <v>6</v>
      </c>
      <c r="F19" s="19">
        <v>0.4375</v>
      </c>
      <c r="G19" s="19">
        <v>0.52083333333333337</v>
      </c>
      <c r="I19" t="str">
        <f t="shared" si="0"/>
        <v>(NULL,"16","6","10:30","12:30"),</v>
      </c>
      <c r="J19" t="str">
        <f>TextJoin(tblClassSchedules[[#This Row],[ClassID]:[TimeEnd]],"Value")</f>
        <v>"16","6","10:30","12:30"</v>
      </c>
    </row>
    <row r="20" spans="2:10" x14ac:dyDescent="0.25">
      <c r="B20" t="s">
        <v>697</v>
      </c>
      <c r="C20">
        <v>18</v>
      </c>
      <c r="D20">
        <v>17</v>
      </c>
      <c r="E20">
        <f>LOOKUP(tblClassSchedules[[#This Row],[TextDay]],$M$3:$M$9,$L$3:$L$9)</f>
        <v>6</v>
      </c>
      <c r="F20" s="19">
        <v>0.54166666666666663</v>
      </c>
      <c r="G20" s="19">
        <v>0.66666666666666663</v>
      </c>
      <c r="I20" t="str">
        <f t="shared" si="0"/>
        <v>(NULL,"17","6","13:00","16:00"),</v>
      </c>
      <c r="J20" t="str">
        <f>TextJoin(tblClassSchedules[[#This Row],[ClassID]:[TimeEnd]],"Value")</f>
        <v>"17","6","13:00","16:00"</v>
      </c>
    </row>
    <row r="21" spans="2:10" x14ac:dyDescent="0.25">
      <c r="B21" t="s">
        <v>740</v>
      </c>
      <c r="C21">
        <v>19</v>
      </c>
      <c r="D21">
        <v>18</v>
      </c>
      <c r="E21">
        <f>LOOKUP(tblClassSchedules[[#This Row],[TextDay]],$M$3:$M$9,$L$3:$L$9)</f>
        <v>5</v>
      </c>
      <c r="F21" s="19">
        <v>0.60416666666666663</v>
      </c>
      <c r="G21" s="19">
        <v>0.66666666666666663</v>
      </c>
      <c r="I21" t="str">
        <f t="shared" si="0"/>
        <v>(NULL,"18","5","14:30","16:00"),</v>
      </c>
      <c r="J21" t="str">
        <f>TextJoin(tblClassSchedules[[#This Row],[ClassID]:[TimeEnd]],"Value")</f>
        <v>"18","5","14:30","16:00"</v>
      </c>
    </row>
    <row r="22" spans="2:10" x14ac:dyDescent="0.25">
      <c r="B22" t="s">
        <v>697</v>
      </c>
      <c r="C22">
        <v>20</v>
      </c>
      <c r="D22">
        <v>19</v>
      </c>
      <c r="E22">
        <f>LOOKUP(tblClassSchedules[[#This Row],[TextDay]],$M$3:$M$9,$L$3:$L$9)</f>
        <v>6</v>
      </c>
      <c r="F22" s="19">
        <v>0.6875</v>
      </c>
      <c r="G22" s="19">
        <v>0.75</v>
      </c>
      <c r="I22" t="str">
        <f t="shared" si="0"/>
        <v>(NULL,"19","6","16:30","18:00"),</v>
      </c>
      <c r="J22" t="str">
        <f>TextJoin(tblClassSchedules[[#This Row],[ClassID]:[TimeEnd]],"Value")</f>
        <v>"19","6","16:30","18:00"</v>
      </c>
    </row>
    <row r="23" spans="2:10" x14ac:dyDescent="0.25">
      <c r="B23" t="s">
        <v>695</v>
      </c>
      <c r="C23">
        <v>21</v>
      </c>
      <c r="D23">
        <v>20</v>
      </c>
      <c r="E23">
        <f>LOOKUP(tblClassSchedules[[#This Row],[TextDay]],$M$3:$M$9,$L$3:$L$9)</f>
        <v>3</v>
      </c>
      <c r="F23" s="19">
        <v>0.66666666666666663</v>
      </c>
      <c r="G23" s="19">
        <v>0.72916666666666663</v>
      </c>
      <c r="I23" t="str">
        <f t="shared" si="0"/>
        <v>(NULL,"20","3","16:00","17:30"),</v>
      </c>
      <c r="J23" t="str">
        <f>TextJoin(tblClassSchedules[[#This Row],[ClassID]:[TimeEnd]],"Value")</f>
        <v>"20","3","16:00","17:30"</v>
      </c>
    </row>
    <row r="24" spans="2:10" x14ac:dyDescent="0.25">
      <c r="B24" t="s">
        <v>697</v>
      </c>
      <c r="C24">
        <v>22</v>
      </c>
      <c r="D24">
        <v>21</v>
      </c>
      <c r="E24">
        <f>LOOKUP(tblClassSchedules[[#This Row],[TextDay]],$M$3:$M$9,$L$3:$L$9)</f>
        <v>6</v>
      </c>
      <c r="F24" s="19">
        <v>0.3125</v>
      </c>
      <c r="G24" s="19">
        <v>0.4375</v>
      </c>
      <c r="I24" t="str">
        <f t="shared" si="0"/>
        <v>(NULL,"21","6","7:30","10:30"),</v>
      </c>
      <c r="J24" t="str">
        <f>TextJoin(tblClassSchedules[[#This Row],[ClassID]:[TimeEnd]],"Value")</f>
        <v>"21","6","7:30","10:30"</v>
      </c>
    </row>
    <row r="25" spans="2:10" x14ac:dyDescent="0.25">
      <c r="B25" t="s">
        <v>740</v>
      </c>
      <c r="C25">
        <v>23</v>
      </c>
      <c r="D25">
        <v>22</v>
      </c>
      <c r="E25">
        <f>LOOKUP(tblClassSchedules[[#This Row],[TextDay]],$M$3:$M$9,$L$3:$L$9)</f>
        <v>5</v>
      </c>
      <c r="F25" s="19">
        <v>0.66666666666666663</v>
      </c>
      <c r="G25" s="19">
        <v>0.79166666666666663</v>
      </c>
      <c r="I25" t="str">
        <f t="shared" si="0"/>
        <v>(NULL,"22","5","16:00","19:00"),</v>
      </c>
      <c r="J25" t="str">
        <f>TextJoin(tblClassSchedules[[#This Row],[ClassID]:[TimeEnd]],"Value")</f>
        <v>"22","5","16:00","19:00"</v>
      </c>
    </row>
    <row r="26" spans="2:10" x14ac:dyDescent="0.25">
      <c r="B26" t="s">
        <v>693</v>
      </c>
      <c r="C26">
        <v>24</v>
      </c>
      <c r="D26">
        <v>23</v>
      </c>
      <c r="E26">
        <f>LOOKUP(tblClassSchedules[[#This Row],[TextDay]],$M$3:$M$9,$L$3:$L$9)</f>
        <v>1</v>
      </c>
      <c r="F26" s="19">
        <v>0.375</v>
      </c>
      <c r="G26" s="19">
        <v>0.5</v>
      </c>
      <c r="I26" t="str">
        <f t="shared" si="0"/>
        <v>(NULL,"23","1","9:00","12:00"),</v>
      </c>
      <c r="J26" t="str">
        <f>TextJoin(tblClassSchedules[[#This Row],[ClassID]:[TimeEnd]],"Value")</f>
        <v>"23","1","9:00","12:00"</v>
      </c>
    </row>
    <row r="27" spans="2:10" x14ac:dyDescent="0.25">
      <c r="B27" t="s">
        <v>696</v>
      </c>
      <c r="C27">
        <v>25</v>
      </c>
      <c r="D27">
        <v>24</v>
      </c>
      <c r="E27">
        <f>LOOKUP(tblClassSchedules[[#This Row],[TextDay]],$M$3:$M$9,$L$3:$L$9)</f>
        <v>4</v>
      </c>
      <c r="F27" s="19">
        <v>0.54166666666666663</v>
      </c>
      <c r="G27" s="19">
        <v>0.66666666666666663</v>
      </c>
      <c r="I27" t="str">
        <f t="shared" si="0"/>
        <v>(NULL,"24","4","13:00","16:00"),</v>
      </c>
      <c r="J27" t="str">
        <f>TextJoin(tblClassSchedules[[#This Row],[ClassID]:[TimeEnd]],"Value")</f>
        <v>"24","4","13:00","16:00"</v>
      </c>
    </row>
    <row r="28" spans="2:10" x14ac:dyDescent="0.25">
      <c r="B28" t="s">
        <v>694</v>
      </c>
      <c r="C28">
        <v>26</v>
      </c>
      <c r="D28">
        <v>25</v>
      </c>
      <c r="E28">
        <f>LOOKUP(tblClassSchedules[[#This Row],[TextDay]],$M$3:$M$9,$L$3:$L$9)</f>
        <v>2</v>
      </c>
      <c r="F28" s="19">
        <v>0.54166666666666663</v>
      </c>
      <c r="G28" s="19">
        <v>0.66666666666666663</v>
      </c>
      <c r="I28" t="str">
        <f t="shared" si="0"/>
        <v>(NULL,"25","2","13:00","16:00"),</v>
      </c>
      <c r="J28" t="str">
        <f>TextJoin(tblClassSchedules[[#This Row],[ClassID]:[TimeEnd]],"Value")</f>
        <v>"25","2","13:00","16:00"</v>
      </c>
    </row>
    <row r="29" spans="2:10" x14ac:dyDescent="0.25">
      <c r="B29" t="s">
        <v>693</v>
      </c>
      <c r="C29">
        <v>27</v>
      </c>
      <c r="D29">
        <v>26</v>
      </c>
      <c r="E29">
        <f>LOOKUP(tblClassSchedules[[#This Row],[TextDay]],$M$3:$M$9,$L$3:$L$9)</f>
        <v>1</v>
      </c>
      <c r="F29" s="19">
        <v>0.54166666666666663</v>
      </c>
      <c r="G29" s="19">
        <v>0.66666666666666663</v>
      </c>
      <c r="I29" t="str">
        <f t="shared" si="0"/>
        <v>(NULL,"26","1","13:00","16:00"),</v>
      </c>
      <c r="J29" t="str">
        <f>TextJoin(tblClassSchedules[[#This Row],[ClassID]:[TimeEnd]],"Value")</f>
        <v>"26","1","13:00","16:00"</v>
      </c>
    </row>
    <row r="30" spans="2:10" x14ac:dyDescent="0.25">
      <c r="B30" t="s">
        <v>694</v>
      </c>
      <c r="C30">
        <v>28</v>
      </c>
      <c r="D30">
        <v>27</v>
      </c>
      <c r="E30">
        <f>LOOKUP(tblClassSchedules[[#This Row],[TextDay]],$M$3:$M$9,$L$3:$L$9)</f>
        <v>2</v>
      </c>
      <c r="F30" s="19">
        <v>0.375</v>
      </c>
      <c r="G30" s="19">
        <v>0.5</v>
      </c>
      <c r="I30" t="str">
        <f t="shared" si="0"/>
        <v>(NULL,"27","2","9:00","12:00"),</v>
      </c>
      <c r="J30" t="str">
        <f>TextJoin(tblClassSchedules[[#This Row],[ClassID]:[TimeEnd]],"Value")</f>
        <v>"27","2","9:00","12:00"</v>
      </c>
    </row>
    <row r="31" spans="2:10" x14ac:dyDescent="0.25">
      <c r="B31" t="s">
        <v>696</v>
      </c>
      <c r="C31">
        <v>29</v>
      </c>
      <c r="D31">
        <v>28</v>
      </c>
      <c r="E31">
        <f>LOOKUP(tblClassSchedules[[#This Row],[TextDay]],$M$3:$M$9,$L$3:$L$9)</f>
        <v>4</v>
      </c>
      <c r="F31" s="19">
        <v>0.66666666666666663</v>
      </c>
      <c r="G31" s="19">
        <v>0.72916666666666663</v>
      </c>
      <c r="I31" t="str">
        <f t="shared" si="0"/>
        <v>(NULL,"28","4","16:00","17:30"),</v>
      </c>
      <c r="J31" t="str">
        <f>TextJoin(tblClassSchedules[[#This Row],[ClassID]:[TimeEnd]],"Value")</f>
        <v>"28","4","16:00","17:30"</v>
      </c>
    </row>
    <row r="32" spans="2:10" x14ac:dyDescent="0.25">
      <c r="B32" t="s">
        <v>697</v>
      </c>
      <c r="C32">
        <v>30</v>
      </c>
      <c r="D32">
        <v>29</v>
      </c>
      <c r="E32">
        <f>LOOKUP(tblClassSchedules[[#This Row],[TextDay]],$M$3:$M$9,$L$3:$L$9)</f>
        <v>6</v>
      </c>
      <c r="F32" s="19">
        <v>0.625</v>
      </c>
      <c r="G32" s="19">
        <v>0.70833333333333337</v>
      </c>
      <c r="I32" t="str">
        <f t="shared" si="0"/>
        <v>(NULL,"29","6","15:00","17:00"),</v>
      </c>
      <c r="J32" t="str">
        <f>TextJoin(tblClassSchedules[[#This Row],[ClassID]:[TimeEnd]],"Value")</f>
        <v>"29","6","15:00","17:00"</v>
      </c>
    </row>
    <row r="33" spans="2:10" x14ac:dyDescent="0.25">
      <c r="B33" t="s">
        <v>696</v>
      </c>
      <c r="C33">
        <v>31</v>
      </c>
      <c r="D33">
        <v>30</v>
      </c>
      <c r="E33">
        <f>LOOKUP(tblClassSchedules[[#This Row],[TextDay]],$M$3:$M$9,$L$3:$L$9)</f>
        <v>4</v>
      </c>
      <c r="F33" s="19">
        <v>0.72916666666666663</v>
      </c>
      <c r="G33" s="19">
        <v>0.79166666666666663</v>
      </c>
      <c r="I33" t="str">
        <f t="shared" si="0"/>
        <v>(NULL,"30","4","17:30","19:00"),</v>
      </c>
      <c r="J33" t="str">
        <f>TextJoin(tblClassSchedules[[#This Row],[ClassID]:[TimeEnd]],"Value")</f>
        <v>"30","4","17:30","19:00"</v>
      </c>
    </row>
    <row r="34" spans="2:10" x14ac:dyDescent="0.25">
      <c r="B34" t="s">
        <v>697</v>
      </c>
      <c r="C34">
        <v>32</v>
      </c>
      <c r="D34">
        <v>31</v>
      </c>
      <c r="E34">
        <f>LOOKUP(tblClassSchedules[[#This Row],[TextDay]],$M$3:$M$9,$L$3:$L$9)</f>
        <v>6</v>
      </c>
      <c r="F34" s="19">
        <v>0.5625</v>
      </c>
      <c r="G34" s="19">
        <v>0.625</v>
      </c>
      <c r="I34" t="str">
        <f t="shared" si="0"/>
        <v>(NULL,"31","6","13:30","15:00"),</v>
      </c>
      <c r="J34" t="str">
        <f>TextJoin(tblClassSchedules[[#This Row],[ClassID]:[TimeEnd]],"Value")</f>
        <v>"31","6","13:30","15:00"</v>
      </c>
    </row>
    <row r="35" spans="2:10" x14ac:dyDescent="0.25">
      <c r="B35" t="s">
        <v>696</v>
      </c>
      <c r="C35">
        <v>33</v>
      </c>
      <c r="D35">
        <v>32</v>
      </c>
      <c r="E35">
        <f>LOOKUP(tblClassSchedules[[#This Row],[TextDay]],$M$3:$M$9,$L$3:$L$9)</f>
        <v>4</v>
      </c>
      <c r="F35" s="19">
        <v>0.375</v>
      </c>
      <c r="G35" s="19">
        <v>0.5</v>
      </c>
      <c r="I35" t="str">
        <f t="shared" si="0"/>
        <v>(NULL,"32","4","9:00","12:00"),</v>
      </c>
      <c r="J35" t="str">
        <f>TextJoin(tblClassSchedules[[#This Row],[ClassID]:[TimeEnd]],"Value")</f>
        <v>"32","4","9:00","12:00"</v>
      </c>
    </row>
    <row r="36" spans="2:10" x14ac:dyDescent="0.25">
      <c r="B36" t="s">
        <v>695</v>
      </c>
      <c r="C36">
        <v>34</v>
      </c>
      <c r="D36">
        <v>33</v>
      </c>
      <c r="E36">
        <f>LOOKUP(tblClassSchedules[[#This Row],[TextDay]],$M$3:$M$9,$L$3:$L$9)</f>
        <v>3</v>
      </c>
      <c r="F36" s="19">
        <v>0.375</v>
      </c>
      <c r="G36" s="19">
        <v>0.5</v>
      </c>
      <c r="I36" t="str">
        <f t="shared" si="0"/>
        <v>(NULL,"33","3","9:00","12:00"),</v>
      </c>
      <c r="J36" t="str">
        <f>TextJoin(tblClassSchedules[[#This Row],[ClassID]:[TimeEnd]],"Value")</f>
        <v>"33","3","9:00","12:00"</v>
      </c>
    </row>
    <row r="37" spans="2:10" x14ac:dyDescent="0.25">
      <c r="B37" t="s">
        <v>694</v>
      </c>
      <c r="C37">
        <v>35</v>
      </c>
      <c r="D37">
        <v>34</v>
      </c>
      <c r="E37">
        <f>LOOKUP(tblClassSchedules[[#This Row],[TextDay]],$M$3:$M$9,$L$3:$L$9)</f>
        <v>2</v>
      </c>
      <c r="F37" s="19">
        <v>0.66666666666666663</v>
      </c>
      <c r="G37" s="19">
        <v>0.79166666666666663</v>
      </c>
      <c r="I37" t="str">
        <f t="shared" si="0"/>
        <v>(NULL,"34","2","16:00","19:00"),</v>
      </c>
      <c r="J37" t="str">
        <f>TextJoin(tblClassSchedules[[#This Row],[ClassID]:[TimeEnd]],"Value")</f>
        <v>"34","2","16:00","19:00"</v>
      </c>
    </row>
    <row r="38" spans="2:10" x14ac:dyDescent="0.25">
      <c r="B38" t="s">
        <v>694</v>
      </c>
      <c r="C38">
        <v>36</v>
      </c>
      <c r="D38">
        <v>35</v>
      </c>
      <c r="E38">
        <f>LOOKUP(tblClassSchedules[[#This Row],[TextDay]],$M$3:$M$9,$L$3:$L$9)</f>
        <v>2</v>
      </c>
      <c r="F38" s="19">
        <v>0.54166666666666663</v>
      </c>
      <c r="G38" s="19">
        <v>0.66666666666666663</v>
      </c>
      <c r="I38" t="str">
        <f t="shared" si="0"/>
        <v>(NULL,"35","2","13:00","16:00"),</v>
      </c>
      <c r="J38" t="str">
        <f>TextJoin(tblClassSchedules[[#This Row],[ClassID]:[TimeEnd]],"Value")</f>
        <v>"35","2","13:00","16:00"</v>
      </c>
    </row>
    <row r="39" spans="2:10" x14ac:dyDescent="0.25">
      <c r="B39" t="s">
        <v>696</v>
      </c>
      <c r="C39">
        <v>37</v>
      </c>
      <c r="D39">
        <v>36</v>
      </c>
      <c r="E39">
        <f>LOOKUP(tblClassSchedules[[#This Row],[TextDay]],$M$3:$M$9,$L$3:$L$9)</f>
        <v>4</v>
      </c>
      <c r="F39" s="19">
        <v>0.33333333333333331</v>
      </c>
      <c r="G39" s="19">
        <v>0.375</v>
      </c>
      <c r="I39" t="str">
        <f t="shared" si="0"/>
        <v>(NULL,"36","4","8:00","9:00"),</v>
      </c>
      <c r="J39" t="str">
        <f>TextJoin(tblClassSchedules[[#This Row],[ClassID]:[TimeEnd]],"Value")</f>
        <v>"36","4","8:00","9:00"</v>
      </c>
    </row>
    <row r="40" spans="2:10" x14ac:dyDescent="0.25">
      <c r="B40" t="s">
        <v>697</v>
      </c>
      <c r="C40">
        <v>38</v>
      </c>
      <c r="D40">
        <v>37</v>
      </c>
      <c r="E40">
        <f>LOOKUP(tblClassSchedules[[#This Row],[TextDay]],$M$3:$M$9,$L$3:$L$9)</f>
        <v>6</v>
      </c>
      <c r="F40" s="19">
        <v>0.5</v>
      </c>
      <c r="G40" s="19">
        <v>0.5625</v>
      </c>
      <c r="I40" t="str">
        <f t="shared" si="0"/>
        <v>(NULL,"37","6","12:00","13:30");</v>
      </c>
      <c r="J40" t="str">
        <f>TextJoin(tblClassSchedules[[#This Row],[ClassID]:[TimeEnd]],"Value")</f>
        <v>"37","6","12:00","13:30"</v>
      </c>
    </row>
  </sheetData>
  <sortState ref="L3:M9">
    <sortCondition ref="M3:M9"/>
  </sortState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Y1484"/>
  <sheetViews>
    <sheetView topLeftCell="A2" workbookViewId="0">
      <selection activeCell="D3" sqref="D3"/>
    </sheetView>
  </sheetViews>
  <sheetFormatPr defaultRowHeight="15" x14ac:dyDescent="0.25"/>
  <cols>
    <col min="1" max="1" width="0.85546875" customWidth="1"/>
    <col min="2" max="4" width="10.7109375" customWidth="1"/>
    <col min="5" max="5" width="11.7109375" hidden="1" customWidth="1"/>
    <col min="6" max="6" width="6.85546875" hidden="1" customWidth="1"/>
    <col min="7" max="7" width="13.42578125" hidden="1" customWidth="1"/>
    <col min="8" max="8" width="29.5703125" hidden="1" customWidth="1"/>
    <col min="9" max="9" width="14.42578125" hidden="1" customWidth="1"/>
    <col min="10" max="10" width="2.85546875" hidden="1" customWidth="1"/>
    <col min="11" max="11" width="10.85546875" hidden="1" customWidth="1"/>
    <col min="12" max="12" width="10.42578125" hidden="1" customWidth="1"/>
    <col min="13" max="13" width="35.28515625" hidden="1" customWidth="1"/>
    <col min="14" max="14" width="39.85546875" hidden="1" customWidth="1"/>
    <col min="15" max="15" width="0.85546875" customWidth="1"/>
    <col min="16" max="16" width="41.28515625" bestFit="1" customWidth="1"/>
  </cols>
  <sheetData>
    <row r="1" spans="2:25" ht="5.0999999999999996" customHeight="1" x14ac:dyDescent="0.25"/>
    <row r="2" spans="2:25" x14ac:dyDescent="0.25">
      <c r="B2" t="s">
        <v>26</v>
      </c>
      <c r="C2" t="s">
        <v>25</v>
      </c>
      <c r="D2" t="s">
        <v>17</v>
      </c>
    </row>
    <row r="3" spans="2:25" x14ac:dyDescent="0.25">
      <c r="B3">
        <v>1</v>
      </c>
      <c r="C3">
        <v>1</v>
      </c>
      <c r="D3">
        <v>31</v>
      </c>
      <c r="P3" t="str">
        <f>"(NULL,"&amp;Q3&amp;")"&amp;IF(P4&lt;&gt;"",",",";")</f>
        <v>(NULL,"1","31"),</v>
      </c>
      <c r="Q3" t="str">
        <f>TextJoin(tblEnrolledSubjs[[#This Row],[CSubjID]:[EStudID]],"Value")</f>
        <v>"1","31"</v>
      </c>
      <c r="R3" s="23">
        <v>67</v>
      </c>
      <c r="S3">
        <f>LOOKUP(LOOKUP(tblEnrolledSubjs[[#This Row],[CSubjID]], tblClassSubjs[CSubjID],tblClassSubjs[ClassID]),tblClasses[ClassID],tblClasses[STermID])</f>
        <v>1</v>
      </c>
      <c r="T3" t="str">
        <f>LOOKUP(S3,tblSchoolTerms[STermID],tblSchoolTerms[SemesterID]&amp;" Semester "&amp;tblSchoolTerms[SchoolYear])</f>
        <v>2 Semester S.Y. 2018-2019</v>
      </c>
      <c r="W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">
        <f t="array" ref="Y3">INDEX(tblEnrolledStuds[EStudID],MATCH(tblEnrolledSubjs[[#This Row],[EStudID]]&amp;S3,tblEnrolledStuds[AdmissionStatusID]&amp;tblEnrolledStuds[StudID],0))</f>
        <v>11</v>
      </c>
    </row>
    <row r="4" spans="2:25" x14ac:dyDescent="0.25">
      <c r="B4">
        <v>2</v>
      </c>
      <c r="C4">
        <v>1</v>
      </c>
      <c r="D4">
        <v>65</v>
      </c>
      <c r="P4" t="str">
        <f t="shared" ref="P4:P67" si="0">"(NULL,"&amp;Q4&amp;")"&amp;IF(P5&lt;&gt;"",",",";")</f>
        <v>(NULL,"1","65"),</v>
      </c>
      <c r="Q4" t="str">
        <f>TextJoin(tblEnrolledSubjs[[#This Row],[CSubjID]:[EStudID]],"Value")</f>
        <v>"1","65"</v>
      </c>
      <c r="R4" s="23">
        <v>86</v>
      </c>
      <c r="S4">
        <f>LOOKUP(LOOKUP(tblEnrolledSubjs[[#This Row],[CSubjID]], tblClassSubjs[CSubjID],tblClassSubjs[ClassID]),tblClasses[ClassID],tblClasses[STermID])</f>
        <v>1</v>
      </c>
      <c r="T4" t="str">
        <f>LOOKUP(S4,tblSchoolTerms[STermID],tblSchoolTerms[SemesterID]&amp;" Semester "&amp;tblSchoolTerms[SchoolYear])</f>
        <v>2 Semester S.Y. 2018-2019</v>
      </c>
      <c r="W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" t="e">
        <f t="array" ref="Y4">INDEX(tblEnrolledStuds[EStudID],MATCH(tblEnrolledSubjs[[#This Row],[EStudID]]&amp;S4,tblEnrolledStuds[AdmissionStatusID]&amp;tblEnrolledStuds[StudID],0))</f>
        <v>#N/A</v>
      </c>
    </row>
    <row r="5" spans="2:25" x14ac:dyDescent="0.25">
      <c r="B5">
        <v>3</v>
      </c>
      <c r="C5">
        <v>1</v>
      </c>
      <c r="D5">
        <v>39</v>
      </c>
      <c r="P5" t="str">
        <f t="shared" si="0"/>
        <v>(NULL,"1","39"),</v>
      </c>
      <c r="Q5" t="str">
        <f>TextJoin(tblEnrolledSubjs[[#This Row],[CSubjID]:[EStudID]],"Value")</f>
        <v>"1","39"</v>
      </c>
      <c r="R5" s="23">
        <v>103</v>
      </c>
      <c r="S5">
        <f>LOOKUP(LOOKUP(tblEnrolledSubjs[[#This Row],[CSubjID]], tblClassSubjs[CSubjID],tblClassSubjs[ClassID]),tblClasses[ClassID],tblClasses[STermID])</f>
        <v>1</v>
      </c>
      <c r="T5" t="str">
        <f>LOOKUP(S5,tblSchoolTerms[STermID],tblSchoolTerms[SemesterID]&amp;" Semester "&amp;tblSchoolTerms[SchoolYear])</f>
        <v>2 Semester S.Y. 2018-2019</v>
      </c>
      <c r="W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" t="e">
        <f t="array" ref="Y5">INDEX(tblEnrolledStuds[EStudID],MATCH(tblEnrolledSubjs[[#This Row],[EStudID]]&amp;S5,tblEnrolledStuds[AdmissionStatusID]&amp;tblEnrolledStuds[StudID],0))</f>
        <v>#N/A</v>
      </c>
    </row>
    <row r="6" spans="2:25" x14ac:dyDescent="0.25">
      <c r="B6">
        <v>4</v>
      </c>
      <c r="C6">
        <v>1</v>
      </c>
      <c r="D6">
        <v>41</v>
      </c>
      <c r="P6" t="str">
        <f t="shared" si="0"/>
        <v>(NULL,"1","41"),</v>
      </c>
      <c r="Q6" t="str">
        <f>TextJoin(tblEnrolledSubjs[[#This Row],[CSubjID]:[EStudID]],"Value")</f>
        <v>"1","41"</v>
      </c>
      <c r="R6" s="23">
        <v>120</v>
      </c>
      <c r="S6">
        <f>LOOKUP(LOOKUP(tblEnrolledSubjs[[#This Row],[CSubjID]], tblClassSubjs[CSubjID],tblClassSubjs[ClassID]),tblClasses[ClassID],tblClasses[STermID])</f>
        <v>1</v>
      </c>
      <c r="T6" t="str">
        <f>LOOKUP(S6,tblSchoolTerms[STermID],tblSchoolTerms[SemesterID]&amp;" Semester "&amp;tblSchoolTerms[SchoolYear])</f>
        <v>2 Semester S.Y. 2018-2019</v>
      </c>
      <c r="W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" t="e">
        <f t="array" ref="Y6">INDEX(tblEnrolledStuds[EStudID],MATCH(tblEnrolledSubjs[[#This Row],[EStudID]]&amp;S6,tblEnrolledStuds[AdmissionStatusID]&amp;tblEnrolledStuds[StudID],0))</f>
        <v>#N/A</v>
      </c>
    </row>
    <row r="7" spans="2:25" x14ac:dyDescent="0.25">
      <c r="B7">
        <v>5</v>
      </c>
      <c r="C7">
        <v>1</v>
      </c>
      <c r="D7">
        <v>48</v>
      </c>
      <c r="P7" t="str">
        <f t="shared" si="0"/>
        <v>(NULL,"1","48"),</v>
      </c>
      <c r="Q7" t="str">
        <f>TextJoin(tblEnrolledSubjs[[#This Row],[CSubjID]:[EStudID]],"Value")</f>
        <v>"1","48"</v>
      </c>
      <c r="R7" s="23">
        <v>137</v>
      </c>
      <c r="S7">
        <f>LOOKUP(LOOKUP(tblEnrolledSubjs[[#This Row],[CSubjID]], tblClassSubjs[CSubjID],tblClassSubjs[ClassID]),tblClasses[ClassID],tblClasses[STermID])</f>
        <v>1</v>
      </c>
      <c r="T7" t="str">
        <f>LOOKUP(S7,tblSchoolTerms[STermID],tblSchoolTerms[SemesterID]&amp;" Semester "&amp;tblSchoolTerms[SchoolYear])</f>
        <v>2 Semester S.Y. 2018-2019</v>
      </c>
      <c r="W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" t="e">
        <f t="array" ref="Y7">INDEX(tblEnrolledStuds[EStudID],MATCH(tblEnrolledSubjs[[#This Row],[EStudID]]&amp;S7,tblEnrolledStuds[AdmissionStatusID]&amp;tblEnrolledStuds[StudID],0))</f>
        <v>#N/A</v>
      </c>
    </row>
    <row r="8" spans="2:25" x14ac:dyDescent="0.25">
      <c r="B8">
        <v>6</v>
      </c>
      <c r="C8">
        <v>1</v>
      </c>
      <c r="D8">
        <v>50</v>
      </c>
      <c r="P8" t="str">
        <f t="shared" si="0"/>
        <v>(NULL,"1","50"),</v>
      </c>
      <c r="Q8" t="str">
        <f>TextJoin(tblEnrolledSubjs[[#This Row],[CSubjID]:[EStudID]],"Value")</f>
        <v>"1","50"</v>
      </c>
      <c r="R8" s="23">
        <v>154</v>
      </c>
      <c r="S8">
        <f>LOOKUP(LOOKUP(tblEnrolledSubjs[[#This Row],[CSubjID]], tblClassSubjs[CSubjID],tblClassSubjs[ClassID]),tblClasses[ClassID],tblClasses[STermID])</f>
        <v>1</v>
      </c>
      <c r="T8" t="str">
        <f>LOOKUP(S8,tblSchoolTerms[STermID],tblSchoolTerms[SemesterID]&amp;" Semester "&amp;tblSchoolTerms[SchoolYear])</f>
        <v>2 Semester S.Y. 2018-2019</v>
      </c>
      <c r="W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" t="e">
        <f t="array" ref="Y8">INDEX(tblEnrolledStuds[EStudID],MATCH(tblEnrolledSubjs[[#This Row],[EStudID]]&amp;S8,tblEnrolledStuds[AdmissionStatusID]&amp;tblEnrolledStuds[StudID],0))</f>
        <v>#N/A</v>
      </c>
    </row>
    <row r="9" spans="2:25" x14ac:dyDescent="0.25">
      <c r="B9">
        <v>7</v>
      </c>
      <c r="C9">
        <v>1</v>
      </c>
      <c r="D9">
        <v>57</v>
      </c>
      <c r="P9" t="str">
        <f t="shared" si="0"/>
        <v>(NULL,"1","57"),</v>
      </c>
      <c r="Q9" t="str">
        <f>TextJoin(tblEnrolledSubjs[[#This Row],[CSubjID]:[EStudID]],"Value")</f>
        <v>"1","57"</v>
      </c>
      <c r="R9" s="23">
        <v>171</v>
      </c>
      <c r="S9">
        <f>LOOKUP(LOOKUP(tblEnrolledSubjs[[#This Row],[CSubjID]], tblClassSubjs[CSubjID],tblClassSubjs[ClassID]),tblClasses[ClassID],tblClasses[STermID])</f>
        <v>1</v>
      </c>
      <c r="T9" t="str">
        <f>LOOKUP(S9,tblSchoolTerms[STermID],tblSchoolTerms[SemesterID]&amp;" Semester "&amp;tblSchoolTerms[SchoolYear])</f>
        <v>2 Semester S.Y. 2018-2019</v>
      </c>
      <c r="W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" t="e">
        <f t="array" ref="Y9">INDEX(tblEnrolledStuds[EStudID],MATCH(tblEnrolledSubjs[[#This Row],[EStudID]]&amp;S9,tblEnrolledStuds[AdmissionStatusID]&amp;tblEnrolledStuds[StudID],0))</f>
        <v>#N/A</v>
      </c>
    </row>
    <row r="10" spans="2:25" x14ac:dyDescent="0.25">
      <c r="B10">
        <v>8</v>
      </c>
      <c r="C10">
        <v>1</v>
      </c>
      <c r="D10">
        <v>35</v>
      </c>
      <c r="P10" t="str">
        <f t="shared" si="0"/>
        <v>(NULL,"1","35"),</v>
      </c>
      <c r="Q10" t="str">
        <f>TextJoin(tblEnrolledSubjs[[#This Row],[CSubjID]:[EStudID]],"Value")</f>
        <v>"1","35"</v>
      </c>
      <c r="R10" s="23">
        <v>188</v>
      </c>
      <c r="S10">
        <f>LOOKUP(LOOKUP(tblEnrolledSubjs[[#This Row],[CSubjID]], tblClassSubjs[CSubjID],tblClassSubjs[ClassID]),tblClasses[ClassID],tblClasses[STermID])</f>
        <v>1</v>
      </c>
      <c r="T10" t="str">
        <f>LOOKUP(S10,tblSchoolTerms[STermID],tblSchoolTerms[SemesterID]&amp;" Semester "&amp;tblSchoolTerms[SchoolYear])</f>
        <v>2 Semester S.Y. 2018-2019</v>
      </c>
      <c r="W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">
        <f t="array" ref="Y10">INDEX(tblEnrolledStuds[EStudID],MATCH(tblEnrolledSubjs[[#This Row],[EStudID]]&amp;S10,tblEnrolledStuds[AdmissionStatusID]&amp;tblEnrolledStuds[StudID],0))</f>
        <v>51</v>
      </c>
    </row>
    <row r="11" spans="2:25" x14ac:dyDescent="0.25">
      <c r="B11">
        <v>9</v>
      </c>
      <c r="C11">
        <v>2</v>
      </c>
      <c r="D11">
        <v>67</v>
      </c>
      <c r="P11" t="str">
        <f t="shared" si="0"/>
        <v>(NULL,"2","67"),</v>
      </c>
      <c r="Q11" t="str">
        <f>TextJoin(tblEnrolledSubjs[[#This Row],[CSubjID]:[EStudID]],"Value")</f>
        <v>"2","67"</v>
      </c>
      <c r="R11" s="23">
        <v>194</v>
      </c>
      <c r="S11">
        <f>LOOKUP(LOOKUP(tblEnrolledSubjs[[#This Row],[CSubjID]], tblClassSubjs[CSubjID],tblClassSubjs[ClassID]),tblClasses[ClassID],tblClasses[STermID])</f>
        <v>1</v>
      </c>
      <c r="T11" t="str">
        <f>LOOKUP(S11,tblSchoolTerms[STermID],tblSchoolTerms[SemesterID]&amp;" Semester "&amp;tblSchoolTerms[SchoolYear])</f>
        <v>2 Semester S.Y. 2018-2019</v>
      </c>
      <c r="W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" t="e">
        <f t="array" ref="Y11">INDEX(tblEnrolledStuds[EStudID],MATCH(tblEnrolledSubjs[[#This Row],[EStudID]]&amp;S11,tblEnrolledStuds[AdmissionStatusID]&amp;tblEnrolledStuds[StudID],0))</f>
        <v>#N/A</v>
      </c>
    </row>
    <row r="12" spans="2:25" x14ac:dyDescent="0.25">
      <c r="B12">
        <v>10</v>
      </c>
      <c r="C12">
        <v>3</v>
      </c>
      <c r="D12">
        <v>4</v>
      </c>
      <c r="P12" t="str">
        <f t="shared" si="0"/>
        <v>(NULL,"3","4"),</v>
      </c>
      <c r="Q12" t="str">
        <f>TextJoin(tblEnrolledSubjs[[#This Row],[CSubjID]:[EStudID]],"Value")</f>
        <v>"3","4"</v>
      </c>
      <c r="R12" s="31">
        <v>200</v>
      </c>
      <c r="S12">
        <f>LOOKUP(LOOKUP(tblEnrolledSubjs[[#This Row],[CSubjID]], tblClassSubjs[CSubjID],tblClassSubjs[ClassID]),tblClasses[ClassID],tblClasses[STermID])</f>
        <v>1</v>
      </c>
      <c r="T12" t="str">
        <f>LOOKUP(S12,tblSchoolTerms[STermID],tblSchoolTerms[SemesterID]&amp;" Semester "&amp;tblSchoolTerms[SchoolYear])</f>
        <v>2 Semester S.Y. 2018-2019</v>
      </c>
      <c r="W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" t="e">
        <f t="array" ref="Y12">INDEX(tblEnrolledStuds[EStudID],MATCH(tblEnrolledSubjs[[#This Row],[EStudID]]&amp;S12,tblEnrolledStuds[AdmissionStatusID]&amp;tblEnrolledStuds[StudID],0))</f>
        <v>#N/A</v>
      </c>
    </row>
    <row r="13" spans="2:25" x14ac:dyDescent="0.25">
      <c r="B13">
        <v>11</v>
      </c>
      <c r="C13">
        <v>3</v>
      </c>
      <c r="D13">
        <v>30</v>
      </c>
      <c r="P13" t="str">
        <f t="shared" si="0"/>
        <v>(NULL,"3","30"),</v>
      </c>
      <c r="Q13" t="str">
        <f>TextJoin(tblEnrolledSubjs[[#This Row],[CSubjID]:[EStudID]],"Value")</f>
        <v>"3","30"</v>
      </c>
      <c r="S13">
        <f>LOOKUP(LOOKUP(tblEnrolledSubjs[[#This Row],[CSubjID]], tblClassSubjs[CSubjID],tblClassSubjs[ClassID]),tblClasses[ClassID],tblClasses[STermID])</f>
        <v>1</v>
      </c>
      <c r="T13" t="str">
        <f>LOOKUP(S13,tblSchoolTerms[STermID],tblSchoolTerms[SemesterID]&amp;" Semester "&amp;tblSchoolTerms[SchoolYear])</f>
        <v>2 Semester S.Y. 2018-2019</v>
      </c>
      <c r="W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" t="e">
        <f t="array" ref="Y13">INDEX(tblEnrolledStuds[EStudID],MATCH(tblEnrolledSubjs[[#This Row],[EStudID]]&amp;S13,tblEnrolledStuds[AdmissionStatusID]&amp;tblEnrolledStuds[StudID],0))</f>
        <v>#N/A</v>
      </c>
    </row>
    <row r="14" spans="2:25" x14ac:dyDescent="0.25">
      <c r="B14">
        <v>12</v>
      </c>
      <c r="C14">
        <v>3</v>
      </c>
      <c r="D14">
        <v>38</v>
      </c>
      <c r="P14" t="str">
        <f t="shared" si="0"/>
        <v>(NULL,"3","38"),</v>
      </c>
      <c r="Q14" t="str">
        <f>TextJoin(tblEnrolledSubjs[[#This Row],[CSubjID]:[EStudID]],"Value")</f>
        <v>"3","38"</v>
      </c>
      <c r="S14">
        <f>LOOKUP(LOOKUP(tblEnrolledSubjs[[#This Row],[CSubjID]], tblClassSubjs[CSubjID],tblClassSubjs[ClassID]),tblClasses[ClassID],tblClasses[STermID])</f>
        <v>1</v>
      </c>
      <c r="T14" t="str">
        <f>LOOKUP(S14,tblSchoolTerms[STermID],tblSchoolTerms[SemesterID]&amp;" Semester "&amp;tblSchoolTerms[SchoolYear])</f>
        <v>2 Semester S.Y. 2018-2019</v>
      </c>
      <c r="W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" t="e">
        <f t="array" ref="Y14">INDEX(tblEnrolledStuds[EStudID],MATCH(tblEnrolledSubjs[[#This Row],[EStudID]]&amp;S14,tblEnrolledStuds[AdmissionStatusID]&amp;tblEnrolledStuds[StudID],0))</f>
        <v>#N/A</v>
      </c>
    </row>
    <row r="15" spans="2:25" x14ac:dyDescent="0.25">
      <c r="B15">
        <v>13</v>
      </c>
      <c r="C15">
        <v>3</v>
      </c>
      <c r="D15">
        <v>42</v>
      </c>
      <c r="P15" t="str">
        <f t="shared" si="0"/>
        <v>(NULL,"3","42"),</v>
      </c>
      <c r="Q15" t="str">
        <f>TextJoin(tblEnrolledSubjs[[#This Row],[CSubjID]:[EStudID]],"Value")</f>
        <v>"3","42"</v>
      </c>
      <c r="S15">
        <f>LOOKUP(LOOKUP(tblEnrolledSubjs[[#This Row],[CSubjID]], tblClassSubjs[CSubjID],tblClassSubjs[ClassID]),tblClasses[ClassID],tblClasses[STermID])</f>
        <v>1</v>
      </c>
      <c r="T15" t="str">
        <f>LOOKUP(S15,tblSchoolTerms[STermID],tblSchoolTerms[SemesterID]&amp;" Semester "&amp;tblSchoolTerms[SchoolYear])</f>
        <v>2 Semester S.Y. 2018-2019</v>
      </c>
      <c r="W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" t="e">
        <f t="array" ref="Y15">INDEX(tblEnrolledStuds[EStudID],MATCH(tblEnrolledSubjs[[#This Row],[EStudID]]&amp;S15,tblEnrolledStuds[AdmissionStatusID]&amp;tblEnrolledStuds[StudID],0))</f>
        <v>#N/A</v>
      </c>
    </row>
    <row r="16" spans="2:25" x14ac:dyDescent="0.25">
      <c r="B16">
        <v>14</v>
      </c>
      <c r="C16">
        <v>4</v>
      </c>
      <c r="D16">
        <v>31</v>
      </c>
      <c r="P16" t="str">
        <f t="shared" si="0"/>
        <v>(NULL,"4","31"),</v>
      </c>
      <c r="Q16" t="str">
        <f>TextJoin(tblEnrolledSubjs[[#This Row],[CSubjID]:[EStudID]],"Value")</f>
        <v>"4","31"</v>
      </c>
      <c r="S16">
        <f>LOOKUP(LOOKUP(tblEnrolledSubjs[[#This Row],[CSubjID]], tblClassSubjs[CSubjID],tblClassSubjs[ClassID]),tblClasses[ClassID],tblClasses[STermID])</f>
        <v>1</v>
      </c>
      <c r="T16" t="str">
        <f>LOOKUP(S16,tblSchoolTerms[STermID],tblSchoolTerms[SemesterID]&amp;" Semester "&amp;tblSchoolTerms[SchoolYear])</f>
        <v>2 Semester S.Y. 2018-2019</v>
      </c>
      <c r="W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">
        <f t="array" ref="Y16">INDEX(tblEnrolledStuds[EStudID],MATCH(tblEnrolledSubjs[[#This Row],[EStudID]]&amp;S16,tblEnrolledStuds[AdmissionStatusID]&amp;tblEnrolledStuds[StudID],0))</f>
        <v>11</v>
      </c>
    </row>
    <row r="17" spans="2:25" x14ac:dyDescent="0.25">
      <c r="B17">
        <v>15</v>
      </c>
      <c r="C17">
        <v>4</v>
      </c>
      <c r="D17">
        <v>65</v>
      </c>
      <c r="P17" t="str">
        <f t="shared" si="0"/>
        <v>(NULL,"4","65"),</v>
      </c>
      <c r="Q17" t="str">
        <f>TextJoin(tblEnrolledSubjs[[#This Row],[CSubjID]:[EStudID]],"Value")</f>
        <v>"4","65"</v>
      </c>
      <c r="S17">
        <f>LOOKUP(LOOKUP(tblEnrolledSubjs[[#This Row],[CSubjID]], tblClassSubjs[CSubjID],tblClassSubjs[ClassID]),tblClasses[ClassID],tblClasses[STermID])</f>
        <v>1</v>
      </c>
      <c r="T17" t="str">
        <f>LOOKUP(S17,tblSchoolTerms[STermID],tblSchoolTerms[SemesterID]&amp;" Semester "&amp;tblSchoolTerms[SchoolYear])</f>
        <v>2 Semester S.Y. 2018-2019</v>
      </c>
      <c r="W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" t="e">
        <f t="array" ref="Y17">INDEX(tblEnrolledStuds[EStudID],MATCH(tblEnrolledSubjs[[#This Row],[EStudID]]&amp;S17,tblEnrolledStuds[AdmissionStatusID]&amp;tblEnrolledStuds[StudID],0))</f>
        <v>#N/A</v>
      </c>
    </row>
    <row r="18" spans="2:25" x14ac:dyDescent="0.25">
      <c r="B18">
        <v>16</v>
      </c>
      <c r="C18">
        <v>4</v>
      </c>
      <c r="D18">
        <v>39</v>
      </c>
      <c r="P18" t="str">
        <f t="shared" si="0"/>
        <v>(NULL,"4","39"),</v>
      </c>
      <c r="Q18" t="str">
        <f>TextJoin(tblEnrolledSubjs[[#This Row],[CSubjID]:[EStudID]],"Value")</f>
        <v>"4","39"</v>
      </c>
      <c r="S18">
        <f>LOOKUP(LOOKUP(tblEnrolledSubjs[[#This Row],[CSubjID]], tblClassSubjs[CSubjID],tblClassSubjs[ClassID]),tblClasses[ClassID],tblClasses[STermID])</f>
        <v>1</v>
      </c>
      <c r="T18" t="str">
        <f>LOOKUP(S18,tblSchoolTerms[STermID],tblSchoolTerms[SemesterID]&amp;" Semester "&amp;tblSchoolTerms[SchoolYear])</f>
        <v>2 Semester S.Y. 2018-2019</v>
      </c>
      <c r="W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" t="e">
        <f t="array" ref="Y18">INDEX(tblEnrolledStuds[EStudID],MATCH(tblEnrolledSubjs[[#This Row],[EStudID]]&amp;S18,tblEnrolledStuds[AdmissionStatusID]&amp;tblEnrolledStuds[StudID],0))</f>
        <v>#N/A</v>
      </c>
    </row>
    <row r="19" spans="2:25" x14ac:dyDescent="0.25">
      <c r="B19">
        <v>17</v>
      </c>
      <c r="C19">
        <v>4</v>
      </c>
      <c r="D19">
        <v>41</v>
      </c>
      <c r="P19" t="str">
        <f t="shared" si="0"/>
        <v>(NULL,"4","41"),</v>
      </c>
      <c r="Q19" t="str">
        <f>TextJoin(tblEnrolledSubjs[[#This Row],[CSubjID]:[EStudID]],"Value")</f>
        <v>"4","41"</v>
      </c>
      <c r="S19">
        <f>LOOKUP(LOOKUP(tblEnrolledSubjs[[#This Row],[CSubjID]], tblClassSubjs[CSubjID],tblClassSubjs[ClassID]),tblClasses[ClassID],tblClasses[STermID])</f>
        <v>1</v>
      </c>
      <c r="T19" t="str">
        <f>LOOKUP(S19,tblSchoolTerms[STermID],tblSchoolTerms[SemesterID]&amp;" Semester "&amp;tblSchoolTerms[SchoolYear])</f>
        <v>2 Semester S.Y. 2018-2019</v>
      </c>
      <c r="W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" t="e">
        <f t="array" ref="Y19">INDEX(tblEnrolledStuds[EStudID],MATCH(tblEnrolledSubjs[[#This Row],[EStudID]]&amp;S19,tblEnrolledStuds[AdmissionStatusID]&amp;tblEnrolledStuds[StudID],0))</f>
        <v>#N/A</v>
      </c>
    </row>
    <row r="20" spans="2:25" x14ac:dyDescent="0.25">
      <c r="B20">
        <v>18</v>
      </c>
      <c r="C20">
        <v>4</v>
      </c>
      <c r="D20">
        <v>48</v>
      </c>
      <c r="P20" t="str">
        <f t="shared" si="0"/>
        <v>(NULL,"4","48"),</v>
      </c>
      <c r="Q20" t="str">
        <f>TextJoin(tblEnrolledSubjs[[#This Row],[CSubjID]:[EStudID]],"Value")</f>
        <v>"4","48"</v>
      </c>
      <c r="S20">
        <f>LOOKUP(LOOKUP(tblEnrolledSubjs[[#This Row],[CSubjID]], tblClassSubjs[CSubjID],tblClassSubjs[ClassID]),tblClasses[ClassID],tblClasses[STermID])</f>
        <v>1</v>
      </c>
      <c r="T20" t="str">
        <f>LOOKUP(S20,tblSchoolTerms[STermID],tblSchoolTerms[SemesterID]&amp;" Semester "&amp;tblSchoolTerms[SchoolYear])</f>
        <v>2 Semester S.Y. 2018-2019</v>
      </c>
      <c r="W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" t="e">
        <f t="array" ref="Y20">INDEX(tblEnrolledStuds[EStudID],MATCH(tblEnrolledSubjs[[#This Row],[EStudID]]&amp;S20,tblEnrolledStuds[AdmissionStatusID]&amp;tblEnrolledStuds[StudID],0))</f>
        <v>#N/A</v>
      </c>
    </row>
    <row r="21" spans="2:25" x14ac:dyDescent="0.25">
      <c r="B21">
        <v>19</v>
      </c>
      <c r="C21">
        <v>4</v>
      </c>
      <c r="D21">
        <v>50</v>
      </c>
      <c r="P21" t="str">
        <f t="shared" si="0"/>
        <v>(NULL,"4","50"),</v>
      </c>
      <c r="Q21" t="str">
        <f>TextJoin(tblEnrolledSubjs[[#This Row],[CSubjID]:[EStudID]],"Value")</f>
        <v>"4","50"</v>
      </c>
      <c r="S21">
        <f>LOOKUP(LOOKUP(tblEnrolledSubjs[[#This Row],[CSubjID]], tblClassSubjs[CSubjID],tblClassSubjs[ClassID]),tblClasses[ClassID],tblClasses[STermID])</f>
        <v>1</v>
      </c>
      <c r="T21" t="str">
        <f>LOOKUP(S21,tblSchoolTerms[STermID],tblSchoolTerms[SemesterID]&amp;" Semester "&amp;tblSchoolTerms[SchoolYear])</f>
        <v>2 Semester S.Y. 2018-2019</v>
      </c>
      <c r="W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" t="e">
        <f t="array" ref="Y21">INDEX(tblEnrolledStuds[EStudID],MATCH(tblEnrolledSubjs[[#This Row],[EStudID]]&amp;S21,tblEnrolledStuds[AdmissionStatusID]&amp;tblEnrolledStuds[StudID],0))</f>
        <v>#N/A</v>
      </c>
    </row>
    <row r="22" spans="2:25" x14ac:dyDescent="0.25">
      <c r="B22">
        <v>20</v>
      </c>
      <c r="C22">
        <v>4</v>
      </c>
      <c r="D22">
        <v>57</v>
      </c>
      <c r="P22" t="str">
        <f t="shared" si="0"/>
        <v>(NULL,"4","57"),</v>
      </c>
      <c r="Q22" t="str">
        <f>TextJoin(tblEnrolledSubjs[[#This Row],[CSubjID]:[EStudID]],"Value")</f>
        <v>"4","57"</v>
      </c>
      <c r="S22">
        <f>LOOKUP(LOOKUP(tblEnrolledSubjs[[#This Row],[CSubjID]], tblClassSubjs[CSubjID],tblClassSubjs[ClassID]),tblClasses[ClassID],tblClasses[STermID])</f>
        <v>1</v>
      </c>
      <c r="T22" t="str">
        <f>LOOKUP(S22,tblSchoolTerms[STermID],tblSchoolTerms[SemesterID]&amp;" Semester "&amp;tblSchoolTerms[SchoolYear])</f>
        <v>2 Semester S.Y. 2018-2019</v>
      </c>
      <c r="W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" t="e">
        <f t="array" ref="Y22">INDEX(tblEnrolledStuds[EStudID],MATCH(tblEnrolledSubjs[[#This Row],[EStudID]]&amp;S22,tblEnrolledStuds[AdmissionStatusID]&amp;tblEnrolledStuds[StudID],0))</f>
        <v>#N/A</v>
      </c>
    </row>
    <row r="23" spans="2:25" x14ac:dyDescent="0.25">
      <c r="B23">
        <v>21</v>
      </c>
      <c r="C23">
        <v>4</v>
      </c>
      <c r="D23">
        <v>35</v>
      </c>
      <c r="P23" t="str">
        <f t="shared" si="0"/>
        <v>(NULL,"4","35"),</v>
      </c>
      <c r="Q23" t="str">
        <f>TextJoin(tblEnrolledSubjs[[#This Row],[CSubjID]:[EStudID]],"Value")</f>
        <v>"4","35"</v>
      </c>
      <c r="S23">
        <f>LOOKUP(LOOKUP(tblEnrolledSubjs[[#This Row],[CSubjID]], tblClassSubjs[CSubjID],tblClassSubjs[ClassID]),tblClasses[ClassID],tblClasses[STermID])</f>
        <v>1</v>
      </c>
      <c r="T23" t="str">
        <f>LOOKUP(S23,tblSchoolTerms[STermID],tblSchoolTerms[SemesterID]&amp;" Semester "&amp;tblSchoolTerms[SchoolYear])</f>
        <v>2 Semester S.Y. 2018-2019</v>
      </c>
      <c r="W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">
        <f t="array" ref="Y23">INDEX(tblEnrolledStuds[EStudID],MATCH(tblEnrolledSubjs[[#This Row],[EStudID]]&amp;S23,tblEnrolledStuds[AdmissionStatusID]&amp;tblEnrolledStuds[StudID],0))</f>
        <v>51</v>
      </c>
    </row>
    <row r="24" spans="2:25" x14ac:dyDescent="0.25">
      <c r="B24">
        <v>22</v>
      </c>
      <c r="C24">
        <v>4</v>
      </c>
      <c r="D24">
        <v>33</v>
      </c>
      <c r="P24" t="str">
        <f t="shared" si="0"/>
        <v>(NULL,"4","33"),</v>
      </c>
      <c r="Q24" t="str">
        <f>TextJoin(tblEnrolledSubjs[[#This Row],[CSubjID]:[EStudID]],"Value")</f>
        <v>"4","33"</v>
      </c>
      <c r="S24">
        <f>LOOKUP(LOOKUP(tblEnrolledSubjs[[#This Row],[CSubjID]], tblClassSubjs[CSubjID],tblClassSubjs[ClassID]),tblClasses[ClassID],tblClasses[STermID])</f>
        <v>1</v>
      </c>
      <c r="T24" t="str">
        <f>LOOKUP(S24,tblSchoolTerms[STermID],tblSchoolTerms[SemesterID]&amp;" Semester "&amp;tblSchoolTerms[SchoolYear])</f>
        <v>2 Semester S.Y. 2018-2019</v>
      </c>
      <c r="W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">
        <f t="array" ref="Y24">INDEX(tblEnrolledStuds[EStudID],MATCH(tblEnrolledSubjs[[#This Row],[EStudID]]&amp;S24,tblEnrolledStuds[AdmissionStatusID]&amp;tblEnrolledStuds[StudID],0))</f>
        <v>31</v>
      </c>
    </row>
    <row r="25" spans="2:25" x14ac:dyDescent="0.25">
      <c r="B25">
        <v>23</v>
      </c>
      <c r="C25">
        <v>4</v>
      </c>
      <c r="D25">
        <v>10</v>
      </c>
      <c r="P25" t="str">
        <f t="shared" si="0"/>
        <v>(NULL,"4","10"),</v>
      </c>
      <c r="Q25" t="str">
        <f>TextJoin(tblEnrolledSubjs[[#This Row],[CSubjID]:[EStudID]],"Value")</f>
        <v>"4","10"</v>
      </c>
      <c r="S25">
        <f>LOOKUP(LOOKUP(tblEnrolledSubjs[[#This Row],[CSubjID]], tblClassSubjs[CSubjID],tblClassSubjs[ClassID]),tblClasses[ClassID],tblClasses[STermID])</f>
        <v>1</v>
      </c>
      <c r="T25" t="str">
        <f>LOOKUP(S25,tblSchoolTerms[STermID],tblSchoolTerms[SemesterID]&amp;" Semester "&amp;tblSchoolTerms[SchoolYear])</f>
        <v>2 Semester S.Y. 2018-2019</v>
      </c>
      <c r="W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" t="e">
        <f t="array" ref="Y25">INDEX(tblEnrolledStuds[EStudID],MATCH(tblEnrolledSubjs[[#This Row],[EStudID]]&amp;S25,tblEnrolledStuds[AdmissionStatusID]&amp;tblEnrolledStuds[StudID],0))</f>
        <v>#N/A</v>
      </c>
    </row>
    <row r="26" spans="2:25" x14ac:dyDescent="0.25">
      <c r="B26">
        <v>24</v>
      </c>
      <c r="C26">
        <v>5</v>
      </c>
      <c r="D26">
        <v>31</v>
      </c>
      <c r="P26" t="str">
        <f t="shared" si="0"/>
        <v>(NULL,"5","31"),</v>
      </c>
      <c r="Q26" t="str">
        <f>TextJoin(tblEnrolledSubjs[[#This Row],[CSubjID]:[EStudID]],"Value")</f>
        <v>"5","31"</v>
      </c>
      <c r="S26">
        <f>LOOKUP(LOOKUP(tblEnrolledSubjs[[#This Row],[CSubjID]], tblClassSubjs[CSubjID],tblClassSubjs[ClassID]),tblClasses[ClassID],tblClasses[STermID])</f>
        <v>1</v>
      </c>
      <c r="T26" t="str">
        <f>LOOKUP(S26,tblSchoolTerms[STermID],tblSchoolTerms[SemesterID]&amp;" Semester "&amp;tblSchoolTerms[SchoolYear])</f>
        <v>2 Semester S.Y. 2018-2019</v>
      </c>
      <c r="W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">
        <f t="array" ref="Y26">INDEX(tblEnrolledStuds[EStudID],MATCH(tblEnrolledSubjs[[#This Row],[EStudID]]&amp;S26,tblEnrolledStuds[AdmissionStatusID]&amp;tblEnrolledStuds[StudID],0))</f>
        <v>11</v>
      </c>
    </row>
    <row r="27" spans="2:25" x14ac:dyDescent="0.25">
      <c r="B27">
        <v>25</v>
      </c>
      <c r="C27">
        <v>5</v>
      </c>
      <c r="D27">
        <v>65</v>
      </c>
      <c r="P27" t="str">
        <f t="shared" si="0"/>
        <v>(NULL,"5","65"),</v>
      </c>
      <c r="Q27" t="str">
        <f>TextJoin(tblEnrolledSubjs[[#This Row],[CSubjID]:[EStudID]],"Value")</f>
        <v>"5","65"</v>
      </c>
      <c r="S27">
        <f>LOOKUP(LOOKUP(tblEnrolledSubjs[[#This Row],[CSubjID]], tblClassSubjs[CSubjID],tblClassSubjs[ClassID]),tblClasses[ClassID],tblClasses[STermID])</f>
        <v>1</v>
      </c>
      <c r="T27" t="str">
        <f>LOOKUP(S27,tblSchoolTerms[STermID],tblSchoolTerms[SemesterID]&amp;" Semester "&amp;tblSchoolTerms[SchoolYear])</f>
        <v>2 Semester S.Y. 2018-2019</v>
      </c>
      <c r="W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" t="e">
        <f t="array" ref="Y27">INDEX(tblEnrolledStuds[EStudID],MATCH(tblEnrolledSubjs[[#This Row],[EStudID]]&amp;S27,tblEnrolledStuds[AdmissionStatusID]&amp;tblEnrolledStuds[StudID],0))</f>
        <v>#N/A</v>
      </c>
    </row>
    <row r="28" spans="2:25" x14ac:dyDescent="0.25">
      <c r="B28">
        <v>26</v>
      </c>
      <c r="C28">
        <v>5</v>
      </c>
      <c r="D28">
        <v>39</v>
      </c>
      <c r="P28" t="str">
        <f t="shared" si="0"/>
        <v>(NULL,"5","39"),</v>
      </c>
      <c r="Q28" t="str">
        <f>TextJoin(tblEnrolledSubjs[[#This Row],[CSubjID]:[EStudID]],"Value")</f>
        <v>"5","39"</v>
      </c>
      <c r="S28">
        <f>LOOKUP(LOOKUP(tblEnrolledSubjs[[#This Row],[CSubjID]], tblClassSubjs[CSubjID],tblClassSubjs[ClassID]),tblClasses[ClassID],tblClasses[STermID])</f>
        <v>1</v>
      </c>
      <c r="T28" t="str">
        <f>LOOKUP(S28,tblSchoolTerms[STermID],tblSchoolTerms[SemesterID]&amp;" Semester "&amp;tblSchoolTerms[SchoolYear])</f>
        <v>2 Semester S.Y. 2018-2019</v>
      </c>
      <c r="W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" t="e">
        <f t="array" ref="Y28">INDEX(tblEnrolledStuds[EStudID],MATCH(tblEnrolledSubjs[[#This Row],[EStudID]]&amp;S28,tblEnrolledStuds[AdmissionStatusID]&amp;tblEnrolledStuds[StudID],0))</f>
        <v>#N/A</v>
      </c>
    </row>
    <row r="29" spans="2:25" x14ac:dyDescent="0.25">
      <c r="B29">
        <v>27</v>
      </c>
      <c r="C29">
        <v>5</v>
      </c>
      <c r="D29">
        <v>41</v>
      </c>
      <c r="P29" t="str">
        <f t="shared" si="0"/>
        <v>(NULL,"5","41"),</v>
      </c>
      <c r="Q29" t="str">
        <f>TextJoin(tblEnrolledSubjs[[#This Row],[CSubjID]:[EStudID]],"Value")</f>
        <v>"5","41"</v>
      </c>
      <c r="S29">
        <f>LOOKUP(LOOKUP(tblEnrolledSubjs[[#This Row],[CSubjID]], tblClassSubjs[CSubjID],tblClassSubjs[ClassID]),tblClasses[ClassID],tblClasses[STermID])</f>
        <v>1</v>
      </c>
      <c r="T29" t="str">
        <f>LOOKUP(S29,tblSchoolTerms[STermID],tblSchoolTerms[SemesterID]&amp;" Semester "&amp;tblSchoolTerms[SchoolYear])</f>
        <v>2 Semester S.Y. 2018-2019</v>
      </c>
      <c r="W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" t="e">
        <f t="array" ref="Y29">INDEX(tblEnrolledStuds[EStudID],MATCH(tblEnrolledSubjs[[#This Row],[EStudID]]&amp;S29,tblEnrolledStuds[AdmissionStatusID]&amp;tblEnrolledStuds[StudID],0))</f>
        <v>#N/A</v>
      </c>
    </row>
    <row r="30" spans="2:25" x14ac:dyDescent="0.25">
      <c r="B30">
        <v>28</v>
      </c>
      <c r="C30">
        <v>5</v>
      </c>
      <c r="D30">
        <v>48</v>
      </c>
      <c r="P30" t="str">
        <f t="shared" si="0"/>
        <v>(NULL,"5","48"),</v>
      </c>
      <c r="Q30" t="str">
        <f>TextJoin(tblEnrolledSubjs[[#This Row],[CSubjID]:[EStudID]],"Value")</f>
        <v>"5","48"</v>
      </c>
      <c r="S30">
        <f>LOOKUP(LOOKUP(tblEnrolledSubjs[[#This Row],[CSubjID]], tblClassSubjs[CSubjID],tblClassSubjs[ClassID]),tblClasses[ClassID],tblClasses[STermID])</f>
        <v>1</v>
      </c>
      <c r="T30" t="str">
        <f>LOOKUP(S30,tblSchoolTerms[STermID],tblSchoolTerms[SemesterID]&amp;" Semester "&amp;tblSchoolTerms[SchoolYear])</f>
        <v>2 Semester S.Y. 2018-2019</v>
      </c>
      <c r="W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" t="e">
        <f t="array" ref="Y30">INDEX(tblEnrolledStuds[EStudID],MATCH(tblEnrolledSubjs[[#This Row],[EStudID]]&amp;S30,tblEnrolledStuds[AdmissionStatusID]&amp;tblEnrolledStuds[StudID],0))</f>
        <v>#N/A</v>
      </c>
    </row>
    <row r="31" spans="2:25" x14ac:dyDescent="0.25">
      <c r="B31">
        <v>29</v>
      </c>
      <c r="C31">
        <v>5</v>
      </c>
      <c r="D31">
        <v>50</v>
      </c>
      <c r="P31" t="str">
        <f t="shared" si="0"/>
        <v>(NULL,"5","50"),</v>
      </c>
      <c r="Q31" t="str">
        <f>TextJoin(tblEnrolledSubjs[[#This Row],[CSubjID]:[EStudID]],"Value")</f>
        <v>"5","50"</v>
      </c>
      <c r="S31">
        <f>LOOKUP(LOOKUP(tblEnrolledSubjs[[#This Row],[CSubjID]], tblClassSubjs[CSubjID],tblClassSubjs[ClassID]),tblClasses[ClassID],tblClasses[STermID])</f>
        <v>1</v>
      </c>
      <c r="T31" t="str">
        <f>LOOKUP(S31,tblSchoolTerms[STermID],tblSchoolTerms[SemesterID]&amp;" Semester "&amp;tblSchoolTerms[SchoolYear])</f>
        <v>2 Semester S.Y. 2018-2019</v>
      </c>
      <c r="W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" t="e">
        <f t="array" ref="Y31">INDEX(tblEnrolledStuds[EStudID],MATCH(tblEnrolledSubjs[[#This Row],[EStudID]]&amp;S31,tblEnrolledStuds[AdmissionStatusID]&amp;tblEnrolledStuds[StudID],0))</f>
        <v>#N/A</v>
      </c>
    </row>
    <row r="32" spans="2:25" x14ac:dyDescent="0.25">
      <c r="B32">
        <v>30</v>
      </c>
      <c r="C32">
        <v>5</v>
      </c>
      <c r="D32">
        <v>57</v>
      </c>
      <c r="P32" t="str">
        <f t="shared" si="0"/>
        <v>(NULL,"5","57"),</v>
      </c>
      <c r="Q32" t="str">
        <f>TextJoin(tblEnrolledSubjs[[#This Row],[CSubjID]:[EStudID]],"Value")</f>
        <v>"5","57"</v>
      </c>
      <c r="S32">
        <f>LOOKUP(LOOKUP(tblEnrolledSubjs[[#This Row],[CSubjID]], tblClassSubjs[CSubjID],tblClassSubjs[ClassID]),tblClasses[ClassID],tblClasses[STermID])</f>
        <v>1</v>
      </c>
      <c r="T32" t="str">
        <f>LOOKUP(S32,tblSchoolTerms[STermID],tblSchoolTerms[SemesterID]&amp;" Semester "&amp;tblSchoolTerms[SchoolYear])</f>
        <v>2 Semester S.Y. 2018-2019</v>
      </c>
      <c r="W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" t="e">
        <f t="array" ref="Y32">INDEX(tblEnrolledStuds[EStudID],MATCH(tblEnrolledSubjs[[#This Row],[EStudID]]&amp;S32,tblEnrolledStuds[AdmissionStatusID]&amp;tblEnrolledStuds[StudID],0))</f>
        <v>#N/A</v>
      </c>
    </row>
    <row r="33" spans="2:25" x14ac:dyDescent="0.25">
      <c r="B33">
        <v>31</v>
      </c>
      <c r="C33">
        <v>5</v>
      </c>
      <c r="D33">
        <v>18</v>
      </c>
      <c r="P33" t="str">
        <f t="shared" si="0"/>
        <v>(NULL,"5","18"),</v>
      </c>
      <c r="Q33" t="str">
        <f>TextJoin(tblEnrolledSubjs[[#This Row],[CSubjID]:[EStudID]],"Value")</f>
        <v>"5","18"</v>
      </c>
      <c r="S33">
        <f>LOOKUP(LOOKUP(tblEnrolledSubjs[[#This Row],[CSubjID]], tblClassSubjs[CSubjID],tblClassSubjs[ClassID]),tblClasses[ClassID],tblClasses[STermID])</f>
        <v>1</v>
      </c>
      <c r="T33" t="str">
        <f>LOOKUP(S33,tblSchoolTerms[STermID],tblSchoolTerms[SemesterID]&amp;" Semester "&amp;tblSchoolTerms[SchoolYear])</f>
        <v>2 Semester S.Y. 2018-2019</v>
      </c>
      <c r="W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" t="e">
        <f t="array" ref="Y33">INDEX(tblEnrolledStuds[EStudID],MATCH(tblEnrolledSubjs[[#This Row],[EStudID]]&amp;S33,tblEnrolledStuds[AdmissionStatusID]&amp;tblEnrolledStuds[StudID],0))</f>
        <v>#N/A</v>
      </c>
    </row>
    <row r="34" spans="2:25" x14ac:dyDescent="0.25">
      <c r="B34">
        <v>32</v>
      </c>
      <c r="C34">
        <v>5</v>
      </c>
      <c r="D34">
        <v>22</v>
      </c>
      <c r="P34" t="str">
        <f t="shared" si="0"/>
        <v>(NULL,"5","22"),</v>
      </c>
      <c r="Q34" t="str">
        <f>TextJoin(tblEnrolledSubjs[[#This Row],[CSubjID]:[EStudID]],"Value")</f>
        <v>"5","22"</v>
      </c>
      <c r="S34">
        <f>LOOKUP(LOOKUP(tblEnrolledSubjs[[#This Row],[CSubjID]], tblClassSubjs[CSubjID],tblClassSubjs[ClassID]),tblClasses[ClassID],tblClasses[STermID])</f>
        <v>1</v>
      </c>
      <c r="T34" t="str">
        <f>LOOKUP(S34,tblSchoolTerms[STermID],tblSchoolTerms[SemesterID]&amp;" Semester "&amp;tblSchoolTerms[SchoolYear])</f>
        <v>2 Semester S.Y. 2018-2019</v>
      </c>
      <c r="W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" t="e">
        <f t="array" ref="Y34">INDEX(tblEnrolledStuds[EStudID],MATCH(tblEnrolledSubjs[[#This Row],[EStudID]]&amp;S34,tblEnrolledStuds[AdmissionStatusID]&amp;tblEnrolledStuds[StudID],0))</f>
        <v>#N/A</v>
      </c>
    </row>
    <row r="35" spans="2:25" x14ac:dyDescent="0.25">
      <c r="B35">
        <v>33</v>
      </c>
      <c r="C35">
        <v>5</v>
      </c>
      <c r="D35">
        <v>27</v>
      </c>
      <c r="P35" t="str">
        <f t="shared" si="0"/>
        <v>(NULL,"5","27"),</v>
      </c>
      <c r="Q35" t="str">
        <f>TextJoin(tblEnrolledSubjs[[#This Row],[CSubjID]:[EStudID]],"Value")</f>
        <v>"5","27"</v>
      </c>
      <c r="S35">
        <f>LOOKUP(LOOKUP(tblEnrolledSubjs[[#This Row],[CSubjID]], tblClassSubjs[CSubjID],tblClassSubjs[ClassID]),tblClasses[ClassID],tblClasses[STermID])</f>
        <v>1</v>
      </c>
      <c r="T35" t="str">
        <f>LOOKUP(S35,tblSchoolTerms[STermID],tblSchoolTerms[SemesterID]&amp;" Semester "&amp;tblSchoolTerms[SchoolYear])</f>
        <v>2 Semester S.Y. 2018-2019</v>
      </c>
      <c r="W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">
        <f t="array" ref="Y35">INDEX(tblEnrolledStuds[EStudID],MATCH(tblEnrolledSubjs[[#This Row],[EStudID]]&amp;S35,tblEnrolledStuds[AdmissionStatusID]&amp;tblEnrolledStuds[StudID],0))</f>
        <v>190</v>
      </c>
    </row>
    <row r="36" spans="2:25" x14ac:dyDescent="0.25">
      <c r="B36">
        <v>34</v>
      </c>
      <c r="C36">
        <v>5</v>
      </c>
      <c r="D36">
        <v>63</v>
      </c>
      <c r="P36" t="str">
        <f t="shared" si="0"/>
        <v>(NULL,"5","63"),</v>
      </c>
      <c r="Q36" t="str">
        <f>TextJoin(tblEnrolledSubjs[[#This Row],[CSubjID]:[EStudID]],"Value")</f>
        <v>"5","63"</v>
      </c>
      <c r="S36">
        <f>LOOKUP(LOOKUP(tblEnrolledSubjs[[#This Row],[CSubjID]], tblClassSubjs[CSubjID],tblClassSubjs[ClassID]),tblClasses[ClassID],tblClasses[STermID])</f>
        <v>1</v>
      </c>
      <c r="T36" t="str">
        <f>LOOKUP(S36,tblSchoolTerms[STermID],tblSchoolTerms[SemesterID]&amp;" Semester "&amp;tblSchoolTerms[SchoolYear])</f>
        <v>2 Semester S.Y. 2018-2019</v>
      </c>
      <c r="W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" t="e">
        <f t="array" ref="Y36">INDEX(tblEnrolledStuds[EStudID],MATCH(tblEnrolledSubjs[[#This Row],[EStudID]]&amp;S36,tblEnrolledStuds[AdmissionStatusID]&amp;tblEnrolledStuds[StudID],0))</f>
        <v>#N/A</v>
      </c>
    </row>
    <row r="37" spans="2:25" x14ac:dyDescent="0.25">
      <c r="B37">
        <v>35</v>
      </c>
      <c r="C37">
        <v>5</v>
      </c>
      <c r="D37">
        <v>10</v>
      </c>
      <c r="P37" t="str">
        <f t="shared" si="0"/>
        <v>(NULL,"5","10"),</v>
      </c>
      <c r="Q37" t="str">
        <f>TextJoin(tblEnrolledSubjs[[#This Row],[CSubjID]:[EStudID]],"Value")</f>
        <v>"5","10"</v>
      </c>
      <c r="S37">
        <f>LOOKUP(LOOKUP(tblEnrolledSubjs[[#This Row],[CSubjID]], tblClassSubjs[CSubjID],tblClassSubjs[ClassID]),tblClasses[ClassID],tblClasses[STermID])</f>
        <v>1</v>
      </c>
      <c r="T37" t="str">
        <f>LOOKUP(S37,tblSchoolTerms[STermID],tblSchoolTerms[SemesterID]&amp;" Semester "&amp;tblSchoolTerms[SchoolYear])</f>
        <v>2 Semester S.Y. 2018-2019</v>
      </c>
      <c r="W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" t="e">
        <f t="array" ref="Y37">INDEX(tblEnrolledStuds[EStudID],MATCH(tblEnrolledSubjs[[#This Row],[EStudID]]&amp;S37,tblEnrolledStuds[AdmissionStatusID]&amp;tblEnrolledStuds[StudID],0))</f>
        <v>#N/A</v>
      </c>
    </row>
    <row r="38" spans="2:25" x14ac:dyDescent="0.25">
      <c r="B38">
        <v>36</v>
      </c>
      <c r="C38">
        <v>5</v>
      </c>
      <c r="D38">
        <v>46</v>
      </c>
      <c r="P38" t="str">
        <f t="shared" si="0"/>
        <v>(NULL,"5","46"),</v>
      </c>
      <c r="Q38" t="str">
        <f>TextJoin(tblEnrolledSubjs[[#This Row],[CSubjID]:[EStudID]],"Value")</f>
        <v>"5","46"</v>
      </c>
      <c r="S38">
        <f>LOOKUP(LOOKUP(tblEnrolledSubjs[[#This Row],[CSubjID]], tblClassSubjs[CSubjID],tblClassSubjs[ClassID]),tblClasses[ClassID],tblClasses[STermID])</f>
        <v>1</v>
      </c>
      <c r="T38" t="str">
        <f>LOOKUP(S38,tblSchoolTerms[STermID],tblSchoolTerms[SemesterID]&amp;" Semester "&amp;tblSchoolTerms[SchoolYear])</f>
        <v>2 Semester S.Y. 2018-2019</v>
      </c>
      <c r="W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" t="e">
        <f t="array" ref="Y38">INDEX(tblEnrolledStuds[EStudID],MATCH(tblEnrolledSubjs[[#This Row],[EStudID]]&amp;S38,tblEnrolledStuds[AdmissionStatusID]&amp;tblEnrolledStuds[StudID],0))</f>
        <v>#N/A</v>
      </c>
    </row>
    <row r="39" spans="2:25" x14ac:dyDescent="0.25">
      <c r="B39">
        <v>37</v>
      </c>
      <c r="C39">
        <v>5</v>
      </c>
      <c r="D39">
        <v>29</v>
      </c>
      <c r="P39" t="str">
        <f t="shared" si="0"/>
        <v>(NULL,"5","29"),</v>
      </c>
      <c r="Q39" t="str">
        <f>TextJoin(tblEnrolledSubjs[[#This Row],[CSubjID]:[EStudID]],"Value")</f>
        <v>"5","29"</v>
      </c>
      <c r="S39">
        <f>LOOKUP(LOOKUP(tblEnrolledSubjs[[#This Row],[CSubjID]], tblClassSubjs[CSubjID],tblClassSubjs[ClassID]),tblClasses[ClassID],tblClasses[STermID])</f>
        <v>1</v>
      </c>
      <c r="T39" t="str">
        <f>LOOKUP(S39,tblSchoolTerms[STermID],tblSchoolTerms[SemesterID]&amp;" Semester "&amp;tblSchoolTerms[SchoolYear])</f>
        <v>2 Semester S.Y. 2018-2019</v>
      </c>
      <c r="W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" t="e">
        <f t="array" ref="Y39">INDEX(tblEnrolledStuds[EStudID],MATCH(tblEnrolledSubjs[[#This Row],[EStudID]]&amp;S39,tblEnrolledStuds[AdmissionStatusID]&amp;tblEnrolledStuds[StudID],0))</f>
        <v>#N/A</v>
      </c>
    </row>
    <row r="40" spans="2:25" x14ac:dyDescent="0.25">
      <c r="B40">
        <v>38</v>
      </c>
      <c r="C40">
        <v>5</v>
      </c>
      <c r="D40">
        <v>34</v>
      </c>
      <c r="P40" t="str">
        <f t="shared" si="0"/>
        <v>(NULL,"5","34"),</v>
      </c>
      <c r="Q40" t="str">
        <f>TextJoin(tblEnrolledSubjs[[#This Row],[CSubjID]:[EStudID]],"Value")</f>
        <v>"5","34"</v>
      </c>
      <c r="S40">
        <f>LOOKUP(LOOKUP(tblEnrolledSubjs[[#This Row],[CSubjID]], tblClassSubjs[CSubjID],tblClassSubjs[ClassID]),tblClasses[ClassID],tblClasses[STermID])</f>
        <v>1</v>
      </c>
      <c r="T40" t="str">
        <f>LOOKUP(S40,tblSchoolTerms[STermID],tblSchoolTerms[SemesterID]&amp;" Semester "&amp;tblSchoolTerms[SchoolYear])</f>
        <v>2 Semester S.Y. 2018-2019</v>
      </c>
      <c r="W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">
        <f t="array" ref="Y40">INDEX(tblEnrolledStuds[EStudID],MATCH(tblEnrolledSubjs[[#This Row],[EStudID]]&amp;S40,tblEnrolledStuds[AdmissionStatusID]&amp;tblEnrolledStuds[StudID],0))</f>
        <v>41</v>
      </c>
    </row>
    <row r="41" spans="2:25" x14ac:dyDescent="0.25">
      <c r="B41">
        <v>39</v>
      </c>
      <c r="C41">
        <v>5</v>
      </c>
      <c r="D41">
        <v>11</v>
      </c>
      <c r="P41" t="str">
        <f t="shared" si="0"/>
        <v>(NULL,"5","11"),</v>
      </c>
      <c r="Q41" t="str">
        <f>TextJoin(tblEnrolledSubjs[[#This Row],[CSubjID]:[EStudID]],"Value")</f>
        <v>"5","11"</v>
      </c>
      <c r="S41">
        <f>LOOKUP(LOOKUP(tblEnrolledSubjs[[#This Row],[CSubjID]], tblClassSubjs[CSubjID],tblClassSubjs[ClassID]),tblClasses[ClassID],tblClasses[STermID])</f>
        <v>1</v>
      </c>
      <c r="T41" t="str">
        <f>LOOKUP(S41,tblSchoolTerms[STermID],tblSchoolTerms[SemesterID]&amp;" Semester "&amp;tblSchoolTerms[SchoolYear])</f>
        <v>2 Semester S.Y. 2018-2019</v>
      </c>
      <c r="W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" t="e">
        <f t="array" ref="Y41">INDEX(tblEnrolledStuds[EStudID],MATCH(tblEnrolledSubjs[[#This Row],[EStudID]]&amp;S41,tblEnrolledStuds[AdmissionStatusID]&amp;tblEnrolledStuds[StudID],0))</f>
        <v>#N/A</v>
      </c>
    </row>
    <row r="42" spans="2:25" x14ac:dyDescent="0.25">
      <c r="B42">
        <v>40</v>
      </c>
      <c r="C42">
        <v>6</v>
      </c>
      <c r="D42" s="21">
        <v>31</v>
      </c>
      <c r="P42" t="str">
        <f t="shared" si="0"/>
        <v>(NULL,"6","31"),</v>
      </c>
      <c r="Q42" t="str">
        <f>TextJoin(tblEnrolledSubjs[[#This Row],[CSubjID]:[EStudID]],"Value")</f>
        <v>"6","31"</v>
      </c>
      <c r="S42">
        <f>LOOKUP(LOOKUP(tblEnrolledSubjs[[#This Row],[CSubjID]], tblClassSubjs[CSubjID],tblClassSubjs[ClassID]),tblClasses[ClassID],tblClasses[STermID])</f>
        <v>1</v>
      </c>
      <c r="T42" t="str">
        <f>LOOKUP(S42,tblSchoolTerms[STermID],tblSchoolTerms[SemesterID]&amp;" Semester "&amp;tblSchoolTerms[SchoolYear])</f>
        <v>2 Semester S.Y. 2018-2019</v>
      </c>
      <c r="W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">
        <f t="array" ref="Y42">INDEX(tblEnrolledStuds[EStudID],MATCH(tblEnrolledSubjs[[#This Row],[EStudID]]&amp;S42,tblEnrolledStuds[AdmissionStatusID]&amp;tblEnrolledStuds[StudID],0))</f>
        <v>11</v>
      </c>
    </row>
    <row r="43" spans="2:25" x14ac:dyDescent="0.25">
      <c r="B43">
        <v>41</v>
      </c>
      <c r="C43">
        <v>6</v>
      </c>
      <c r="D43" s="21">
        <v>65</v>
      </c>
      <c r="P43" t="str">
        <f t="shared" si="0"/>
        <v>(NULL,"6","65"),</v>
      </c>
      <c r="Q43" t="str">
        <f>TextJoin(tblEnrolledSubjs[[#This Row],[CSubjID]:[EStudID]],"Value")</f>
        <v>"6","65"</v>
      </c>
      <c r="S43">
        <f>LOOKUP(LOOKUP(tblEnrolledSubjs[[#This Row],[CSubjID]], tblClassSubjs[CSubjID],tblClassSubjs[ClassID]),tblClasses[ClassID],tblClasses[STermID])</f>
        <v>1</v>
      </c>
      <c r="T43" t="str">
        <f>LOOKUP(S43,tblSchoolTerms[STermID],tblSchoolTerms[SemesterID]&amp;" Semester "&amp;tblSchoolTerms[SchoolYear])</f>
        <v>2 Semester S.Y. 2018-2019</v>
      </c>
      <c r="W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" t="e">
        <f t="array" ref="Y43">INDEX(tblEnrolledStuds[EStudID],MATCH(tblEnrolledSubjs[[#This Row],[EStudID]]&amp;S43,tblEnrolledStuds[AdmissionStatusID]&amp;tblEnrolledStuds[StudID],0))</f>
        <v>#N/A</v>
      </c>
    </row>
    <row r="44" spans="2:25" x14ac:dyDescent="0.25">
      <c r="B44">
        <v>42</v>
      </c>
      <c r="C44">
        <v>6</v>
      </c>
      <c r="D44" s="21">
        <v>39</v>
      </c>
      <c r="P44" t="str">
        <f t="shared" si="0"/>
        <v>(NULL,"6","39"),</v>
      </c>
      <c r="Q44" t="str">
        <f>TextJoin(tblEnrolledSubjs[[#This Row],[CSubjID]:[EStudID]],"Value")</f>
        <v>"6","39"</v>
      </c>
      <c r="S44">
        <f>LOOKUP(LOOKUP(tblEnrolledSubjs[[#This Row],[CSubjID]], tblClassSubjs[CSubjID],tblClassSubjs[ClassID]),tblClasses[ClassID],tblClasses[STermID])</f>
        <v>1</v>
      </c>
      <c r="T44" t="str">
        <f>LOOKUP(S44,tblSchoolTerms[STermID],tblSchoolTerms[SemesterID]&amp;" Semester "&amp;tblSchoolTerms[SchoolYear])</f>
        <v>2 Semester S.Y. 2018-2019</v>
      </c>
      <c r="W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" t="e">
        <f t="array" ref="Y44">INDEX(tblEnrolledStuds[EStudID],MATCH(tblEnrolledSubjs[[#This Row],[EStudID]]&amp;S44,tblEnrolledStuds[AdmissionStatusID]&amp;tblEnrolledStuds[StudID],0))</f>
        <v>#N/A</v>
      </c>
    </row>
    <row r="45" spans="2:25" x14ac:dyDescent="0.25">
      <c r="B45">
        <v>43</v>
      </c>
      <c r="C45">
        <v>6</v>
      </c>
      <c r="D45" s="21">
        <v>41</v>
      </c>
      <c r="P45" t="str">
        <f t="shared" si="0"/>
        <v>(NULL,"6","41"),</v>
      </c>
      <c r="Q45" t="str">
        <f>TextJoin(tblEnrolledSubjs[[#This Row],[CSubjID]:[EStudID]],"Value")</f>
        <v>"6","41"</v>
      </c>
      <c r="S45">
        <f>LOOKUP(LOOKUP(tblEnrolledSubjs[[#This Row],[CSubjID]], tblClassSubjs[CSubjID],tblClassSubjs[ClassID]),tblClasses[ClassID],tblClasses[STermID])</f>
        <v>1</v>
      </c>
      <c r="T45" t="str">
        <f>LOOKUP(S45,tblSchoolTerms[STermID],tblSchoolTerms[SemesterID]&amp;" Semester "&amp;tblSchoolTerms[SchoolYear])</f>
        <v>2 Semester S.Y. 2018-2019</v>
      </c>
      <c r="W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" t="e">
        <f t="array" ref="Y45">INDEX(tblEnrolledStuds[EStudID],MATCH(tblEnrolledSubjs[[#This Row],[EStudID]]&amp;S45,tblEnrolledStuds[AdmissionStatusID]&amp;tblEnrolledStuds[StudID],0))</f>
        <v>#N/A</v>
      </c>
    </row>
    <row r="46" spans="2:25" x14ac:dyDescent="0.25">
      <c r="B46">
        <v>44</v>
      </c>
      <c r="C46">
        <v>6</v>
      </c>
      <c r="D46" s="21">
        <v>48</v>
      </c>
      <c r="P46" t="str">
        <f t="shared" si="0"/>
        <v>(NULL,"6","48"),</v>
      </c>
      <c r="Q46" t="str">
        <f>TextJoin(tblEnrolledSubjs[[#This Row],[CSubjID]:[EStudID]],"Value")</f>
        <v>"6","48"</v>
      </c>
      <c r="S46">
        <f>LOOKUP(LOOKUP(tblEnrolledSubjs[[#This Row],[CSubjID]], tblClassSubjs[CSubjID],tblClassSubjs[ClassID]),tblClasses[ClassID],tblClasses[STermID])</f>
        <v>1</v>
      </c>
      <c r="T46" t="str">
        <f>LOOKUP(S46,tblSchoolTerms[STermID],tblSchoolTerms[SemesterID]&amp;" Semester "&amp;tblSchoolTerms[SchoolYear])</f>
        <v>2 Semester S.Y. 2018-2019</v>
      </c>
      <c r="W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" t="e">
        <f t="array" ref="Y46">INDEX(tblEnrolledStuds[EStudID],MATCH(tblEnrolledSubjs[[#This Row],[EStudID]]&amp;S46,tblEnrolledStuds[AdmissionStatusID]&amp;tblEnrolledStuds[StudID],0))</f>
        <v>#N/A</v>
      </c>
    </row>
    <row r="47" spans="2:25" x14ac:dyDescent="0.25">
      <c r="B47">
        <v>45</v>
      </c>
      <c r="C47">
        <v>6</v>
      </c>
      <c r="D47" s="21">
        <v>50</v>
      </c>
      <c r="P47" t="str">
        <f t="shared" si="0"/>
        <v>(NULL,"6","50"),</v>
      </c>
      <c r="Q47" t="str">
        <f>TextJoin(tblEnrolledSubjs[[#This Row],[CSubjID]:[EStudID]],"Value")</f>
        <v>"6","50"</v>
      </c>
      <c r="S47">
        <f>LOOKUP(LOOKUP(tblEnrolledSubjs[[#This Row],[CSubjID]], tblClassSubjs[CSubjID],tblClassSubjs[ClassID]),tblClasses[ClassID],tblClasses[STermID])</f>
        <v>1</v>
      </c>
      <c r="T47" t="str">
        <f>LOOKUP(S47,tblSchoolTerms[STermID],tblSchoolTerms[SemesterID]&amp;" Semester "&amp;tblSchoolTerms[SchoolYear])</f>
        <v>2 Semester S.Y. 2018-2019</v>
      </c>
      <c r="W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" t="e">
        <f t="array" ref="Y47">INDEX(tblEnrolledStuds[EStudID],MATCH(tblEnrolledSubjs[[#This Row],[EStudID]]&amp;S47,tblEnrolledStuds[AdmissionStatusID]&amp;tblEnrolledStuds[StudID],0))</f>
        <v>#N/A</v>
      </c>
    </row>
    <row r="48" spans="2:25" x14ac:dyDescent="0.25">
      <c r="B48">
        <v>46</v>
      </c>
      <c r="C48">
        <v>6</v>
      </c>
      <c r="D48" s="20">
        <v>57</v>
      </c>
      <c r="P48" t="str">
        <f t="shared" si="0"/>
        <v>(NULL,"6","57"),</v>
      </c>
      <c r="Q48" t="str">
        <f>TextJoin(tblEnrolledSubjs[[#This Row],[CSubjID]:[EStudID]],"Value")</f>
        <v>"6","57"</v>
      </c>
      <c r="S48">
        <f>LOOKUP(LOOKUP(tblEnrolledSubjs[[#This Row],[CSubjID]], tblClassSubjs[CSubjID],tblClassSubjs[ClassID]),tblClasses[ClassID],tblClasses[STermID])</f>
        <v>1</v>
      </c>
      <c r="T48" t="str">
        <f>LOOKUP(S48,tblSchoolTerms[STermID],tblSchoolTerms[SemesterID]&amp;" Semester "&amp;tblSchoolTerms[SchoolYear])</f>
        <v>2 Semester S.Y. 2018-2019</v>
      </c>
      <c r="W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" t="e">
        <f t="array" ref="Y48">INDEX(tblEnrolledStuds[EStudID],MATCH(tblEnrolledSubjs[[#This Row],[EStudID]]&amp;S48,tblEnrolledStuds[AdmissionStatusID]&amp;tblEnrolledStuds[StudID],0))</f>
        <v>#N/A</v>
      </c>
    </row>
    <row r="49" spans="2:25" x14ac:dyDescent="0.25">
      <c r="B49">
        <v>47</v>
      </c>
      <c r="C49">
        <v>7</v>
      </c>
      <c r="D49" s="21">
        <v>65</v>
      </c>
      <c r="P49" t="str">
        <f t="shared" si="0"/>
        <v>(NULL,"7","65"),</v>
      </c>
      <c r="Q49" t="str">
        <f>TextJoin(tblEnrolledSubjs[[#This Row],[CSubjID]:[EStudID]],"Value")</f>
        <v>"7","65"</v>
      </c>
      <c r="S49">
        <f>LOOKUP(LOOKUP(tblEnrolledSubjs[[#This Row],[CSubjID]], tblClassSubjs[CSubjID],tblClassSubjs[ClassID]),tblClasses[ClassID],tblClasses[STermID])</f>
        <v>1</v>
      </c>
      <c r="T49" t="str">
        <f>LOOKUP(S49,tblSchoolTerms[STermID],tblSchoolTerms[SemesterID]&amp;" Semester "&amp;tblSchoolTerms[SchoolYear])</f>
        <v>2 Semester S.Y. 2018-2019</v>
      </c>
      <c r="W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" t="e">
        <f t="array" ref="Y49">INDEX(tblEnrolledStuds[EStudID],MATCH(tblEnrolledSubjs[[#This Row],[EStudID]]&amp;S49,tblEnrolledStuds[AdmissionStatusID]&amp;tblEnrolledStuds[StudID],0))</f>
        <v>#N/A</v>
      </c>
    </row>
    <row r="50" spans="2:25" x14ac:dyDescent="0.25">
      <c r="B50">
        <v>48</v>
      </c>
      <c r="C50">
        <v>7</v>
      </c>
      <c r="D50" s="21">
        <v>39</v>
      </c>
      <c r="P50" t="str">
        <f t="shared" si="0"/>
        <v>(NULL,"7","39"),</v>
      </c>
      <c r="Q50" t="str">
        <f>TextJoin(tblEnrolledSubjs[[#This Row],[CSubjID]:[EStudID]],"Value")</f>
        <v>"7","39"</v>
      </c>
      <c r="S50">
        <f>LOOKUP(LOOKUP(tblEnrolledSubjs[[#This Row],[CSubjID]], tblClassSubjs[CSubjID],tblClassSubjs[ClassID]),tblClasses[ClassID],tblClasses[STermID])</f>
        <v>1</v>
      </c>
      <c r="T50" t="str">
        <f>LOOKUP(S50,tblSchoolTerms[STermID],tblSchoolTerms[SemesterID]&amp;" Semester "&amp;tblSchoolTerms[SchoolYear])</f>
        <v>2 Semester S.Y. 2018-2019</v>
      </c>
      <c r="W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" t="e">
        <f t="array" ref="Y50">INDEX(tblEnrolledStuds[EStudID],MATCH(tblEnrolledSubjs[[#This Row],[EStudID]]&amp;S50,tblEnrolledStuds[AdmissionStatusID]&amp;tblEnrolledStuds[StudID],0))</f>
        <v>#N/A</v>
      </c>
    </row>
    <row r="51" spans="2:25" x14ac:dyDescent="0.25">
      <c r="B51">
        <v>49</v>
      </c>
      <c r="C51">
        <v>7</v>
      </c>
      <c r="D51" s="21">
        <v>41</v>
      </c>
      <c r="P51" t="str">
        <f t="shared" si="0"/>
        <v>(NULL,"7","41"),</v>
      </c>
      <c r="Q51" t="str">
        <f>TextJoin(tblEnrolledSubjs[[#This Row],[CSubjID]:[EStudID]],"Value")</f>
        <v>"7","41"</v>
      </c>
      <c r="S51">
        <f>LOOKUP(LOOKUP(tblEnrolledSubjs[[#This Row],[CSubjID]], tblClassSubjs[CSubjID],tblClassSubjs[ClassID]),tblClasses[ClassID],tblClasses[STermID])</f>
        <v>1</v>
      </c>
      <c r="T51" t="str">
        <f>LOOKUP(S51,tblSchoolTerms[STermID],tblSchoolTerms[SemesterID]&amp;" Semester "&amp;tblSchoolTerms[SchoolYear])</f>
        <v>2 Semester S.Y. 2018-2019</v>
      </c>
      <c r="W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" t="e">
        <f t="array" ref="Y51">INDEX(tblEnrolledStuds[EStudID],MATCH(tblEnrolledSubjs[[#This Row],[EStudID]]&amp;S51,tblEnrolledStuds[AdmissionStatusID]&amp;tblEnrolledStuds[StudID],0))</f>
        <v>#N/A</v>
      </c>
    </row>
    <row r="52" spans="2:25" x14ac:dyDescent="0.25">
      <c r="B52">
        <v>50</v>
      </c>
      <c r="C52">
        <v>7</v>
      </c>
      <c r="D52" s="21">
        <v>48</v>
      </c>
      <c r="P52" t="str">
        <f t="shared" si="0"/>
        <v>(NULL,"7","48"),</v>
      </c>
      <c r="Q52" t="str">
        <f>TextJoin(tblEnrolledSubjs[[#This Row],[CSubjID]:[EStudID]],"Value")</f>
        <v>"7","48"</v>
      </c>
      <c r="S52">
        <f>LOOKUP(LOOKUP(tblEnrolledSubjs[[#This Row],[CSubjID]], tblClassSubjs[CSubjID],tblClassSubjs[ClassID]),tblClasses[ClassID],tblClasses[STermID])</f>
        <v>1</v>
      </c>
      <c r="T52" t="str">
        <f>LOOKUP(S52,tblSchoolTerms[STermID],tblSchoolTerms[SemesterID]&amp;" Semester "&amp;tblSchoolTerms[SchoolYear])</f>
        <v>2 Semester S.Y. 2018-2019</v>
      </c>
      <c r="W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" t="e">
        <f t="array" ref="Y52">INDEX(tblEnrolledStuds[EStudID],MATCH(tblEnrolledSubjs[[#This Row],[EStudID]]&amp;S52,tblEnrolledStuds[AdmissionStatusID]&amp;tblEnrolledStuds[StudID],0))</f>
        <v>#N/A</v>
      </c>
    </row>
    <row r="53" spans="2:25" x14ac:dyDescent="0.25">
      <c r="B53">
        <v>51</v>
      </c>
      <c r="C53">
        <v>7</v>
      </c>
      <c r="D53" s="21">
        <v>50</v>
      </c>
      <c r="P53" t="str">
        <f t="shared" si="0"/>
        <v>(NULL,"7","50"),</v>
      </c>
      <c r="Q53" t="str">
        <f>TextJoin(tblEnrolledSubjs[[#This Row],[CSubjID]:[EStudID]],"Value")</f>
        <v>"7","50"</v>
      </c>
      <c r="S53">
        <f>LOOKUP(LOOKUP(tblEnrolledSubjs[[#This Row],[CSubjID]], tblClassSubjs[CSubjID],tblClassSubjs[ClassID]),tblClasses[ClassID],tblClasses[STermID])</f>
        <v>1</v>
      </c>
      <c r="T53" t="str">
        <f>LOOKUP(S53,tblSchoolTerms[STermID],tblSchoolTerms[SemesterID]&amp;" Semester "&amp;tblSchoolTerms[SchoolYear])</f>
        <v>2 Semester S.Y. 2018-2019</v>
      </c>
      <c r="W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" t="e">
        <f t="array" ref="Y53">INDEX(tblEnrolledStuds[EStudID],MATCH(tblEnrolledSubjs[[#This Row],[EStudID]]&amp;S53,tblEnrolledStuds[AdmissionStatusID]&amp;tblEnrolledStuds[StudID],0))</f>
        <v>#N/A</v>
      </c>
    </row>
    <row r="54" spans="2:25" x14ac:dyDescent="0.25">
      <c r="B54">
        <v>52</v>
      </c>
      <c r="C54">
        <v>7</v>
      </c>
      <c r="D54" s="20">
        <v>57</v>
      </c>
      <c r="P54" t="str">
        <f t="shared" si="0"/>
        <v>(NULL,"7","57"),</v>
      </c>
      <c r="Q54" t="str">
        <f>TextJoin(tblEnrolledSubjs[[#This Row],[CSubjID]:[EStudID]],"Value")</f>
        <v>"7","57"</v>
      </c>
      <c r="S54">
        <f>LOOKUP(LOOKUP(tblEnrolledSubjs[[#This Row],[CSubjID]], tblClassSubjs[CSubjID],tblClassSubjs[ClassID]),tblClasses[ClassID],tblClasses[STermID])</f>
        <v>1</v>
      </c>
      <c r="T54" t="str">
        <f>LOOKUP(S54,tblSchoolTerms[STermID],tblSchoolTerms[SemesterID]&amp;" Semester "&amp;tblSchoolTerms[SchoolYear])</f>
        <v>2 Semester S.Y. 2018-2019</v>
      </c>
      <c r="W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" t="e">
        <f t="array" ref="Y54">INDEX(tblEnrolledStuds[EStudID],MATCH(tblEnrolledSubjs[[#This Row],[EStudID]]&amp;S54,tblEnrolledStuds[AdmissionStatusID]&amp;tblEnrolledStuds[StudID],0))</f>
        <v>#N/A</v>
      </c>
    </row>
    <row r="55" spans="2:25" x14ac:dyDescent="0.25">
      <c r="B55">
        <v>53</v>
      </c>
      <c r="C55">
        <v>7</v>
      </c>
      <c r="D55" s="21">
        <v>29</v>
      </c>
      <c r="P55" t="str">
        <f t="shared" si="0"/>
        <v>(NULL,"7","29"),</v>
      </c>
      <c r="Q55" t="str">
        <f>TextJoin(tblEnrolledSubjs[[#This Row],[CSubjID]:[EStudID]],"Value")</f>
        <v>"7","29"</v>
      </c>
      <c r="S55">
        <f>LOOKUP(LOOKUP(tblEnrolledSubjs[[#This Row],[CSubjID]], tblClassSubjs[CSubjID],tblClassSubjs[ClassID]),tblClasses[ClassID],tblClasses[STermID])</f>
        <v>1</v>
      </c>
      <c r="T55" t="str">
        <f>LOOKUP(S55,tblSchoolTerms[STermID],tblSchoolTerms[SemesterID]&amp;" Semester "&amp;tblSchoolTerms[SchoolYear])</f>
        <v>2 Semester S.Y. 2018-2019</v>
      </c>
      <c r="W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" t="e">
        <f t="array" ref="Y55">INDEX(tblEnrolledStuds[EStudID],MATCH(tblEnrolledSubjs[[#This Row],[EStudID]]&amp;S55,tblEnrolledStuds[AdmissionStatusID]&amp;tblEnrolledStuds[StudID],0))</f>
        <v>#N/A</v>
      </c>
    </row>
    <row r="56" spans="2:25" x14ac:dyDescent="0.25">
      <c r="B56">
        <v>54</v>
      </c>
      <c r="C56">
        <v>7</v>
      </c>
      <c r="D56" s="21">
        <v>34</v>
      </c>
      <c r="P56" t="str">
        <f t="shared" si="0"/>
        <v>(NULL,"7","34"),</v>
      </c>
      <c r="Q56" t="str">
        <f>TextJoin(tblEnrolledSubjs[[#This Row],[CSubjID]:[EStudID]],"Value")</f>
        <v>"7","34"</v>
      </c>
      <c r="S56">
        <f>LOOKUP(LOOKUP(tblEnrolledSubjs[[#This Row],[CSubjID]], tblClassSubjs[CSubjID],tblClassSubjs[ClassID]),tblClasses[ClassID],tblClasses[STermID])</f>
        <v>1</v>
      </c>
      <c r="T56" t="str">
        <f>LOOKUP(S56,tblSchoolTerms[STermID],tblSchoolTerms[SemesterID]&amp;" Semester "&amp;tblSchoolTerms[SchoolYear])</f>
        <v>2 Semester S.Y. 2018-2019</v>
      </c>
      <c r="W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">
        <f t="array" ref="Y56">INDEX(tblEnrolledStuds[EStudID],MATCH(tblEnrolledSubjs[[#This Row],[EStudID]]&amp;S56,tblEnrolledStuds[AdmissionStatusID]&amp;tblEnrolledStuds[StudID],0))</f>
        <v>41</v>
      </c>
    </row>
    <row r="57" spans="2:25" x14ac:dyDescent="0.25">
      <c r="B57">
        <v>55</v>
      </c>
      <c r="C57">
        <v>8</v>
      </c>
      <c r="D57" s="21">
        <v>65</v>
      </c>
      <c r="P57" t="str">
        <f t="shared" si="0"/>
        <v>(NULL,"8","65"),</v>
      </c>
      <c r="Q57" t="str">
        <f>TextJoin(tblEnrolledSubjs[[#This Row],[CSubjID]:[EStudID]],"Value")</f>
        <v>"8","65"</v>
      </c>
      <c r="S57">
        <f>LOOKUP(LOOKUP(tblEnrolledSubjs[[#This Row],[CSubjID]], tblClassSubjs[CSubjID],tblClassSubjs[ClassID]),tblClasses[ClassID],tblClasses[STermID])</f>
        <v>1</v>
      </c>
      <c r="T57" t="str">
        <f>LOOKUP(S57,tblSchoolTerms[STermID],tblSchoolTerms[SemesterID]&amp;" Semester "&amp;tblSchoolTerms[SchoolYear])</f>
        <v>2 Semester S.Y. 2018-2019</v>
      </c>
      <c r="W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" t="e">
        <f t="array" ref="Y57">INDEX(tblEnrolledStuds[EStudID],MATCH(tblEnrolledSubjs[[#This Row],[EStudID]]&amp;S57,tblEnrolledStuds[AdmissionStatusID]&amp;tblEnrolledStuds[StudID],0))</f>
        <v>#N/A</v>
      </c>
    </row>
    <row r="58" spans="2:25" x14ac:dyDescent="0.25">
      <c r="B58">
        <v>56</v>
      </c>
      <c r="C58">
        <v>8</v>
      </c>
      <c r="D58" s="21">
        <v>39</v>
      </c>
      <c r="P58" t="str">
        <f t="shared" si="0"/>
        <v>(NULL,"8","39"),</v>
      </c>
      <c r="Q58" t="str">
        <f>TextJoin(tblEnrolledSubjs[[#This Row],[CSubjID]:[EStudID]],"Value")</f>
        <v>"8","39"</v>
      </c>
      <c r="S58">
        <f>LOOKUP(LOOKUP(tblEnrolledSubjs[[#This Row],[CSubjID]], tblClassSubjs[CSubjID],tblClassSubjs[ClassID]),tblClasses[ClassID],tblClasses[STermID])</f>
        <v>1</v>
      </c>
      <c r="T58" t="str">
        <f>LOOKUP(S58,tblSchoolTerms[STermID],tblSchoolTerms[SemesterID]&amp;" Semester "&amp;tblSchoolTerms[SchoolYear])</f>
        <v>2 Semester S.Y. 2018-2019</v>
      </c>
      <c r="W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" t="e">
        <f t="array" ref="Y58">INDEX(tblEnrolledStuds[EStudID],MATCH(tblEnrolledSubjs[[#This Row],[EStudID]]&amp;S58,tblEnrolledStuds[AdmissionStatusID]&amp;tblEnrolledStuds[StudID],0))</f>
        <v>#N/A</v>
      </c>
    </row>
    <row r="59" spans="2:25" x14ac:dyDescent="0.25">
      <c r="B59">
        <v>57</v>
      </c>
      <c r="C59">
        <v>8</v>
      </c>
      <c r="D59" s="21">
        <v>41</v>
      </c>
      <c r="P59" t="str">
        <f t="shared" si="0"/>
        <v>(NULL,"8","41"),</v>
      </c>
      <c r="Q59" t="str">
        <f>TextJoin(tblEnrolledSubjs[[#This Row],[CSubjID]:[EStudID]],"Value")</f>
        <v>"8","41"</v>
      </c>
      <c r="S59">
        <f>LOOKUP(LOOKUP(tblEnrolledSubjs[[#This Row],[CSubjID]], tblClassSubjs[CSubjID],tblClassSubjs[ClassID]),tblClasses[ClassID],tblClasses[STermID])</f>
        <v>1</v>
      </c>
      <c r="T59" t="str">
        <f>LOOKUP(S59,tblSchoolTerms[STermID],tblSchoolTerms[SemesterID]&amp;" Semester "&amp;tblSchoolTerms[SchoolYear])</f>
        <v>2 Semester S.Y. 2018-2019</v>
      </c>
      <c r="W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" t="e">
        <f t="array" ref="Y59">INDEX(tblEnrolledStuds[EStudID],MATCH(tblEnrolledSubjs[[#This Row],[EStudID]]&amp;S59,tblEnrolledStuds[AdmissionStatusID]&amp;tblEnrolledStuds[StudID],0))</f>
        <v>#N/A</v>
      </c>
    </row>
    <row r="60" spans="2:25" x14ac:dyDescent="0.25">
      <c r="B60">
        <v>58</v>
      </c>
      <c r="C60">
        <v>8</v>
      </c>
      <c r="D60" s="21">
        <v>48</v>
      </c>
      <c r="P60" t="str">
        <f t="shared" si="0"/>
        <v>(NULL,"8","48"),</v>
      </c>
      <c r="Q60" t="str">
        <f>TextJoin(tblEnrolledSubjs[[#This Row],[CSubjID]:[EStudID]],"Value")</f>
        <v>"8","48"</v>
      </c>
      <c r="S60">
        <f>LOOKUP(LOOKUP(tblEnrolledSubjs[[#This Row],[CSubjID]], tblClassSubjs[CSubjID],tblClassSubjs[ClassID]),tblClasses[ClassID],tblClasses[STermID])</f>
        <v>1</v>
      </c>
      <c r="T60" t="str">
        <f>LOOKUP(S60,tblSchoolTerms[STermID],tblSchoolTerms[SemesterID]&amp;" Semester "&amp;tblSchoolTerms[SchoolYear])</f>
        <v>2 Semester S.Y. 2018-2019</v>
      </c>
      <c r="W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" t="e">
        <f t="array" ref="Y60">INDEX(tblEnrolledStuds[EStudID],MATCH(tblEnrolledSubjs[[#This Row],[EStudID]]&amp;S60,tblEnrolledStuds[AdmissionStatusID]&amp;tblEnrolledStuds[StudID],0))</f>
        <v>#N/A</v>
      </c>
    </row>
    <row r="61" spans="2:25" x14ac:dyDescent="0.25">
      <c r="B61">
        <v>59</v>
      </c>
      <c r="C61">
        <v>8</v>
      </c>
      <c r="D61" s="21">
        <v>50</v>
      </c>
      <c r="P61" t="str">
        <f t="shared" si="0"/>
        <v>(NULL,"8","50"),</v>
      </c>
      <c r="Q61" t="str">
        <f>TextJoin(tblEnrolledSubjs[[#This Row],[CSubjID]:[EStudID]],"Value")</f>
        <v>"8","50"</v>
      </c>
      <c r="S61">
        <f>LOOKUP(LOOKUP(tblEnrolledSubjs[[#This Row],[CSubjID]], tblClassSubjs[CSubjID],tblClassSubjs[ClassID]),tblClasses[ClassID],tblClasses[STermID])</f>
        <v>1</v>
      </c>
      <c r="T61" t="str">
        <f>LOOKUP(S61,tblSchoolTerms[STermID],tblSchoolTerms[SemesterID]&amp;" Semester "&amp;tblSchoolTerms[SchoolYear])</f>
        <v>2 Semester S.Y. 2018-2019</v>
      </c>
      <c r="W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" t="e">
        <f t="array" ref="Y61">INDEX(tblEnrolledStuds[EStudID],MATCH(tblEnrolledSubjs[[#This Row],[EStudID]]&amp;S61,tblEnrolledStuds[AdmissionStatusID]&amp;tblEnrolledStuds[StudID],0))</f>
        <v>#N/A</v>
      </c>
    </row>
    <row r="62" spans="2:25" x14ac:dyDescent="0.25">
      <c r="B62">
        <v>60</v>
      </c>
      <c r="C62">
        <v>8</v>
      </c>
      <c r="D62" s="20">
        <v>57</v>
      </c>
      <c r="P62" t="str">
        <f t="shared" si="0"/>
        <v>(NULL,"8","57"),</v>
      </c>
      <c r="Q62" t="str">
        <f>TextJoin(tblEnrolledSubjs[[#This Row],[CSubjID]:[EStudID]],"Value")</f>
        <v>"8","57"</v>
      </c>
      <c r="S62">
        <f>LOOKUP(LOOKUP(tblEnrolledSubjs[[#This Row],[CSubjID]], tblClassSubjs[CSubjID],tblClassSubjs[ClassID]),tblClasses[ClassID],tblClasses[STermID])</f>
        <v>1</v>
      </c>
      <c r="T62" t="str">
        <f>LOOKUP(S62,tblSchoolTerms[STermID],tblSchoolTerms[SemesterID]&amp;" Semester "&amp;tblSchoolTerms[SchoolYear])</f>
        <v>2 Semester S.Y. 2018-2019</v>
      </c>
      <c r="W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" t="e">
        <f t="array" ref="Y62">INDEX(tblEnrolledStuds[EStudID],MATCH(tblEnrolledSubjs[[#This Row],[EStudID]]&amp;S62,tblEnrolledStuds[AdmissionStatusID]&amp;tblEnrolledStuds[StudID],0))</f>
        <v>#N/A</v>
      </c>
    </row>
    <row r="63" spans="2:25" x14ac:dyDescent="0.25">
      <c r="B63">
        <v>61</v>
      </c>
      <c r="C63">
        <v>8</v>
      </c>
      <c r="D63" s="22">
        <v>35</v>
      </c>
      <c r="P63" t="str">
        <f t="shared" si="0"/>
        <v>(NULL,"8","35"),</v>
      </c>
      <c r="Q63" t="str">
        <f>TextJoin(tblEnrolledSubjs[[#This Row],[CSubjID]:[EStudID]],"Value")</f>
        <v>"8","35"</v>
      </c>
      <c r="S63">
        <f>LOOKUP(LOOKUP(tblEnrolledSubjs[[#This Row],[CSubjID]], tblClassSubjs[CSubjID],tblClassSubjs[ClassID]),tblClasses[ClassID],tblClasses[STermID])</f>
        <v>1</v>
      </c>
      <c r="T63" t="str">
        <f>LOOKUP(S63,tblSchoolTerms[STermID],tblSchoolTerms[SemesterID]&amp;" Semester "&amp;tblSchoolTerms[SchoolYear])</f>
        <v>2 Semester S.Y. 2018-2019</v>
      </c>
      <c r="W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">
        <f t="array" ref="Y63">INDEX(tblEnrolledStuds[EStudID],MATCH(tblEnrolledSubjs[[#This Row],[EStudID]]&amp;S63,tblEnrolledStuds[AdmissionStatusID]&amp;tblEnrolledStuds[StudID],0))</f>
        <v>51</v>
      </c>
    </row>
    <row r="64" spans="2:25" x14ac:dyDescent="0.25">
      <c r="B64">
        <v>62</v>
      </c>
      <c r="C64">
        <v>8</v>
      </c>
      <c r="D64">
        <v>18</v>
      </c>
      <c r="P64" t="str">
        <f t="shared" si="0"/>
        <v>(NULL,"8","18"),</v>
      </c>
      <c r="Q64" t="str">
        <f>TextJoin(tblEnrolledSubjs[[#This Row],[CSubjID]:[EStudID]],"Value")</f>
        <v>"8","18"</v>
      </c>
      <c r="S64">
        <f>LOOKUP(LOOKUP(tblEnrolledSubjs[[#This Row],[CSubjID]], tblClassSubjs[CSubjID],tblClassSubjs[ClassID]),tblClasses[ClassID],tblClasses[STermID])</f>
        <v>1</v>
      </c>
      <c r="T64" t="str">
        <f>LOOKUP(S64,tblSchoolTerms[STermID],tblSchoolTerms[SemesterID]&amp;" Semester "&amp;tblSchoolTerms[SchoolYear])</f>
        <v>2 Semester S.Y. 2018-2019</v>
      </c>
      <c r="W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" t="e">
        <f t="array" ref="Y64">INDEX(tblEnrolledStuds[EStudID],MATCH(tblEnrolledSubjs[[#This Row],[EStudID]]&amp;S64,tblEnrolledStuds[AdmissionStatusID]&amp;tblEnrolledStuds[StudID],0))</f>
        <v>#N/A</v>
      </c>
    </row>
    <row r="65" spans="2:25" x14ac:dyDescent="0.25">
      <c r="B65">
        <v>63</v>
      </c>
      <c r="C65">
        <v>8</v>
      </c>
      <c r="D65">
        <v>22</v>
      </c>
      <c r="P65" t="str">
        <f t="shared" si="0"/>
        <v>(NULL,"8","22"),</v>
      </c>
      <c r="Q65" t="str">
        <f>TextJoin(tblEnrolledSubjs[[#This Row],[CSubjID]:[EStudID]],"Value")</f>
        <v>"8","22"</v>
      </c>
      <c r="S65">
        <f>LOOKUP(LOOKUP(tblEnrolledSubjs[[#This Row],[CSubjID]], tblClassSubjs[CSubjID],tblClassSubjs[ClassID]),tblClasses[ClassID],tblClasses[STermID])</f>
        <v>1</v>
      </c>
      <c r="T65" t="str">
        <f>LOOKUP(S65,tblSchoolTerms[STermID],tblSchoolTerms[SemesterID]&amp;" Semester "&amp;tblSchoolTerms[SchoolYear])</f>
        <v>2 Semester S.Y. 2018-2019</v>
      </c>
      <c r="W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" t="e">
        <f t="array" ref="Y65">INDEX(tblEnrolledStuds[EStudID],MATCH(tblEnrolledSubjs[[#This Row],[EStudID]]&amp;S65,tblEnrolledStuds[AdmissionStatusID]&amp;tblEnrolledStuds[StudID],0))</f>
        <v>#N/A</v>
      </c>
    </row>
    <row r="66" spans="2:25" x14ac:dyDescent="0.25">
      <c r="B66">
        <v>64</v>
      </c>
      <c r="C66">
        <v>8</v>
      </c>
      <c r="D66">
        <v>27</v>
      </c>
      <c r="P66" t="str">
        <f t="shared" si="0"/>
        <v>(NULL,"8","27"),</v>
      </c>
      <c r="Q66" t="str">
        <f>TextJoin(tblEnrolledSubjs[[#This Row],[CSubjID]:[EStudID]],"Value")</f>
        <v>"8","27"</v>
      </c>
      <c r="S66">
        <f>LOOKUP(LOOKUP(tblEnrolledSubjs[[#This Row],[CSubjID]], tblClassSubjs[CSubjID],tblClassSubjs[ClassID]),tblClasses[ClassID],tblClasses[STermID])</f>
        <v>1</v>
      </c>
      <c r="T66" t="str">
        <f>LOOKUP(S66,tblSchoolTerms[STermID],tblSchoolTerms[SemesterID]&amp;" Semester "&amp;tblSchoolTerms[SchoolYear])</f>
        <v>2 Semester S.Y. 2018-2019</v>
      </c>
      <c r="W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">
        <f t="array" ref="Y66">INDEX(tblEnrolledStuds[EStudID],MATCH(tblEnrolledSubjs[[#This Row],[EStudID]]&amp;S66,tblEnrolledStuds[AdmissionStatusID]&amp;tblEnrolledStuds[StudID],0))</f>
        <v>190</v>
      </c>
    </row>
    <row r="67" spans="2:25" x14ac:dyDescent="0.25">
      <c r="B67">
        <v>65</v>
      </c>
      <c r="C67">
        <v>8</v>
      </c>
      <c r="D67">
        <v>63</v>
      </c>
      <c r="P67" t="str">
        <f t="shared" si="0"/>
        <v>(NULL,"8","63"),</v>
      </c>
      <c r="Q67" t="str">
        <f>TextJoin(tblEnrolledSubjs[[#This Row],[CSubjID]:[EStudID]],"Value")</f>
        <v>"8","63"</v>
      </c>
      <c r="S67">
        <f>LOOKUP(LOOKUP(tblEnrolledSubjs[[#This Row],[CSubjID]], tblClassSubjs[CSubjID],tblClassSubjs[ClassID]),tblClasses[ClassID],tblClasses[STermID])</f>
        <v>1</v>
      </c>
      <c r="T67" t="str">
        <f>LOOKUP(S67,tblSchoolTerms[STermID],tblSchoolTerms[SemesterID]&amp;" Semester "&amp;tblSchoolTerms[SchoolYear])</f>
        <v>2 Semester S.Y. 2018-2019</v>
      </c>
      <c r="W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" t="e">
        <f t="array" ref="Y67">INDEX(tblEnrolledStuds[EStudID],MATCH(tblEnrolledSubjs[[#This Row],[EStudID]]&amp;S67,tblEnrolledStuds[AdmissionStatusID]&amp;tblEnrolledStuds[StudID],0))</f>
        <v>#N/A</v>
      </c>
    </row>
    <row r="68" spans="2:25" x14ac:dyDescent="0.25">
      <c r="B68">
        <v>66</v>
      </c>
      <c r="C68">
        <v>8</v>
      </c>
      <c r="D68">
        <v>10</v>
      </c>
      <c r="P68" t="str">
        <f t="shared" ref="P68:P131" si="1">"(NULL,"&amp;Q68&amp;")"&amp;IF(P69&lt;&gt;"",",",";")</f>
        <v>(NULL,"8","10"),</v>
      </c>
      <c r="Q68" t="str">
        <f>TextJoin(tblEnrolledSubjs[[#This Row],[CSubjID]:[EStudID]],"Value")</f>
        <v>"8","10"</v>
      </c>
      <c r="S68">
        <f>LOOKUP(LOOKUP(tblEnrolledSubjs[[#This Row],[CSubjID]], tblClassSubjs[CSubjID],tblClassSubjs[ClassID]),tblClasses[ClassID],tblClasses[STermID])</f>
        <v>1</v>
      </c>
      <c r="T68" t="str">
        <f>LOOKUP(S68,tblSchoolTerms[STermID],tblSchoolTerms[SemesterID]&amp;" Semester "&amp;tblSchoolTerms[SchoolYear])</f>
        <v>2 Semester S.Y. 2018-2019</v>
      </c>
      <c r="W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" t="e">
        <f t="array" ref="Y68">INDEX(tblEnrolledStuds[EStudID],MATCH(tblEnrolledSubjs[[#This Row],[EStudID]]&amp;S68,tblEnrolledStuds[AdmissionStatusID]&amp;tblEnrolledStuds[StudID],0))</f>
        <v>#N/A</v>
      </c>
    </row>
    <row r="69" spans="2:25" x14ac:dyDescent="0.25">
      <c r="B69">
        <v>67</v>
      </c>
      <c r="C69">
        <v>8</v>
      </c>
      <c r="D69">
        <v>46</v>
      </c>
      <c r="P69" t="str">
        <f t="shared" si="1"/>
        <v>(NULL,"8","46"),</v>
      </c>
      <c r="Q69" t="str">
        <f>TextJoin(tblEnrolledSubjs[[#This Row],[CSubjID]:[EStudID]],"Value")</f>
        <v>"8","46"</v>
      </c>
      <c r="S69">
        <f>LOOKUP(LOOKUP(tblEnrolledSubjs[[#This Row],[CSubjID]], tblClassSubjs[CSubjID],tblClassSubjs[ClassID]),tblClasses[ClassID],tblClasses[STermID])</f>
        <v>1</v>
      </c>
      <c r="T69" t="str">
        <f>LOOKUP(S69,tblSchoolTerms[STermID],tblSchoolTerms[SemesterID]&amp;" Semester "&amp;tblSchoolTerms[SchoolYear])</f>
        <v>2 Semester S.Y. 2018-2019</v>
      </c>
      <c r="W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" t="e">
        <f t="array" ref="Y69">INDEX(tblEnrolledStuds[EStudID],MATCH(tblEnrolledSubjs[[#This Row],[EStudID]]&amp;S69,tblEnrolledStuds[AdmissionStatusID]&amp;tblEnrolledStuds[StudID],0))</f>
        <v>#N/A</v>
      </c>
    </row>
    <row r="70" spans="2:25" x14ac:dyDescent="0.25">
      <c r="B70">
        <v>68</v>
      </c>
      <c r="C70">
        <v>8</v>
      </c>
      <c r="D70">
        <v>29</v>
      </c>
      <c r="P70" t="str">
        <f t="shared" si="1"/>
        <v>(NULL,"8","29"),</v>
      </c>
      <c r="Q70" t="str">
        <f>TextJoin(tblEnrolledSubjs[[#This Row],[CSubjID]:[EStudID]],"Value")</f>
        <v>"8","29"</v>
      </c>
      <c r="S70">
        <f>LOOKUP(LOOKUP(tblEnrolledSubjs[[#This Row],[CSubjID]], tblClassSubjs[CSubjID],tblClassSubjs[ClassID]),tblClasses[ClassID],tblClasses[STermID])</f>
        <v>1</v>
      </c>
      <c r="T70" t="str">
        <f>LOOKUP(S70,tblSchoolTerms[STermID],tblSchoolTerms[SemesterID]&amp;" Semester "&amp;tblSchoolTerms[SchoolYear])</f>
        <v>2 Semester S.Y. 2018-2019</v>
      </c>
      <c r="W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" t="e">
        <f t="array" ref="Y70">INDEX(tblEnrolledStuds[EStudID],MATCH(tblEnrolledSubjs[[#This Row],[EStudID]]&amp;S70,tblEnrolledStuds[AdmissionStatusID]&amp;tblEnrolledStuds[StudID],0))</f>
        <v>#N/A</v>
      </c>
    </row>
    <row r="71" spans="2:25" x14ac:dyDescent="0.25">
      <c r="B71">
        <v>69</v>
      </c>
      <c r="C71">
        <v>8</v>
      </c>
      <c r="D71">
        <v>20</v>
      </c>
      <c r="P71" t="str">
        <f t="shared" si="1"/>
        <v>(NULL,"8","20"),</v>
      </c>
      <c r="Q71" t="str">
        <f>TextJoin(tblEnrolledSubjs[[#This Row],[CSubjID]:[EStudID]],"Value")</f>
        <v>"8","20"</v>
      </c>
      <c r="S71">
        <f>LOOKUP(LOOKUP(tblEnrolledSubjs[[#This Row],[CSubjID]], tblClassSubjs[CSubjID],tblClassSubjs[ClassID]),tblClasses[ClassID],tblClasses[STermID])</f>
        <v>1</v>
      </c>
      <c r="T71" t="str">
        <f>LOOKUP(S71,tblSchoolTerms[STermID],tblSchoolTerms[SemesterID]&amp;" Semester "&amp;tblSchoolTerms[SchoolYear])</f>
        <v>2 Semester S.Y. 2018-2019</v>
      </c>
      <c r="W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" t="e">
        <f t="array" ref="Y71">INDEX(tblEnrolledStuds[EStudID],MATCH(tblEnrolledSubjs[[#This Row],[EStudID]]&amp;S71,tblEnrolledStuds[AdmissionStatusID]&amp;tblEnrolledStuds[StudID],0))</f>
        <v>#N/A</v>
      </c>
    </row>
    <row r="72" spans="2:25" x14ac:dyDescent="0.25">
      <c r="B72">
        <v>70</v>
      </c>
      <c r="C72">
        <v>9</v>
      </c>
      <c r="D72">
        <v>31</v>
      </c>
      <c r="P72" t="str">
        <f t="shared" si="1"/>
        <v>(NULL,"9","31"),</v>
      </c>
      <c r="Q72" t="str">
        <f>TextJoin(tblEnrolledSubjs[[#This Row],[CSubjID]:[EStudID]],"Value")</f>
        <v>"9","31"</v>
      </c>
      <c r="S72">
        <f>LOOKUP(LOOKUP(tblEnrolledSubjs[[#This Row],[CSubjID]], tblClassSubjs[CSubjID],tblClassSubjs[ClassID]),tblClasses[ClassID],tblClasses[STermID])</f>
        <v>1</v>
      </c>
      <c r="T72" t="str">
        <f>LOOKUP(S72,tblSchoolTerms[STermID],tblSchoolTerms[SemesterID]&amp;" Semester "&amp;tblSchoolTerms[SchoolYear])</f>
        <v>2 Semester S.Y. 2018-2019</v>
      </c>
      <c r="W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">
        <f t="array" ref="Y72">INDEX(tblEnrolledStuds[EStudID],MATCH(tblEnrolledSubjs[[#This Row],[EStudID]]&amp;S72,tblEnrolledStuds[AdmissionStatusID]&amp;tblEnrolledStuds[StudID],0))</f>
        <v>11</v>
      </c>
    </row>
    <row r="73" spans="2:25" x14ac:dyDescent="0.25">
      <c r="B73">
        <v>71</v>
      </c>
      <c r="C73">
        <v>9</v>
      </c>
      <c r="D73">
        <v>65</v>
      </c>
      <c r="P73" t="str">
        <f t="shared" si="1"/>
        <v>(NULL,"9","65"),</v>
      </c>
      <c r="Q73" t="str">
        <f>TextJoin(tblEnrolledSubjs[[#This Row],[CSubjID]:[EStudID]],"Value")</f>
        <v>"9","65"</v>
      </c>
      <c r="S73">
        <f>LOOKUP(LOOKUP(tblEnrolledSubjs[[#This Row],[CSubjID]], tblClassSubjs[CSubjID],tblClassSubjs[ClassID]),tblClasses[ClassID],tblClasses[STermID])</f>
        <v>1</v>
      </c>
      <c r="T73" t="str">
        <f>LOOKUP(S73,tblSchoolTerms[STermID],tblSchoolTerms[SemesterID]&amp;" Semester "&amp;tblSchoolTerms[SchoolYear])</f>
        <v>2 Semester S.Y. 2018-2019</v>
      </c>
      <c r="W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" t="e">
        <f t="array" ref="Y73">INDEX(tblEnrolledStuds[EStudID],MATCH(tblEnrolledSubjs[[#This Row],[EStudID]]&amp;S73,tblEnrolledStuds[AdmissionStatusID]&amp;tblEnrolledStuds[StudID],0))</f>
        <v>#N/A</v>
      </c>
    </row>
    <row r="74" spans="2:25" x14ac:dyDescent="0.25">
      <c r="B74">
        <v>72</v>
      </c>
      <c r="C74">
        <v>9</v>
      </c>
      <c r="D74">
        <v>39</v>
      </c>
      <c r="P74" t="str">
        <f t="shared" si="1"/>
        <v>(NULL,"9","39"),</v>
      </c>
      <c r="Q74" t="str">
        <f>TextJoin(tblEnrolledSubjs[[#This Row],[CSubjID]:[EStudID]],"Value")</f>
        <v>"9","39"</v>
      </c>
      <c r="S74">
        <f>LOOKUP(LOOKUP(tblEnrolledSubjs[[#This Row],[CSubjID]], tblClassSubjs[CSubjID],tblClassSubjs[ClassID]),tblClasses[ClassID],tblClasses[STermID])</f>
        <v>1</v>
      </c>
      <c r="T74" t="str">
        <f>LOOKUP(S74,tblSchoolTerms[STermID],tblSchoolTerms[SemesterID]&amp;" Semester "&amp;tblSchoolTerms[SchoolYear])</f>
        <v>2 Semester S.Y. 2018-2019</v>
      </c>
      <c r="W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" t="e">
        <f t="array" ref="Y74">INDEX(tblEnrolledStuds[EStudID],MATCH(tblEnrolledSubjs[[#This Row],[EStudID]]&amp;S74,tblEnrolledStuds[AdmissionStatusID]&amp;tblEnrolledStuds[StudID],0))</f>
        <v>#N/A</v>
      </c>
    </row>
    <row r="75" spans="2:25" x14ac:dyDescent="0.25">
      <c r="B75">
        <v>73</v>
      </c>
      <c r="C75">
        <v>9</v>
      </c>
      <c r="D75">
        <v>41</v>
      </c>
      <c r="P75" t="str">
        <f t="shared" si="1"/>
        <v>(NULL,"9","41"),</v>
      </c>
      <c r="Q75" t="str">
        <f>TextJoin(tblEnrolledSubjs[[#This Row],[CSubjID]:[EStudID]],"Value")</f>
        <v>"9","41"</v>
      </c>
      <c r="S75">
        <f>LOOKUP(LOOKUP(tblEnrolledSubjs[[#This Row],[CSubjID]], tblClassSubjs[CSubjID],tblClassSubjs[ClassID]),tblClasses[ClassID],tblClasses[STermID])</f>
        <v>1</v>
      </c>
      <c r="T75" t="str">
        <f>LOOKUP(S75,tblSchoolTerms[STermID],tblSchoolTerms[SemesterID]&amp;" Semester "&amp;tblSchoolTerms[SchoolYear])</f>
        <v>2 Semester S.Y. 2018-2019</v>
      </c>
      <c r="W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" t="e">
        <f t="array" ref="Y75">INDEX(tblEnrolledStuds[EStudID],MATCH(tblEnrolledSubjs[[#This Row],[EStudID]]&amp;S75,tblEnrolledStuds[AdmissionStatusID]&amp;tblEnrolledStuds[StudID],0))</f>
        <v>#N/A</v>
      </c>
    </row>
    <row r="76" spans="2:25" x14ac:dyDescent="0.25">
      <c r="B76">
        <v>74</v>
      </c>
      <c r="C76">
        <v>9</v>
      </c>
      <c r="D76">
        <v>48</v>
      </c>
      <c r="P76" t="str">
        <f t="shared" si="1"/>
        <v>(NULL,"9","48"),</v>
      </c>
      <c r="Q76" t="str">
        <f>TextJoin(tblEnrolledSubjs[[#This Row],[CSubjID]:[EStudID]],"Value")</f>
        <v>"9","48"</v>
      </c>
      <c r="S76">
        <f>LOOKUP(LOOKUP(tblEnrolledSubjs[[#This Row],[CSubjID]], tblClassSubjs[CSubjID],tblClassSubjs[ClassID]),tblClasses[ClassID],tblClasses[STermID])</f>
        <v>1</v>
      </c>
      <c r="T76" t="str">
        <f>LOOKUP(S76,tblSchoolTerms[STermID],tblSchoolTerms[SemesterID]&amp;" Semester "&amp;tblSchoolTerms[SchoolYear])</f>
        <v>2 Semester S.Y. 2018-2019</v>
      </c>
      <c r="W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" t="e">
        <f t="array" ref="Y76">INDEX(tblEnrolledStuds[EStudID],MATCH(tblEnrolledSubjs[[#This Row],[EStudID]]&amp;S76,tblEnrolledStuds[AdmissionStatusID]&amp;tblEnrolledStuds[StudID],0))</f>
        <v>#N/A</v>
      </c>
    </row>
    <row r="77" spans="2:25" x14ac:dyDescent="0.25">
      <c r="B77">
        <v>75</v>
      </c>
      <c r="C77">
        <v>9</v>
      </c>
      <c r="D77">
        <v>50</v>
      </c>
      <c r="P77" t="str">
        <f t="shared" si="1"/>
        <v>(NULL,"9","50"),</v>
      </c>
      <c r="Q77" t="str">
        <f>TextJoin(tblEnrolledSubjs[[#This Row],[CSubjID]:[EStudID]],"Value")</f>
        <v>"9","50"</v>
      </c>
      <c r="S77">
        <f>LOOKUP(LOOKUP(tblEnrolledSubjs[[#This Row],[CSubjID]], tblClassSubjs[CSubjID],tblClassSubjs[ClassID]),tblClasses[ClassID],tblClasses[STermID])</f>
        <v>1</v>
      </c>
      <c r="T77" t="str">
        <f>LOOKUP(S77,tblSchoolTerms[STermID],tblSchoolTerms[SemesterID]&amp;" Semester "&amp;tblSchoolTerms[SchoolYear])</f>
        <v>2 Semester S.Y. 2018-2019</v>
      </c>
      <c r="W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" t="e">
        <f t="array" ref="Y77">INDEX(tblEnrolledStuds[EStudID],MATCH(tblEnrolledSubjs[[#This Row],[EStudID]]&amp;S77,tblEnrolledStuds[AdmissionStatusID]&amp;tblEnrolledStuds[StudID],0))</f>
        <v>#N/A</v>
      </c>
    </row>
    <row r="78" spans="2:25" x14ac:dyDescent="0.25">
      <c r="B78">
        <v>76</v>
      </c>
      <c r="C78">
        <v>9</v>
      </c>
      <c r="D78">
        <v>57</v>
      </c>
      <c r="P78" t="str">
        <f t="shared" si="1"/>
        <v>(NULL,"9","57"),</v>
      </c>
      <c r="Q78" t="str">
        <f>TextJoin(tblEnrolledSubjs[[#This Row],[CSubjID]:[EStudID]],"Value")</f>
        <v>"9","57"</v>
      </c>
      <c r="S78">
        <f>LOOKUP(LOOKUP(tblEnrolledSubjs[[#This Row],[CSubjID]], tblClassSubjs[CSubjID],tblClassSubjs[ClassID]),tblClasses[ClassID],tblClasses[STermID])</f>
        <v>1</v>
      </c>
      <c r="T78" t="str">
        <f>LOOKUP(S78,tblSchoolTerms[STermID],tblSchoolTerms[SemesterID]&amp;" Semester "&amp;tblSchoolTerms[SchoolYear])</f>
        <v>2 Semester S.Y. 2018-2019</v>
      </c>
      <c r="W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" t="e">
        <f t="array" ref="Y78">INDEX(tblEnrolledStuds[EStudID],MATCH(tblEnrolledSubjs[[#This Row],[EStudID]]&amp;S78,tblEnrolledStuds[AdmissionStatusID]&amp;tblEnrolledStuds[StudID],0))</f>
        <v>#N/A</v>
      </c>
    </row>
    <row r="79" spans="2:25" x14ac:dyDescent="0.25">
      <c r="B79">
        <v>77</v>
      </c>
      <c r="C79">
        <v>9</v>
      </c>
      <c r="D79">
        <v>35</v>
      </c>
      <c r="P79" t="str">
        <f t="shared" si="1"/>
        <v>(NULL,"9","35"),</v>
      </c>
      <c r="Q79" t="str">
        <f>TextJoin(tblEnrolledSubjs[[#This Row],[CSubjID]:[EStudID]],"Value")</f>
        <v>"9","35"</v>
      </c>
      <c r="S79">
        <f>LOOKUP(LOOKUP(tblEnrolledSubjs[[#This Row],[CSubjID]], tblClassSubjs[CSubjID],tblClassSubjs[ClassID]),tblClasses[ClassID],tblClasses[STermID])</f>
        <v>1</v>
      </c>
      <c r="T79" t="str">
        <f>LOOKUP(S79,tblSchoolTerms[STermID],tblSchoolTerms[SemesterID]&amp;" Semester "&amp;tblSchoolTerms[SchoolYear])</f>
        <v>2 Semester S.Y. 2018-2019</v>
      </c>
      <c r="W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">
        <f t="array" ref="Y79">INDEX(tblEnrolledStuds[EStudID],MATCH(tblEnrolledSubjs[[#This Row],[EStudID]]&amp;S79,tblEnrolledStuds[AdmissionStatusID]&amp;tblEnrolledStuds[StudID],0))</f>
        <v>51</v>
      </c>
    </row>
    <row r="80" spans="2:25" x14ac:dyDescent="0.25">
      <c r="B80">
        <v>78</v>
      </c>
      <c r="C80">
        <v>10</v>
      </c>
      <c r="D80">
        <v>65</v>
      </c>
      <c r="P80" t="str">
        <f t="shared" si="1"/>
        <v>(NULL,"10","65"),</v>
      </c>
      <c r="Q80" t="str">
        <f>TextJoin(tblEnrolledSubjs[[#This Row],[CSubjID]:[EStudID]],"Value")</f>
        <v>"10","65"</v>
      </c>
      <c r="S80">
        <f>LOOKUP(LOOKUP(tblEnrolledSubjs[[#This Row],[CSubjID]], tblClassSubjs[CSubjID],tblClassSubjs[ClassID]),tblClasses[ClassID],tblClasses[STermID])</f>
        <v>1</v>
      </c>
      <c r="T80" t="str">
        <f>LOOKUP(S80,tblSchoolTerms[STermID],tblSchoolTerms[SemesterID]&amp;" Semester "&amp;tblSchoolTerms[SchoolYear])</f>
        <v>2 Semester S.Y. 2018-2019</v>
      </c>
      <c r="W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" t="e">
        <f t="array" ref="Y80">INDEX(tblEnrolledStuds[EStudID],MATCH(tblEnrolledSubjs[[#This Row],[EStudID]]&amp;S80,tblEnrolledStuds[AdmissionStatusID]&amp;tblEnrolledStuds[StudID],0))</f>
        <v>#N/A</v>
      </c>
    </row>
    <row r="81" spans="2:25" x14ac:dyDescent="0.25">
      <c r="B81">
        <v>79</v>
      </c>
      <c r="C81">
        <v>10</v>
      </c>
      <c r="D81">
        <v>39</v>
      </c>
      <c r="P81" t="str">
        <f t="shared" si="1"/>
        <v>(NULL,"10","39"),</v>
      </c>
      <c r="Q81" t="str">
        <f>TextJoin(tblEnrolledSubjs[[#This Row],[CSubjID]:[EStudID]],"Value")</f>
        <v>"10","39"</v>
      </c>
      <c r="S81">
        <f>LOOKUP(LOOKUP(tblEnrolledSubjs[[#This Row],[CSubjID]], tblClassSubjs[CSubjID],tblClassSubjs[ClassID]),tblClasses[ClassID],tblClasses[STermID])</f>
        <v>1</v>
      </c>
      <c r="T81" t="str">
        <f>LOOKUP(S81,tblSchoolTerms[STermID],tblSchoolTerms[SemesterID]&amp;" Semester "&amp;tblSchoolTerms[SchoolYear])</f>
        <v>2 Semester S.Y. 2018-2019</v>
      </c>
      <c r="W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" t="e">
        <f t="array" ref="Y81">INDEX(tblEnrolledStuds[EStudID],MATCH(tblEnrolledSubjs[[#This Row],[EStudID]]&amp;S81,tblEnrolledStuds[AdmissionStatusID]&amp;tblEnrolledStuds[StudID],0))</f>
        <v>#N/A</v>
      </c>
    </row>
    <row r="82" spans="2:25" x14ac:dyDescent="0.25">
      <c r="B82">
        <v>80</v>
      </c>
      <c r="C82">
        <v>10</v>
      </c>
      <c r="D82">
        <v>41</v>
      </c>
      <c r="P82" t="str">
        <f t="shared" si="1"/>
        <v>(NULL,"10","41"),</v>
      </c>
      <c r="Q82" t="str">
        <f>TextJoin(tblEnrolledSubjs[[#This Row],[CSubjID]:[EStudID]],"Value")</f>
        <v>"10","41"</v>
      </c>
      <c r="S82">
        <f>LOOKUP(LOOKUP(tblEnrolledSubjs[[#This Row],[CSubjID]], tblClassSubjs[CSubjID],tblClassSubjs[ClassID]),tblClasses[ClassID],tblClasses[STermID])</f>
        <v>1</v>
      </c>
      <c r="T82" t="str">
        <f>LOOKUP(S82,tblSchoolTerms[STermID],tblSchoolTerms[SemesterID]&amp;" Semester "&amp;tblSchoolTerms[SchoolYear])</f>
        <v>2 Semester S.Y. 2018-2019</v>
      </c>
      <c r="W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" t="e">
        <f t="array" ref="Y82">INDEX(tblEnrolledStuds[EStudID],MATCH(tblEnrolledSubjs[[#This Row],[EStudID]]&amp;S82,tblEnrolledStuds[AdmissionStatusID]&amp;tblEnrolledStuds[StudID],0))</f>
        <v>#N/A</v>
      </c>
    </row>
    <row r="83" spans="2:25" x14ac:dyDescent="0.25">
      <c r="B83">
        <v>81</v>
      </c>
      <c r="C83">
        <v>10</v>
      </c>
      <c r="D83">
        <v>48</v>
      </c>
      <c r="P83" t="str">
        <f t="shared" si="1"/>
        <v>(NULL,"10","48"),</v>
      </c>
      <c r="Q83" t="str">
        <f>TextJoin(tblEnrolledSubjs[[#This Row],[CSubjID]:[EStudID]],"Value")</f>
        <v>"10","48"</v>
      </c>
      <c r="S83">
        <f>LOOKUP(LOOKUP(tblEnrolledSubjs[[#This Row],[CSubjID]], tblClassSubjs[CSubjID],tblClassSubjs[ClassID]),tblClasses[ClassID],tblClasses[STermID])</f>
        <v>1</v>
      </c>
      <c r="T83" t="str">
        <f>LOOKUP(S83,tblSchoolTerms[STermID],tblSchoolTerms[SemesterID]&amp;" Semester "&amp;tblSchoolTerms[SchoolYear])</f>
        <v>2 Semester S.Y. 2018-2019</v>
      </c>
      <c r="W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" t="e">
        <f t="array" ref="Y83">INDEX(tblEnrolledStuds[EStudID],MATCH(tblEnrolledSubjs[[#This Row],[EStudID]]&amp;S83,tblEnrolledStuds[AdmissionStatusID]&amp;tblEnrolledStuds[StudID],0))</f>
        <v>#N/A</v>
      </c>
    </row>
    <row r="84" spans="2:25" x14ac:dyDescent="0.25">
      <c r="B84">
        <v>82</v>
      </c>
      <c r="C84">
        <v>10</v>
      </c>
      <c r="D84">
        <v>50</v>
      </c>
      <c r="P84" t="str">
        <f t="shared" si="1"/>
        <v>(NULL,"10","50"),</v>
      </c>
      <c r="Q84" t="str">
        <f>TextJoin(tblEnrolledSubjs[[#This Row],[CSubjID]:[EStudID]],"Value")</f>
        <v>"10","50"</v>
      </c>
      <c r="S84">
        <f>LOOKUP(LOOKUP(tblEnrolledSubjs[[#This Row],[CSubjID]], tblClassSubjs[CSubjID],tblClassSubjs[ClassID]),tblClasses[ClassID],tblClasses[STermID])</f>
        <v>1</v>
      </c>
      <c r="T84" t="str">
        <f>LOOKUP(S84,tblSchoolTerms[STermID],tblSchoolTerms[SemesterID]&amp;" Semester "&amp;tblSchoolTerms[SchoolYear])</f>
        <v>2 Semester S.Y. 2018-2019</v>
      </c>
      <c r="W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" t="e">
        <f t="array" ref="Y84">INDEX(tblEnrolledStuds[EStudID],MATCH(tblEnrolledSubjs[[#This Row],[EStudID]]&amp;S84,tblEnrolledStuds[AdmissionStatusID]&amp;tblEnrolledStuds[StudID],0))</f>
        <v>#N/A</v>
      </c>
    </row>
    <row r="85" spans="2:25" x14ac:dyDescent="0.25">
      <c r="B85">
        <v>83</v>
      </c>
      <c r="C85">
        <v>10</v>
      </c>
      <c r="D85">
        <v>57</v>
      </c>
      <c r="P85" t="str">
        <f t="shared" si="1"/>
        <v>(NULL,"10","57"),</v>
      </c>
      <c r="Q85" t="str">
        <f>TextJoin(tblEnrolledSubjs[[#This Row],[CSubjID]:[EStudID]],"Value")</f>
        <v>"10","57"</v>
      </c>
      <c r="S85">
        <f>LOOKUP(LOOKUP(tblEnrolledSubjs[[#This Row],[CSubjID]], tblClassSubjs[CSubjID],tblClassSubjs[ClassID]),tblClasses[ClassID],tblClasses[STermID])</f>
        <v>1</v>
      </c>
      <c r="T85" t="str">
        <f>LOOKUP(S85,tblSchoolTerms[STermID],tblSchoolTerms[SemesterID]&amp;" Semester "&amp;tblSchoolTerms[SchoolYear])</f>
        <v>2 Semester S.Y. 2018-2019</v>
      </c>
      <c r="W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" t="e">
        <f t="array" ref="Y85">INDEX(tblEnrolledStuds[EStudID],MATCH(tblEnrolledSubjs[[#This Row],[EStudID]]&amp;S85,tblEnrolledStuds[AdmissionStatusID]&amp;tblEnrolledStuds[StudID],0))</f>
        <v>#N/A</v>
      </c>
    </row>
    <row r="86" spans="2:25" x14ac:dyDescent="0.25">
      <c r="B86">
        <v>84</v>
      </c>
      <c r="C86">
        <v>10</v>
      </c>
      <c r="D86">
        <v>18</v>
      </c>
      <c r="P86" t="str">
        <f t="shared" si="1"/>
        <v>(NULL,"10","18"),</v>
      </c>
      <c r="Q86" t="str">
        <f>TextJoin(tblEnrolledSubjs[[#This Row],[CSubjID]:[EStudID]],"Value")</f>
        <v>"10","18"</v>
      </c>
      <c r="S86">
        <f>LOOKUP(LOOKUP(tblEnrolledSubjs[[#This Row],[CSubjID]], tblClassSubjs[CSubjID],tblClassSubjs[ClassID]),tblClasses[ClassID],tblClasses[STermID])</f>
        <v>1</v>
      </c>
      <c r="T86" t="str">
        <f>LOOKUP(S86,tblSchoolTerms[STermID],tblSchoolTerms[SemesterID]&amp;" Semester "&amp;tblSchoolTerms[SchoolYear])</f>
        <v>2 Semester S.Y. 2018-2019</v>
      </c>
      <c r="W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" t="e">
        <f t="array" ref="Y86">INDEX(tblEnrolledStuds[EStudID],MATCH(tblEnrolledSubjs[[#This Row],[EStudID]]&amp;S86,tblEnrolledStuds[AdmissionStatusID]&amp;tblEnrolledStuds[StudID],0))</f>
        <v>#N/A</v>
      </c>
    </row>
    <row r="87" spans="2:25" x14ac:dyDescent="0.25">
      <c r="B87">
        <v>85</v>
      </c>
      <c r="C87">
        <v>10</v>
      </c>
      <c r="D87">
        <v>22</v>
      </c>
      <c r="P87" t="str">
        <f t="shared" si="1"/>
        <v>(NULL,"10","22"),</v>
      </c>
      <c r="Q87" t="str">
        <f>TextJoin(tblEnrolledSubjs[[#This Row],[CSubjID]:[EStudID]],"Value")</f>
        <v>"10","22"</v>
      </c>
      <c r="S87">
        <f>LOOKUP(LOOKUP(tblEnrolledSubjs[[#This Row],[CSubjID]], tblClassSubjs[CSubjID],tblClassSubjs[ClassID]),tblClasses[ClassID],tblClasses[STermID])</f>
        <v>1</v>
      </c>
      <c r="T87" t="str">
        <f>LOOKUP(S87,tblSchoolTerms[STermID],tblSchoolTerms[SemesterID]&amp;" Semester "&amp;tblSchoolTerms[SchoolYear])</f>
        <v>2 Semester S.Y. 2018-2019</v>
      </c>
      <c r="W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" t="e">
        <f t="array" ref="Y87">INDEX(tblEnrolledStuds[EStudID],MATCH(tblEnrolledSubjs[[#This Row],[EStudID]]&amp;S87,tblEnrolledStuds[AdmissionStatusID]&amp;tblEnrolledStuds[StudID],0))</f>
        <v>#N/A</v>
      </c>
    </row>
    <row r="88" spans="2:25" x14ac:dyDescent="0.25">
      <c r="B88">
        <v>86</v>
      </c>
      <c r="C88">
        <v>10</v>
      </c>
      <c r="D88">
        <v>27</v>
      </c>
      <c r="P88" t="str">
        <f t="shared" si="1"/>
        <v>(NULL,"10","27"),</v>
      </c>
      <c r="Q88" t="str">
        <f>TextJoin(tblEnrolledSubjs[[#This Row],[CSubjID]:[EStudID]],"Value")</f>
        <v>"10","27"</v>
      </c>
      <c r="S88">
        <f>LOOKUP(LOOKUP(tblEnrolledSubjs[[#This Row],[CSubjID]], tblClassSubjs[CSubjID],tblClassSubjs[ClassID]),tblClasses[ClassID],tblClasses[STermID])</f>
        <v>1</v>
      </c>
      <c r="T88" t="str">
        <f>LOOKUP(S88,tblSchoolTerms[STermID],tblSchoolTerms[SemesterID]&amp;" Semester "&amp;tblSchoolTerms[SchoolYear])</f>
        <v>2 Semester S.Y. 2018-2019</v>
      </c>
      <c r="W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">
        <f t="array" ref="Y88">INDEX(tblEnrolledStuds[EStudID],MATCH(tblEnrolledSubjs[[#This Row],[EStudID]]&amp;S88,tblEnrolledStuds[AdmissionStatusID]&amp;tblEnrolledStuds[StudID],0))</f>
        <v>190</v>
      </c>
    </row>
    <row r="89" spans="2:25" x14ac:dyDescent="0.25">
      <c r="B89">
        <v>87</v>
      </c>
      <c r="C89">
        <v>10</v>
      </c>
      <c r="D89">
        <v>63</v>
      </c>
      <c r="P89" t="str">
        <f t="shared" si="1"/>
        <v>(NULL,"10","63"),</v>
      </c>
      <c r="Q89" t="str">
        <f>TextJoin(tblEnrolledSubjs[[#This Row],[CSubjID]:[EStudID]],"Value")</f>
        <v>"10","63"</v>
      </c>
      <c r="S89">
        <f>LOOKUP(LOOKUP(tblEnrolledSubjs[[#This Row],[CSubjID]], tblClassSubjs[CSubjID],tblClassSubjs[ClassID]),tblClasses[ClassID],tblClasses[STermID])</f>
        <v>1</v>
      </c>
      <c r="T89" t="str">
        <f>LOOKUP(S89,tblSchoolTerms[STermID],tblSchoolTerms[SemesterID]&amp;" Semester "&amp;tblSchoolTerms[SchoolYear])</f>
        <v>2 Semester S.Y. 2018-2019</v>
      </c>
      <c r="W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" t="e">
        <f t="array" ref="Y89">INDEX(tblEnrolledStuds[EStudID],MATCH(tblEnrolledSubjs[[#This Row],[EStudID]]&amp;S89,tblEnrolledStuds[AdmissionStatusID]&amp;tblEnrolledStuds[StudID],0))</f>
        <v>#N/A</v>
      </c>
    </row>
    <row r="90" spans="2:25" x14ac:dyDescent="0.25">
      <c r="B90">
        <v>88</v>
      </c>
      <c r="C90">
        <v>10</v>
      </c>
      <c r="D90">
        <v>5</v>
      </c>
      <c r="P90" t="str">
        <f t="shared" si="1"/>
        <v>(NULL,"10","5"),</v>
      </c>
      <c r="Q90" t="str">
        <f>TextJoin(tblEnrolledSubjs[[#This Row],[CSubjID]:[EStudID]],"Value")</f>
        <v>"10","5"</v>
      </c>
      <c r="S90">
        <f>LOOKUP(LOOKUP(tblEnrolledSubjs[[#This Row],[CSubjID]], tblClassSubjs[CSubjID],tblClassSubjs[ClassID]),tblClasses[ClassID],tblClasses[STermID])</f>
        <v>1</v>
      </c>
      <c r="T90" t="str">
        <f>LOOKUP(S90,tblSchoolTerms[STermID],tblSchoolTerms[SemesterID]&amp;" Semester "&amp;tblSchoolTerms[SchoolYear])</f>
        <v>2 Semester S.Y. 2018-2019</v>
      </c>
      <c r="W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" t="e">
        <f t="array" ref="Y90">INDEX(tblEnrolledStuds[EStudID],MATCH(tblEnrolledSubjs[[#This Row],[EStudID]]&amp;S90,tblEnrolledStuds[AdmissionStatusID]&amp;tblEnrolledStuds[StudID],0))</f>
        <v>#N/A</v>
      </c>
    </row>
    <row r="91" spans="2:25" x14ac:dyDescent="0.25">
      <c r="B91">
        <v>89</v>
      </c>
      <c r="C91">
        <v>10</v>
      </c>
      <c r="D91">
        <v>29</v>
      </c>
      <c r="P91" t="str">
        <f t="shared" si="1"/>
        <v>(NULL,"10","29"),</v>
      </c>
      <c r="Q91" t="str">
        <f>TextJoin(tblEnrolledSubjs[[#This Row],[CSubjID]:[EStudID]],"Value")</f>
        <v>"10","29"</v>
      </c>
      <c r="S91">
        <f>LOOKUP(LOOKUP(tblEnrolledSubjs[[#This Row],[CSubjID]], tblClassSubjs[CSubjID],tblClassSubjs[ClassID]),tblClasses[ClassID],tblClasses[STermID])</f>
        <v>1</v>
      </c>
      <c r="T91" t="str">
        <f>LOOKUP(S91,tblSchoolTerms[STermID],tblSchoolTerms[SemesterID]&amp;" Semester "&amp;tblSchoolTerms[SchoolYear])</f>
        <v>2 Semester S.Y. 2018-2019</v>
      </c>
      <c r="W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" t="e">
        <f t="array" ref="Y91">INDEX(tblEnrolledStuds[EStudID],MATCH(tblEnrolledSubjs[[#This Row],[EStudID]]&amp;S91,tblEnrolledStuds[AdmissionStatusID]&amp;tblEnrolledStuds[StudID],0))</f>
        <v>#N/A</v>
      </c>
    </row>
    <row r="92" spans="2:25" x14ac:dyDescent="0.25">
      <c r="B92">
        <v>90</v>
      </c>
      <c r="C92">
        <v>10</v>
      </c>
      <c r="D92">
        <v>34</v>
      </c>
      <c r="P92" t="str">
        <f t="shared" si="1"/>
        <v>(NULL,"10","34"),</v>
      </c>
      <c r="Q92" t="str">
        <f>TextJoin(tblEnrolledSubjs[[#This Row],[CSubjID]:[EStudID]],"Value")</f>
        <v>"10","34"</v>
      </c>
      <c r="S92">
        <f>LOOKUP(LOOKUP(tblEnrolledSubjs[[#This Row],[CSubjID]], tblClassSubjs[CSubjID],tblClassSubjs[ClassID]),tblClasses[ClassID],tblClasses[STermID])</f>
        <v>1</v>
      </c>
      <c r="T92" t="str">
        <f>LOOKUP(S92,tblSchoolTerms[STermID],tblSchoolTerms[SemesterID]&amp;" Semester "&amp;tblSchoolTerms[SchoolYear])</f>
        <v>2 Semester S.Y. 2018-2019</v>
      </c>
      <c r="W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">
        <f t="array" ref="Y92">INDEX(tblEnrolledStuds[EStudID],MATCH(tblEnrolledSubjs[[#This Row],[EStudID]]&amp;S92,tblEnrolledStuds[AdmissionStatusID]&amp;tblEnrolledStuds[StudID],0))</f>
        <v>41</v>
      </c>
    </row>
    <row r="93" spans="2:25" x14ac:dyDescent="0.25">
      <c r="B93">
        <v>91</v>
      </c>
      <c r="C93">
        <v>11</v>
      </c>
      <c r="D93">
        <v>11</v>
      </c>
      <c r="P93" t="str">
        <f t="shared" si="1"/>
        <v>(NULL,"11","11"),</v>
      </c>
      <c r="Q93" t="str">
        <f>TextJoin(tblEnrolledSubjs[[#This Row],[CSubjID]:[EStudID]],"Value")</f>
        <v>"11","11"</v>
      </c>
      <c r="S93">
        <f>LOOKUP(LOOKUP(tblEnrolledSubjs[[#This Row],[CSubjID]], tblClassSubjs[CSubjID],tblClassSubjs[ClassID]),tblClasses[ClassID],tblClasses[STermID])</f>
        <v>1</v>
      </c>
      <c r="T93" t="str">
        <f>LOOKUP(S93,tblSchoolTerms[STermID],tblSchoolTerms[SemesterID]&amp;" Semester "&amp;tblSchoolTerms[SchoolYear])</f>
        <v>2 Semester S.Y. 2018-2019</v>
      </c>
      <c r="W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" t="e">
        <f t="array" ref="Y93">INDEX(tblEnrolledStuds[EStudID],MATCH(tblEnrolledSubjs[[#This Row],[EStudID]]&amp;S93,tblEnrolledStuds[AdmissionStatusID]&amp;tblEnrolledStuds[StudID],0))</f>
        <v>#N/A</v>
      </c>
    </row>
    <row r="94" spans="2:25" x14ac:dyDescent="0.25">
      <c r="B94">
        <v>92</v>
      </c>
      <c r="C94">
        <v>12</v>
      </c>
      <c r="D94">
        <v>65</v>
      </c>
      <c r="P94" t="str">
        <f t="shared" si="1"/>
        <v>(NULL,"12","65"),</v>
      </c>
      <c r="Q94" t="str">
        <f>TextJoin(tblEnrolledSubjs[[#This Row],[CSubjID]:[EStudID]],"Value")</f>
        <v>"12","65"</v>
      </c>
      <c r="S94">
        <f>LOOKUP(LOOKUP(tblEnrolledSubjs[[#This Row],[CSubjID]], tblClassSubjs[CSubjID],tblClassSubjs[ClassID]),tblClasses[ClassID],tblClasses[STermID])</f>
        <v>1</v>
      </c>
      <c r="T94" t="str">
        <f>LOOKUP(S94,tblSchoolTerms[STermID],tblSchoolTerms[SemesterID]&amp;" Semester "&amp;tblSchoolTerms[SchoolYear])</f>
        <v>2 Semester S.Y. 2018-2019</v>
      </c>
      <c r="W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" t="e">
        <f t="array" ref="Y94">INDEX(tblEnrolledStuds[EStudID],MATCH(tblEnrolledSubjs[[#This Row],[EStudID]]&amp;S94,tblEnrolledStuds[AdmissionStatusID]&amp;tblEnrolledStuds[StudID],0))</f>
        <v>#N/A</v>
      </c>
    </row>
    <row r="95" spans="2:25" x14ac:dyDescent="0.25">
      <c r="B95">
        <v>93</v>
      </c>
      <c r="C95">
        <v>12</v>
      </c>
      <c r="D95">
        <v>39</v>
      </c>
      <c r="P95" t="str">
        <f t="shared" si="1"/>
        <v>(NULL,"12","39"),</v>
      </c>
      <c r="Q95" t="str">
        <f>TextJoin(tblEnrolledSubjs[[#This Row],[CSubjID]:[EStudID]],"Value")</f>
        <v>"12","39"</v>
      </c>
      <c r="S95">
        <f>LOOKUP(LOOKUP(tblEnrolledSubjs[[#This Row],[CSubjID]], tblClassSubjs[CSubjID],tblClassSubjs[ClassID]),tblClasses[ClassID],tblClasses[STermID])</f>
        <v>1</v>
      </c>
      <c r="T95" t="str">
        <f>LOOKUP(S95,tblSchoolTerms[STermID],tblSchoolTerms[SemesterID]&amp;" Semester "&amp;tblSchoolTerms[SchoolYear])</f>
        <v>2 Semester S.Y. 2018-2019</v>
      </c>
      <c r="W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" t="e">
        <f t="array" ref="Y95">INDEX(tblEnrolledStuds[EStudID],MATCH(tblEnrolledSubjs[[#This Row],[EStudID]]&amp;S95,tblEnrolledStuds[AdmissionStatusID]&amp;tblEnrolledStuds[StudID],0))</f>
        <v>#N/A</v>
      </c>
    </row>
    <row r="96" spans="2:25" x14ac:dyDescent="0.25">
      <c r="B96">
        <v>94</v>
      </c>
      <c r="C96">
        <v>12</v>
      </c>
      <c r="D96">
        <v>41</v>
      </c>
      <c r="P96" t="str">
        <f t="shared" si="1"/>
        <v>(NULL,"12","41"),</v>
      </c>
      <c r="Q96" t="str">
        <f>TextJoin(tblEnrolledSubjs[[#This Row],[CSubjID]:[EStudID]],"Value")</f>
        <v>"12","41"</v>
      </c>
      <c r="S96">
        <f>LOOKUP(LOOKUP(tblEnrolledSubjs[[#This Row],[CSubjID]], tblClassSubjs[CSubjID],tblClassSubjs[ClassID]),tblClasses[ClassID],tblClasses[STermID])</f>
        <v>1</v>
      </c>
      <c r="T96" t="str">
        <f>LOOKUP(S96,tblSchoolTerms[STermID],tblSchoolTerms[SemesterID]&amp;" Semester "&amp;tblSchoolTerms[SchoolYear])</f>
        <v>2 Semester S.Y. 2018-2019</v>
      </c>
      <c r="W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" t="e">
        <f t="array" ref="Y96">INDEX(tblEnrolledStuds[EStudID],MATCH(tblEnrolledSubjs[[#This Row],[EStudID]]&amp;S96,tblEnrolledStuds[AdmissionStatusID]&amp;tblEnrolledStuds[StudID],0))</f>
        <v>#N/A</v>
      </c>
    </row>
    <row r="97" spans="2:25" x14ac:dyDescent="0.25">
      <c r="B97">
        <v>95</v>
      </c>
      <c r="C97">
        <v>12</v>
      </c>
      <c r="D97">
        <v>48</v>
      </c>
      <c r="P97" t="str">
        <f t="shared" si="1"/>
        <v>(NULL,"12","48"),</v>
      </c>
      <c r="Q97" t="str">
        <f>TextJoin(tblEnrolledSubjs[[#This Row],[CSubjID]:[EStudID]],"Value")</f>
        <v>"12","48"</v>
      </c>
      <c r="S97">
        <f>LOOKUP(LOOKUP(tblEnrolledSubjs[[#This Row],[CSubjID]], tblClassSubjs[CSubjID],tblClassSubjs[ClassID]),tblClasses[ClassID],tblClasses[STermID])</f>
        <v>1</v>
      </c>
      <c r="T97" t="str">
        <f>LOOKUP(S97,tblSchoolTerms[STermID],tblSchoolTerms[SemesterID]&amp;" Semester "&amp;tblSchoolTerms[SchoolYear])</f>
        <v>2 Semester S.Y. 2018-2019</v>
      </c>
      <c r="W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" t="e">
        <f t="array" ref="Y97">INDEX(tblEnrolledStuds[EStudID],MATCH(tblEnrolledSubjs[[#This Row],[EStudID]]&amp;S97,tblEnrolledStuds[AdmissionStatusID]&amp;tblEnrolledStuds[StudID],0))</f>
        <v>#N/A</v>
      </c>
    </row>
    <row r="98" spans="2:25" x14ac:dyDescent="0.25">
      <c r="B98">
        <v>96</v>
      </c>
      <c r="C98">
        <v>12</v>
      </c>
      <c r="D98">
        <v>50</v>
      </c>
      <c r="P98" t="str">
        <f t="shared" si="1"/>
        <v>(NULL,"12","50"),</v>
      </c>
      <c r="Q98" t="str">
        <f>TextJoin(tblEnrolledSubjs[[#This Row],[CSubjID]:[EStudID]],"Value")</f>
        <v>"12","50"</v>
      </c>
      <c r="S98">
        <f>LOOKUP(LOOKUP(tblEnrolledSubjs[[#This Row],[CSubjID]], tblClassSubjs[CSubjID],tblClassSubjs[ClassID]),tblClasses[ClassID],tblClasses[STermID])</f>
        <v>1</v>
      </c>
      <c r="T98" t="str">
        <f>LOOKUP(S98,tblSchoolTerms[STermID],tblSchoolTerms[SemesterID]&amp;" Semester "&amp;tblSchoolTerms[SchoolYear])</f>
        <v>2 Semester S.Y. 2018-2019</v>
      </c>
      <c r="W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" t="e">
        <f t="array" ref="Y98">INDEX(tblEnrolledStuds[EStudID],MATCH(tblEnrolledSubjs[[#This Row],[EStudID]]&amp;S98,tblEnrolledStuds[AdmissionStatusID]&amp;tblEnrolledStuds[StudID],0))</f>
        <v>#N/A</v>
      </c>
    </row>
    <row r="99" spans="2:25" x14ac:dyDescent="0.25">
      <c r="B99">
        <v>97</v>
      </c>
      <c r="C99">
        <v>12</v>
      </c>
      <c r="D99">
        <v>57</v>
      </c>
      <c r="P99" t="str">
        <f t="shared" si="1"/>
        <v>(NULL,"12","57"),</v>
      </c>
      <c r="Q99" t="str">
        <f>TextJoin(tblEnrolledSubjs[[#This Row],[CSubjID]:[EStudID]],"Value")</f>
        <v>"12","57"</v>
      </c>
      <c r="S99">
        <f>LOOKUP(LOOKUP(tblEnrolledSubjs[[#This Row],[CSubjID]], tblClassSubjs[CSubjID],tblClassSubjs[ClassID]),tblClasses[ClassID],tblClasses[STermID])</f>
        <v>1</v>
      </c>
      <c r="T99" t="str">
        <f>LOOKUP(S99,tblSchoolTerms[STermID],tblSchoolTerms[SemesterID]&amp;" Semester "&amp;tblSchoolTerms[SchoolYear])</f>
        <v>2 Semester S.Y. 2018-2019</v>
      </c>
      <c r="W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" t="e">
        <f t="array" ref="Y99">INDEX(tblEnrolledStuds[EStudID],MATCH(tblEnrolledSubjs[[#This Row],[EStudID]]&amp;S99,tblEnrolledStuds[AdmissionStatusID]&amp;tblEnrolledStuds[StudID],0))</f>
        <v>#N/A</v>
      </c>
    </row>
    <row r="100" spans="2:25" x14ac:dyDescent="0.25">
      <c r="B100">
        <v>98</v>
      </c>
      <c r="C100">
        <v>12</v>
      </c>
      <c r="D100">
        <v>20</v>
      </c>
      <c r="P100" t="str">
        <f t="shared" si="1"/>
        <v>(NULL,"12","20"),</v>
      </c>
      <c r="Q100" t="str">
        <f>TextJoin(tblEnrolledSubjs[[#This Row],[CSubjID]:[EStudID]],"Value")</f>
        <v>"12","20"</v>
      </c>
      <c r="S100">
        <f>LOOKUP(LOOKUP(tblEnrolledSubjs[[#This Row],[CSubjID]], tblClassSubjs[CSubjID],tblClassSubjs[ClassID]),tblClasses[ClassID],tblClasses[STermID])</f>
        <v>1</v>
      </c>
      <c r="T100" t="str">
        <f>LOOKUP(S100,tblSchoolTerms[STermID],tblSchoolTerms[SemesterID]&amp;" Semester "&amp;tblSchoolTerms[SchoolYear])</f>
        <v>2 Semester S.Y. 2018-2019</v>
      </c>
      <c r="W1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" t="e">
        <f t="array" ref="Y100">INDEX(tblEnrolledStuds[EStudID],MATCH(tblEnrolledSubjs[[#This Row],[EStudID]]&amp;S100,tblEnrolledStuds[AdmissionStatusID]&amp;tblEnrolledStuds[StudID],0))</f>
        <v>#N/A</v>
      </c>
    </row>
    <row r="101" spans="2:25" x14ac:dyDescent="0.25">
      <c r="B101">
        <v>99</v>
      </c>
      <c r="C101">
        <v>13</v>
      </c>
      <c r="D101">
        <v>17</v>
      </c>
      <c r="P101" t="str">
        <f t="shared" si="1"/>
        <v>(NULL,"13","17"),</v>
      </c>
      <c r="Q101" t="str">
        <f>TextJoin(tblEnrolledSubjs[[#This Row],[CSubjID]:[EStudID]],"Value")</f>
        <v>"13","17"</v>
      </c>
      <c r="S101">
        <f>LOOKUP(LOOKUP(tblEnrolledSubjs[[#This Row],[CSubjID]], tblClassSubjs[CSubjID],tblClassSubjs[ClassID]),tblClasses[ClassID],tblClasses[STermID])</f>
        <v>1</v>
      </c>
      <c r="T101" t="str">
        <f>LOOKUP(S101,tblSchoolTerms[STermID],tblSchoolTerms[SemesterID]&amp;" Semester "&amp;tblSchoolTerms[SchoolYear])</f>
        <v>2 Semester S.Y. 2018-2019</v>
      </c>
      <c r="W1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" t="e">
        <f t="array" ref="Y101">INDEX(tblEnrolledStuds[EStudID],MATCH(tblEnrolledSubjs[[#This Row],[EStudID]]&amp;S101,tblEnrolledStuds[AdmissionStatusID]&amp;tblEnrolledStuds[StudID],0))</f>
        <v>#N/A</v>
      </c>
    </row>
    <row r="102" spans="2:25" x14ac:dyDescent="0.25">
      <c r="B102">
        <v>100</v>
      </c>
      <c r="C102">
        <v>13</v>
      </c>
      <c r="D102">
        <v>52</v>
      </c>
      <c r="P102" t="str">
        <f t="shared" si="1"/>
        <v>(NULL,"13","52"),</v>
      </c>
      <c r="Q102" t="str">
        <f>TextJoin(tblEnrolledSubjs[[#This Row],[CSubjID]:[EStudID]],"Value")</f>
        <v>"13","52"</v>
      </c>
      <c r="S102">
        <f>LOOKUP(LOOKUP(tblEnrolledSubjs[[#This Row],[CSubjID]], tblClassSubjs[CSubjID],tblClassSubjs[ClassID]),tblClasses[ClassID],tblClasses[STermID])</f>
        <v>1</v>
      </c>
      <c r="T102" t="str">
        <f>LOOKUP(S102,tblSchoolTerms[STermID],tblSchoolTerms[SemesterID]&amp;" Semester "&amp;tblSchoolTerms[SchoolYear])</f>
        <v>2 Semester S.Y. 2018-2019</v>
      </c>
      <c r="W1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" t="e">
        <f t="array" ref="Y102">INDEX(tblEnrolledStuds[EStudID],MATCH(tblEnrolledSubjs[[#This Row],[EStudID]]&amp;S102,tblEnrolledStuds[AdmissionStatusID]&amp;tblEnrolledStuds[StudID],0))</f>
        <v>#N/A</v>
      </c>
    </row>
    <row r="103" spans="2:25" x14ac:dyDescent="0.25">
      <c r="B103">
        <v>101</v>
      </c>
      <c r="C103">
        <v>13</v>
      </c>
      <c r="D103">
        <v>53</v>
      </c>
      <c r="P103" t="str">
        <f t="shared" si="1"/>
        <v>(NULL,"13","53"),</v>
      </c>
      <c r="Q103" t="str">
        <f>TextJoin(tblEnrolledSubjs[[#This Row],[CSubjID]:[EStudID]],"Value")</f>
        <v>"13","53"</v>
      </c>
      <c r="S103">
        <f>LOOKUP(LOOKUP(tblEnrolledSubjs[[#This Row],[CSubjID]], tblClassSubjs[CSubjID],tblClassSubjs[ClassID]),tblClasses[ClassID],tblClasses[STermID])</f>
        <v>1</v>
      </c>
      <c r="T103" t="str">
        <f>LOOKUP(S103,tblSchoolTerms[STermID],tblSchoolTerms[SemesterID]&amp;" Semester "&amp;tblSchoolTerms[SchoolYear])</f>
        <v>2 Semester S.Y. 2018-2019</v>
      </c>
      <c r="W1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" t="e">
        <f t="array" ref="Y103">INDEX(tblEnrolledStuds[EStudID],MATCH(tblEnrolledSubjs[[#This Row],[EStudID]]&amp;S103,tblEnrolledStuds[AdmissionStatusID]&amp;tblEnrolledStuds[StudID],0))</f>
        <v>#N/A</v>
      </c>
    </row>
    <row r="104" spans="2:25" x14ac:dyDescent="0.25">
      <c r="B104">
        <v>102</v>
      </c>
      <c r="C104">
        <v>13</v>
      </c>
      <c r="D104">
        <v>58</v>
      </c>
      <c r="P104" t="str">
        <f t="shared" si="1"/>
        <v>(NULL,"13","58"),</v>
      </c>
      <c r="Q104" t="str">
        <f>TextJoin(tblEnrolledSubjs[[#This Row],[CSubjID]:[EStudID]],"Value")</f>
        <v>"13","58"</v>
      </c>
      <c r="S104">
        <f>LOOKUP(LOOKUP(tblEnrolledSubjs[[#This Row],[CSubjID]], tblClassSubjs[CSubjID],tblClassSubjs[ClassID]),tblClasses[ClassID],tblClasses[STermID])</f>
        <v>1</v>
      </c>
      <c r="T104" t="str">
        <f>LOOKUP(S104,tblSchoolTerms[STermID],tblSchoolTerms[SemesterID]&amp;" Semester "&amp;tblSchoolTerms[SchoolYear])</f>
        <v>2 Semester S.Y. 2018-2019</v>
      </c>
      <c r="W1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" t="e">
        <f t="array" ref="Y104">INDEX(tblEnrolledStuds[EStudID],MATCH(tblEnrolledSubjs[[#This Row],[EStudID]]&amp;S104,tblEnrolledStuds[AdmissionStatusID]&amp;tblEnrolledStuds[StudID],0))</f>
        <v>#N/A</v>
      </c>
    </row>
    <row r="105" spans="2:25" x14ac:dyDescent="0.25">
      <c r="B105">
        <v>103</v>
      </c>
      <c r="C105">
        <v>13</v>
      </c>
      <c r="D105">
        <v>66</v>
      </c>
      <c r="P105" t="str">
        <f t="shared" si="1"/>
        <v>(NULL,"13","66"),</v>
      </c>
      <c r="Q105" t="str">
        <f>TextJoin(tblEnrolledSubjs[[#This Row],[CSubjID]:[EStudID]],"Value")</f>
        <v>"13","66"</v>
      </c>
      <c r="S105">
        <f>LOOKUP(LOOKUP(tblEnrolledSubjs[[#This Row],[CSubjID]], tblClassSubjs[CSubjID],tblClassSubjs[ClassID]),tblClasses[ClassID],tblClasses[STermID])</f>
        <v>1</v>
      </c>
      <c r="T105" t="str">
        <f>LOOKUP(S105,tblSchoolTerms[STermID],tblSchoolTerms[SemesterID]&amp;" Semester "&amp;tblSchoolTerms[SchoolYear])</f>
        <v>2 Semester S.Y. 2018-2019</v>
      </c>
      <c r="W1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" t="e">
        <f t="array" ref="Y105">INDEX(tblEnrolledStuds[EStudID],MATCH(tblEnrolledSubjs[[#This Row],[EStudID]]&amp;S105,tblEnrolledStuds[AdmissionStatusID]&amp;tblEnrolledStuds[StudID],0))</f>
        <v>#N/A</v>
      </c>
    </row>
    <row r="106" spans="2:25" x14ac:dyDescent="0.25">
      <c r="B106">
        <v>104</v>
      </c>
      <c r="C106">
        <v>14</v>
      </c>
      <c r="D106">
        <v>2</v>
      </c>
      <c r="P106" t="str">
        <f t="shared" si="1"/>
        <v>(NULL,"14","2"),</v>
      </c>
      <c r="Q106" t="str">
        <f>TextJoin(tblEnrolledSubjs[[#This Row],[CSubjID]:[EStudID]],"Value")</f>
        <v>"14","2"</v>
      </c>
      <c r="S106">
        <f>LOOKUP(LOOKUP(tblEnrolledSubjs[[#This Row],[CSubjID]], tblClassSubjs[CSubjID],tblClassSubjs[ClassID]),tblClasses[ClassID],tblClasses[STermID])</f>
        <v>1</v>
      </c>
      <c r="T106" t="str">
        <f>LOOKUP(S106,tblSchoolTerms[STermID],tblSchoolTerms[SemesterID]&amp;" Semester "&amp;tblSchoolTerms[SchoolYear])</f>
        <v>2 Semester S.Y. 2018-2019</v>
      </c>
      <c r="W1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">
        <f t="array" ref="Y106">INDEX(tblEnrolledStuds[EStudID],MATCH(tblEnrolledSubjs[[#This Row],[EStudID]]&amp;S106,tblEnrolledStuds[AdmissionStatusID]&amp;tblEnrolledStuds[StudID],0))</f>
        <v>140</v>
      </c>
    </row>
    <row r="107" spans="2:25" x14ac:dyDescent="0.25">
      <c r="B107">
        <v>105</v>
      </c>
      <c r="C107">
        <v>14</v>
      </c>
      <c r="D107">
        <v>6</v>
      </c>
      <c r="P107" t="str">
        <f t="shared" si="1"/>
        <v>(NULL,"14","6"),</v>
      </c>
      <c r="Q107" t="str">
        <f>TextJoin(tblEnrolledSubjs[[#This Row],[CSubjID]:[EStudID]],"Value")</f>
        <v>"14","6"</v>
      </c>
      <c r="S107">
        <f>LOOKUP(LOOKUP(tblEnrolledSubjs[[#This Row],[CSubjID]], tblClassSubjs[CSubjID],tblClassSubjs[ClassID]),tblClasses[ClassID],tblClasses[STermID])</f>
        <v>1</v>
      </c>
      <c r="T107" t="str">
        <f>LOOKUP(S107,tblSchoolTerms[STermID],tblSchoolTerms[SemesterID]&amp;" Semester "&amp;tblSchoolTerms[SchoolYear])</f>
        <v>2 Semester S.Y. 2018-2019</v>
      </c>
      <c r="W1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" t="e">
        <f t="array" ref="Y107">INDEX(tblEnrolledStuds[EStudID],MATCH(tblEnrolledSubjs[[#This Row],[EStudID]]&amp;S107,tblEnrolledStuds[AdmissionStatusID]&amp;tblEnrolledStuds[StudID],0))</f>
        <v>#N/A</v>
      </c>
    </row>
    <row r="108" spans="2:25" x14ac:dyDescent="0.25">
      <c r="B108">
        <v>106</v>
      </c>
      <c r="C108">
        <v>14</v>
      </c>
      <c r="D108">
        <v>8</v>
      </c>
      <c r="P108" t="str">
        <f t="shared" si="1"/>
        <v>(NULL,"14","8"),</v>
      </c>
      <c r="Q108" t="str">
        <f>TextJoin(tblEnrolledSubjs[[#This Row],[CSubjID]:[EStudID]],"Value")</f>
        <v>"14","8"</v>
      </c>
      <c r="S108">
        <f>LOOKUP(LOOKUP(tblEnrolledSubjs[[#This Row],[CSubjID]], tblClassSubjs[CSubjID],tblClassSubjs[ClassID]),tblClasses[ClassID],tblClasses[STermID])</f>
        <v>1</v>
      </c>
      <c r="T108" t="str">
        <f>LOOKUP(S108,tblSchoolTerms[STermID],tblSchoolTerms[SemesterID]&amp;" Semester "&amp;tblSchoolTerms[SchoolYear])</f>
        <v>2 Semester S.Y. 2018-2019</v>
      </c>
      <c r="W1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" t="e">
        <f t="array" ref="Y108">INDEX(tblEnrolledStuds[EStudID],MATCH(tblEnrolledSubjs[[#This Row],[EStudID]]&amp;S108,tblEnrolledStuds[AdmissionStatusID]&amp;tblEnrolledStuds[StudID],0))</f>
        <v>#N/A</v>
      </c>
    </row>
    <row r="109" spans="2:25" x14ac:dyDescent="0.25">
      <c r="B109">
        <v>107</v>
      </c>
      <c r="C109">
        <v>14</v>
      </c>
      <c r="D109">
        <v>9</v>
      </c>
      <c r="P109" t="str">
        <f t="shared" si="1"/>
        <v>(NULL,"14","9"),</v>
      </c>
      <c r="Q109" t="str">
        <f>TextJoin(tblEnrolledSubjs[[#This Row],[CSubjID]:[EStudID]],"Value")</f>
        <v>"14","9"</v>
      </c>
      <c r="S109">
        <f>LOOKUP(LOOKUP(tblEnrolledSubjs[[#This Row],[CSubjID]], tblClassSubjs[CSubjID],tblClassSubjs[ClassID]),tblClasses[ClassID],tblClasses[STermID])</f>
        <v>1</v>
      </c>
      <c r="T109" t="str">
        <f>LOOKUP(S109,tblSchoolTerms[STermID],tblSchoolTerms[SemesterID]&amp;" Semester "&amp;tblSchoolTerms[SchoolYear])</f>
        <v>2 Semester S.Y. 2018-2019</v>
      </c>
      <c r="W1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" t="e">
        <f t="array" ref="Y109">INDEX(tblEnrolledStuds[EStudID],MATCH(tblEnrolledSubjs[[#This Row],[EStudID]]&amp;S109,tblEnrolledStuds[AdmissionStatusID]&amp;tblEnrolledStuds[StudID],0))</f>
        <v>#N/A</v>
      </c>
    </row>
    <row r="110" spans="2:25" x14ac:dyDescent="0.25">
      <c r="B110">
        <v>108</v>
      </c>
      <c r="C110">
        <v>14</v>
      </c>
      <c r="D110">
        <v>13</v>
      </c>
      <c r="P110" t="str">
        <f t="shared" si="1"/>
        <v>(NULL,"14","13"),</v>
      </c>
      <c r="Q110" t="str">
        <f>TextJoin(tblEnrolledSubjs[[#This Row],[CSubjID]:[EStudID]],"Value")</f>
        <v>"14","13"</v>
      </c>
      <c r="S110">
        <f>LOOKUP(LOOKUP(tblEnrolledSubjs[[#This Row],[CSubjID]], tblClassSubjs[CSubjID],tblClassSubjs[ClassID]),tblClasses[ClassID],tblClasses[STermID])</f>
        <v>1</v>
      </c>
      <c r="T110" t="str">
        <f>LOOKUP(S110,tblSchoolTerms[STermID],tblSchoolTerms[SemesterID]&amp;" Semester "&amp;tblSchoolTerms[SchoolYear])</f>
        <v>2 Semester S.Y. 2018-2019</v>
      </c>
      <c r="W1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" t="e">
        <f t="array" ref="Y110">INDEX(tblEnrolledStuds[EStudID],MATCH(tblEnrolledSubjs[[#This Row],[EStudID]]&amp;S110,tblEnrolledStuds[AdmissionStatusID]&amp;tblEnrolledStuds[StudID],0))</f>
        <v>#N/A</v>
      </c>
    </row>
    <row r="111" spans="2:25" x14ac:dyDescent="0.25">
      <c r="B111">
        <v>109</v>
      </c>
      <c r="C111">
        <v>14</v>
      </c>
      <c r="D111">
        <v>14</v>
      </c>
      <c r="P111" t="str">
        <f t="shared" si="1"/>
        <v>(NULL,"14","14"),</v>
      </c>
      <c r="Q111" t="str">
        <f>TextJoin(tblEnrolledSubjs[[#This Row],[CSubjID]:[EStudID]],"Value")</f>
        <v>"14","14"</v>
      </c>
      <c r="S111">
        <f>LOOKUP(LOOKUP(tblEnrolledSubjs[[#This Row],[CSubjID]], tblClassSubjs[CSubjID],tblClassSubjs[ClassID]),tblClasses[ClassID],tblClasses[STermID])</f>
        <v>1</v>
      </c>
      <c r="T111" t="str">
        <f>LOOKUP(S111,tblSchoolTerms[STermID],tblSchoolTerms[SemesterID]&amp;" Semester "&amp;tblSchoolTerms[SchoolYear])</f>
        <v>2 Semester S.Y. 2018-2019</v>
      </c>
      <c r="W1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" t="e">
        <f t="array" ref="Y111">INDEX(tblEnrolledStuds[EStudID],MATCH(tblEnrolledSubjs[[#This Row],[EStudID]]&amp;S111,tblEnrolledStuds[AdmissionStatusID]&amp;tblEnrolledStuds[StudID],0))</f>
        <v>#N/A</v>
      </c>
    </row>
    <row r="112" spans="2:25" x14ac:dyDescent="0.25">
      <c r="B112">
        <v>110</v>
      </c>
      <c r="C112">
        <v>14</v>
      </c>
      <c r="D112">
        <v>15</v>
      </c>
      <c r="P112" t="str">
        <f t="shared" si="1"/>
        <v>(NULL,"14","15"),</v>
      </c>
      <c r="Q112" t="str">
        <f>TextJoin(tblEnrolledSubjs[[#This Row],[CSubjID]:[EStudID]],"Value")</f>
        <v>"14","15"</v>
      </c>
      <c r="S112">
        <f>LOOKUP(LOOKUP(tblEnrolledSubjs[[#This Row],[CSubjID]], tblClassSubjs[CSubjID],tblClassSubjs[ClassID]),tblClasses[ClassID],tblClasses[STermID])</f>
        <v>1</v>
      </c>
      <c r="T112" t="str">
        <f>LOOKUP(S112,tblSchoolTerms[STermID],tblSchoolTerms[SemesterID]&amp;" Semester "&amp;tblSchoolTerms[SchoolYear])</f>
        <v>2 Semester S.Y. 2018-2019</v>
      </c>
      <c r="W1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2" t="e">
        <f t="array" ref="Y112">INDEX(tblEnrolledStuds[EStudID],MATCH(tblEnrolledSubjs[[#This Row],[EStudID]]&amp;S112,tblEnrolledStuds[AdmissionStatusID]&amp;tblEnrolledStuds[StudID],0))</f>
        <v>#N/A</v>
      </c>
    </row>
    <row r="113" spans="2:25" x14ac:dyDescent="0.25">
      <c r="B113">
        <v>111</v>
      </c>
      <c r="C113">
        <v>14</v>
      </c>
      <c r="D113">
        <v>21</v>
      </c>
      <c r="P113" t="str">
        <f t="shared" si="1"/>
        <v>(NULL,"14","21"),</v>
      </c>
      <c r="Q113" t="str">
        <f>TextJoin(tblEnrolledSubjs[[#This Row],[CSubjID]:[EStudID]],"Value")</f>
        <v>"14","21"</v>
      </c>
      <c r="S113">
        <f>LOOKUP(LOOKUP(tblEnrolledSubjs[[#This Row],[CSubjID]], tblClassSubjs[CSubjID],tblClassSubjs[ClassID]),tblClasses[ClassID],tblClasses[STermID])</f>
        <v>1</v>
      </c>
      <c r="T113" t="str">
        <f>LOOKUP(S113,tblSchoolTerms[STermID],tblSchoolTerms[SemesterID]&amp;" Semester "&amp;tblSchoolTerms[SchoolYear])</f>
        <v>2 Semester S.Y. 2018-2019</v>
      </c>
      <c r="W1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" t="e">
        <f t="array" ref="Y113">INDEX(tblEnrolledStuds[EStudID],MATCH(tblEnrolledSubjs[[#This Row],[EStudID]]&amp;S113,tblEnrolledStuds[AdmissionStatusID]&amp;tblEnrolledStuds[StudID],0))</f>
        <v>#N/A</v>
      </c>
    </row>
    <row r="114" spans="2:25" x14ac:dyDescent="0.25">
      <c r="B114">
        <v>112</v>
      </c>
      <c r="C114">
        <v>14</v>
      </c>
      <c r="D114">
        <v>24</v>
      </c>
      <c r="P114" t="str">
        <f t="shared" si="1"/>
        <v>(NULL,"14","24"),</v>
      </c>
      <c r="Q114" t="str">
        <f>TextJoin(tblEnrolledSubjs[[#This Row],[CSubjID]:[EStudID]],"Value")</f>
        <v>"14","24"</v>
      </c>
      <c r="S114">
        <f>LOOKUP(LOOKUP(tblEnrolledSubjs[[#This Row],[CSubjID]], tblClassSubjs[CSubjID],tblClassSubjs[ClassID]),tblClasses[ClassID],tblClasses[STermID])</f>
        <v>1</v>
      </c>
      <c r="T114" t="str">
        <f>LOOKUP(S114,tblSchoolTerms[STermID],tblSchoolTerms[SemesterID]&amp;" Semester "&amp;tblSchoolTerms[SchoolYear])</f>
        <v>2 Semester S.Y. 2018-2019</v>
      </c>
      <c r="W1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" t="e">
        <f t="array" ref="Y114">INDEX(tblEnrolledStuds[EStudID],MATCH(tblEnrolledSubjs[[#This Row],[EStudID]]&amp;S114,tblEnrolledStuds[AdmissionStatusID]&amp;tblEnrolledStuds[StudID],0))</f>
        <v>#N/A</v>
      </c>
    </row>
    <row r="115" spans="2:25" x14ac:dyDescent="0.25">
      <c r="B115">
        <v>113</v>
      </c>
      <c r="C115">
        <v>14</v>
      </c>
      <c r="D115">
        <v>36</v>
      </c>
      <c r="P115" t="str">
        <f t="shared" si="1"/>
        <v>(NULL,"14","36"),</v>
      </c>
      <c r="Q115" t="str">
        <f>TextJoin(tblEnrolledSubjs[[#This Row],[CSubjID]:[EStudID]],"Value")</f>
        <v>"14","36"</v>
      </c>
      <c r="S115">
        <f>LOOKUP(LOOKUP(tblEnrolledSubjs[[#This Row],[CSubjID]], tblClassSubjs[CSubjID],tblClassSubjs[ClassID]),tblClasses[ClassID],tblClasses[STermID])</f>
        <v>1</v>
      </c>
      <c r="T115" t="str">
        <f>LOOKUP(S115,tblSchoolTerms[STermID],tblSchoolTerms[SemesterID]&amp;" Semester "&amp;tblSchoolTerms[SchoolYear])</f>
        <v>2 Semester S.Y. 2018-2019</v>
      </c>
      <c r="W1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">
        <f t="array" ref="Y115">INDEX(tblEnrolledStuds[EStudID],MATCH(tblEnrolledSubjs[[#This Row],[EStudID]]&amp;S115,tblEnrolledStuds[AdmissionStatusID]&amp;tblEnrolledStuds[StudID],0))</f>
        <v>61</v>
      </c>
    </row>
    <row r="116" spans="2:25" x14ac:dyDescent="0.25">
      <c r="B116">
        <v>114</v>
      </c>
      <c r="C116">
        <v>14</v>
      </c>
      <c r="D116">
        <v>44</v>
      </c>
      <c r="P116" t="str">
        <f t="shared" si="1"/>
        <v>(NULL,"14","44"),</v>
      </c>
      <c r="Q116" t="str">
        <f>TextJoin(tblEnrolledSubjs[[#This Row],[CSubjID]:[EStudID]],"Value")</f>
        <v>"14","44"</v>
      </c>
      <c r="S116">
        <f>LOOKUP(LOOKUP(tblEnrolledSubjs[[#This Row],[CSubjID]], tblClassSubjs[CSubjID],tblClassSubjs[ClassID]),tblClasses[ClassID],tblClasses[STermID])</f>
        <v>1</v>
      </c>
      <c r="T116" t="str">
        <f>LOOKUP(S116,tblSchoolTerms[STermID],tblSchoolTerms[SemesterID]&amp;" Semester "&amp;tblSchoolTerms[SchoolYear])</f>
        <v>2 Semester S.Y. 2018-2019</v>
      </c>
      <c r="W1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" t="e">
        <f t="array" ref="Y116">INDEX(tblEnrolledStuds[EStudID],MATCH(tblEnrolledSubjs[[#This Row],[EStudID]]&amp;S116,tblEnrolledStuds[AdmissionStatusID]&amp;tblEnrolledStuds[StudID],0))</f>
        <v>#N/A</v>
      </c>
    </row>
    <row r="117" spans="2:25" x14ac:dyDescent="0.25">
      <c r="B117">
        <v>115</v>
      </c>
      <c r="C117">
        <v>14</v>
      </c>
      <c r="D117">
        <v>45</v>
      </c>
      <c r="P117" t="str">
        <f t="shared" si="1"/>
        <v>(NULL,"14","45"),</v>
      </c>
      <c r="Q117" t="str">
        <f>TextJoin(tblEnrolledSubjs[[#This Row],[CSubjID]:[EStudID]],"Value")</f>
        <v>"14","45"</v>
      </c>
      <c r="S117">
        <f>LOOKUP(LOOKUP(tblEnrolledSubjs[[#This Row],[CSubjID]], tblClassSubjs[CSubjID],tblClassSubjs[ClassID]),tblClasses[ClassID],tblClasses[STermID])</f>
        <v>1</v>
      </c>
      <c r="T117" t="str">
        <f>LOOKUP(S117,tblSchoolTerms[STermID],tblSchoolTerms[SemesterID]&amp;" Semester "&amp;tblSchoolTerms[SchoolYear])</f>
        <v>2 Semester S.Y. 2018-2019</v>
      </c>
      <c r="W1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" t="e">
        <f t="array" ref="Y117">INDEX(tblEnrolledStuds[EStudID],MATCH(tblEnrolledSubjs[[#This Row],[EStudID]]&amp;S117,tblEnrolledStuds[AdmissionStatusID]&amp;tblEnrolledStuds[StudID],0))</f>
        <v>#N/A</v>
      </c>
    </row>
    <row r="118" spans="2:25" x14ac:dyDescent="0.25">
      <c r="B118">
        <v>116</v>
      </c>
      <c r="C118">
        <v>14</v>
      </c>
      <c r="D118">
        <v>49</v>
      </c>
      <c r="P118" t="str">
        <f t="shared" si="1"/>
        <v>(NULL,"14","49"),</v>
      </c>
      <c r="Q118" t="str">
        <f>TextJoin(tblEnrolledSubjs[[#This Row],[CSubjID]:[EStudID]],"Value")</f>
        <v>"14","49"</v>
      </c>
      <c r="S118">
        <f>LOOKUP(LOOKUP(tblEnrolledSubjs[[#This Row],[CSubjID]], tblClassSubjs[CSubjID],tblClassSubjs[ClassID]),tblClasses[ClassID],tblClasses[STermID])</f>
        <v>1</v>
      </c>
      <c r="T118" t="str">
        <f>LOOKUP(S118,tblSchoolTerms[STermID],tblSchoolTerms[SemesterID]&amp;" Semester "&amp;tblSchoolTerms[SchoolYear])</f>
        <v>2 Semester S.Y. 2018-2019</v>
      </c>
      <c r="W1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" t="e">
        <f t="array" ref="Y118">INDEX(tblEnrolledStuds[EStudID],MATCH(tblEnrolledSubjs[[#This Row],[EStudID]]&amp;S118,tblEnrolledStuds[AdmissionStatusID]&amp;tblEnrolledStuds[StudID],0))</f>
        <v>#N/A</v>
      </c>
    </row>
    <row r="119" spans="2:25" x14ac:dyDescent="0.25">
      <c r="B119">
        <v>117</v>
      </c>
      <c r="C119">
        <v>14</v>
      </c>
      <c r="D119">
        <v>55</v>
      </c>
      <c r="P119" t="str">
        <f t="shared" si="1"/>
        <v>(NULL,"14","55"),</v>
      </c>
      <c r="Q119" t="str">
        <f>TextJoin(tblEnrolledSubjs[[#This Row],[CSubjID]:[EStudID]],"Value")</f>
        <v>"14","55"</v>
      </c>
      <c r="S119">
        <f>LOOKUP(LOOKUP(tblEnrolledSubjs[[#This Row],[CSubjID]], tblClassSubjs[CSubjID],tblClassSubjs[ClassID]),tblClasses[ClassID],tblClasses[STermID])</f>
        <v>1</v>
      </c>
      <c r="T119" t="str">
        <f>LOOKUP(S119,tblSchoolTerms[STermID],tblSchoolTerms[SemesterID]&amp;" Semester "&amp;tblSchoolTerms[SchoolYear])</f>
        <v>2 Semester S.Y. 2018-2019</v>
      </c>
      <c r="W1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" t="e">
        <f t="array" ref="Y119">INDEX(tblEnrolledStuds[EStudID],MATCH(tblEnrolledSubjs[[#This Row],[EStudID]]&amp;S119,tblEnrolledStuds[AdmissionStatusID]&amp;tblEnrolledStuds[StudID],0))</f>
        <v>#N/A</v>
      </c>
    </row>
    <row r="120" spans="2:25" x14ac:dyDescent="0.25">
      <c r="B120">
        <v>118</v>
      </c>
      <c r="C120">
        <v>14</v>
      </c>
      <c r="D120">
        <v>60</v>
      </c>
      <c r="P120" t="str">
        <f t="shared" si="1"/>
        <v>(NULL,"14","60"),</v>
      </c>
      <c r="Q120" t="str">
        <f>TextJoin(tblEnrolledSubjs[[#This Row],[CSubjID]:[EStudID]],"Value")</f>
        <v>"14","60"</v>
      </c>
      <c r="S120">
        <f>LOOKUP(LOOKUP(tblEnrolledSubjs[[#This Row],[CSubjID]], tblClassSubjs[CSubjID],tblClassSubjs[ClassID]),tblClasses[ClassID],tblClasses[STermID])</f>
        <v>1</v>
      </c>
      <c r="T120" t="str">
        <f>LOOKUP(S120,tblSchoolTerms[STermID],tblSchoolTerms[SemesterID]&amp;" Semester "&amp;tblSchoolTerms[SchoolYear])</f>
        <v>2 Semester S.Y. 2018-2019</v>
      </c>
      <c r="W1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" t="e">
        <f t="array" ref="Y120">INDEX(tblEnrolledStuds[EStudID],MATCH(tblEnrolledSubjs[[#This Row],[EStudID]]&amp;S120,tblEnrolledStuds[AdmissionStatusID]&amp;tblEnrolledStuds[StudID],0))</f>
        <v>#N/A</v>
      </c>
    </row>
    <row r="121" spans="2:25" x14ac:dyDescent="0.25">
      <c r="B121">
        <v>119</v>
      </c>
      <c r="C121">
        <v>14</v>
      </c>
      <c r="D121">
        <v>61</v>
      </c>
      <c r="P121" t="str">
        <f t="shared" si="1"/>
        <v>(NULL,"14","61"),</v>
      </c>
      <c r="Q121" t="str">
        <f>TextJoin(tblEnrolledSubjs[[#This Row],[CSubjID]:[EStudID]],"Value")</f>
        <v>"14","61"</v>
      </c>
      <c r="S121">
        <f>LOOKUP(LOOKUP(tblEnrolledSubjs[[#This Row],[CSubjID]], tblClassSubjs[CSubjID],tblClassSubjs[ClassID]),tblClasses[ClassID],tblClasses[STermID])</f>
        <v>1</v>
      </c>
      <c r="T121" t="str">
        <f>LOOKUP(S121,tblSchoolTerms[STermID],tblSchoolTerms[SemesterID]&amp;" Semester "&amp;tblSchoolTerms[SchoolYear])</f>
        <v>2 Semester S.Y. 2018-2019</v>
      </c>
      <c r="W1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" t="e">
        <f t="array" ref="Y121">INDEX(tblEnrolledStuds[EStudID],MATCH(tblEnrolledSubjs[[#This Row],[EStudID]]&amp;S121,tblEnrolledStuds[AdmissionStatusID]&amp;tblEnrolledStuds[StudID],0))</f>
        <v>#N/A</v>
      </c>
    </row>
    <row r="122" spans="2:25" x14ac:dyDescent="0.25">
      <c r="B122">
        <v>120</v>
      </c>
      <c r="C122">
        <v>14</v>
      </c>
      <c r="D122">
        <v>62</v>
      </c>
      <c r="P122" t="str">
        <f t="shared" si="1"/>
        <v>(NULL,"14","62"),</v>
      </c>
      <c r="Q122" t="str">
        <f>TextJoin(tblEnrolledSubjs[[#This Row],[CSubjID]:[EStudID]],"Value")</f>
        <v>"14","62"</v>
      </c>
      <c r="S122">
        <f>LOOKUP(LOOKUP(tblEnrolledSubjs[[#This Row],[CSubjID]], tblClassSubjs[CSubjID],tblClassSubjs[ClassID]),tblClasses[ClassID],tblClasses[STermID])</f>
        <v>1</v>
      </c>
      <c r="T122" t="str">
        <f>LOOKUP(S122,tblSchoolTerms[STermID],tblSchoolTerms[SemesterID]&amp;" Semester "&amp;tblSchoolTerms[SchoolYear])</f>
        <v>2 Semester S.Y. 2018-2019</v>
      </c>
      <c r="W1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" t="e">
        <f t="array" ref="Y122">INDEX(tblEnrolledStuds[EStudID],MATCH(tblEnrolledSubjs[[#This Row],[EStudID]]&amp;S122,tblEnrolledStuds[AdmissionStatusID]&amp;tblEnrolledStuds[StudID],0))</f>
        <v>#N/A</v>
      </c>
    </row>
    <row r="123" spans="2:25" x14ac:dyDescent="0.25">
      <c r="B123">
        <v>121</v>
      </c>
      <c r="C123">
        <v>14</v>
      </c>
      <c r="D123">
        <v>64</v>
      </c>
      <c r="P123" t="str">
        <f t="shared" si="1"/>
        <v>(NULL,"14","64"),</v>
      </c>
      <c r="Q123" t="str">
        <f>TextJoin(tblEnrolledSubjs[[#This Row],[CSubjID]:[EStudID]],"Value")</f>
        <v>"14","64"</v>
      </c>
      <c r="S123">
        <f>LOOKUP(LOOKUP(tblEnrolledSubjs[[#This Row],[CSubjID]], tblClassSubjs[CSubjID],tblClassSubjs[ClassID]),tblClasses[ClassID],tblClasses[STermID])</f>
        <v>1</v>
      </c>
      <c r="T123" t="str">
        <f>LOOKUP(S123,tblSchoolTerms[STermID],tblSchoolTerms[SemesterID]&amp;" Semester "&amp;tblSchoolTerms[SchoolYear])</f>
        <v>2 Semester S.Y. 2018-2019</v>
      </c>
      <c r="W1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" t="e">
        <f t="array" ref="Y123">INDEX(tblEnrolledStuds[EStudID],MATCH(tblEnrolledSubjs[[#This Row],[EStudID]]&amp;S123,tblEnrolledStuds[AdmissionStatusID]&amp;tblEnrolledStuds[StudID],0))</f>
        <v>#N/A</v>
      </c>
    </row>
    <row r="124" spans="2:25" x14ac:dyDescent="0.25">
      <c r="B124">
        <v>122</v>
      </c>
      <c r="C124">
        <v>15</v>
      </c>
      <c r="D124">
        <v>17</v>
      </c>
      <c r="P124" t="str">
        <f t="shared" si="1"/>
        <v>(NULL,"15","17"),</v>
      </c>
      <c r="Q124" t="str">
        <f>TextJoin(tblEnrolledSubjs[[#This Row],[CSubjID]:[EStudID]],"Value")</f>
        <v>"15","17"</v>
      </c>
      <c r="S124">
        <f>LOOKUP(LOOKUP(tblEnrolledSubjs[[#This Row],[CSubjID]], tblClassSubjs[CSubjID],tblClassSubjs[ClassID]),tblClasses[ClassID],tblClasses[STermID])</f>
        <v>1</v>
      </c>
      <c r="T124" t="str">
        <f>LOOKUP(S124,tblSchoolTerms[STermID],tblSchoolTerms[SemesterID]&amp;" Semester "&amp;tblSchoolTerms[SchoolYear])</f>
        <v>2 Semester S.Y. 2018-2019</v>
      </c>
      <c r="W1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4" t="e">
        <f t="array" ref="Y124">INDEX(tblEnrolledStuds[EStudID],MATCH(tblEnrolledSubjs[[#This Row],[EStudID]]&amp;S124,tblEnrolledStuds[AdmissionStatusID]&amp;tblEnrolledStuds[StudID],0))</f>
        <v>#N/A</v>
      </c>
    </row>
    <row r="125" spans="2:25" x14ac:dyDescent="0.25">
      <c r="B125">
        <v>123</v>
      </c>
      <c r="C125">
        <v>15</v>
      </c>
      <c r="D125">
        <v>52</v>
      </c>
      <c r="P125" t="str">
        <f t="shared" si="1"/>
        <v>(NULL,"15","52"),</v>
      </c>
      <c r="Q125" t="str">
        <f>TextJoin(tblEnrolledSubjs[[#This Row],[CSubjID]:[EStudID]],"Value")</f>
        <v>"15","52"</v>
      </c>
      <c r="S125">
        <f>LOOKUP(LOOKUP(tblEnrolledSubjs[[#This Row],[CSubjID]], tblClassSubjs[CSubjID],tblClassSubjs[ClassID]),tblClasses[ClassID],tblClasses[STermID])</f>
        <v>1</v>
      </c>
      <c r="T125" t="str">
        <f>LOOKUP(S125,tblSchoolTerms[STermID],tblSchoolTerms[SemesterID]&amp;" Semester "&amp;tblSchoolTerms[SchoolYear])</f>
        <v>2 Semester S.Y. 2018-2019</v>
      </c>
      <c r="W1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" t="e">
        <f t="array" ref="Y125">INDEX(tblEnrolledStuds[EStudID],MATCH(tblEnrolledSubjs[[#This Row],[EStudID]]&amp;S125,tblEnrolledStuds[AdmissionStatusID]&amp;tblEnrolledStuds[StudID],0))</f>
        <v>#N/A</v>
      </c>
    </row>
    <row r="126" spans="2:25" x14ac:dyDescent="0.25">
      <c r="B126">
        <v>124</v>
      </c>
      <c r="C126">
        <v>15</v>
      </c>
      <c r="D126">
        <v>53</v>
      </c>
      <c r="P126" t="str">
        <f t="shared" si="1"/>
        <v>(NULL,"15","53"),</v>
      </c>
      <c r="Q126" t="str">
        <f>TextJoin(tblEnrolledSubjs[[#This Row],[CSubjID]:[EStudID]],"Value")</f>
        <v>"15","53"</v>
      </c>
      <c r="S126">
        <f>LOOKUP(LOOKUP(tblEnrolledSubjs[[#This Row],[CSubjID]], tblClassSubjs[CSubjID],tblClassSubjs[ClassID]),tblClasses[ClassID],tblClasses[STermID])</f>
        <v>1</v>
      </c>
      <c r="T126" t="str">
        <f>LOOKUP(S126,tblSchoolTerms[STermID],tblSchoolTerms[SemesterID]&amp;" Semester "&amp;tblSchoolTerms[SchoolYear])</f>
        <v>2 Semester S.Y. 2018-2019</v>
      </c>
      <c r="W1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" t="e">
        <f t="array" ref="Y126">INDEX(tblEnrolledStuds[EStudID],MATCH(tblEnrolledSubjs[[#This Row],[EStudID]]&amp;S126,tblEnrolledStuds[AdmissionStatusID]&amp;tblEnrolledStuds[StudID],0))</f>
        <v>#N/A</v>
      </c>
    </row>
    <row r="127" spans="2:25" x14ac:dyDescent="0.25">
      <c r="B127">
        <v>125</v>
      </c>
      <c r="C127">
        <v>15</v>
      </c>
      <c r="D127">
        <v>58</v>
      </c>
      <c r="P127" t="str">
        <f t="shared" si="1"/>
        <v>(NULL,"15","58"),</v>
      </c>
      <c r="Q127" t="str">
        <f>TextJoin(tblEnrolledSubjs[[#This Row],[CSubjID]:[EStudID]],"Value")</f>
        <v>"15","58"</v>
      </c>
      <c r="S127">
        <f>LOOKUP(LOOKUP(tblEnrolledSubjs[[#This Row],[CSubjID]], tblClassSubjs[CSubjID],tblClassSubjs[ClassID]),tblClasses[ClassID],tblClasses[STermID])</f>
        <v>1</v>
      </c>
      <c r="T127" t="str">
        <f>LOOKUP(S127,tblSchoolTerms[STermID],tblSchoolTerms[SemesterID]&amp;" Semester "&amp;tblSchoolTerms[SchoolYear])</f>
        <v>2 Semester S.Y. 2018-2019</v>
      </c>
      <c r="W1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7" t="e">
        <f t="array" ref="Y127">INDEX(tblEnrolledStuds[EStudID],MATCH(tblEnrolledSubjs[[#This Row],[EStudID]]&amp;S127,tblEnrolledStuds[AdmissionStatusID]&amp;tblEnrolledStuds[StudID],0))</f>
        <v>#N/A</v>
      </c>
    </row>
    <row r="128" spans="2:25" x14ac:dyDescent="0.25">
      <c r="B128">
        <v>126</v>
      </c>
      <c r="C128">
        <v>15</v>
      </c>
      <c r="D128">
        <v>66</v>
      </c>
      <c r="P128" t="str">
        <f t="shared" si="1"/>
        <v>(NULL,"15","66"),</v>
      </c>
      <c r="Q128" t="str">
        <f>TextJoin(tblEnrolledSubjs[[#This Row],[CSubjID]:[EStudID]],"Value")</f>
        <v>"15","66"</v>
      </c>
      <c r="S128">
        <f>LOOKUP(LOOKUP(tblEnrolledSubjs[[#This Row],[CSubjID]], tblClassSubjs[CSubjID],tblClassSubjs[ClassID]),tblClasses[ClassID],tblClasses[STermID])</f>
        <v>1</v>
      </c>
      <c r="T128" t="str">
        <f>LOOKUP(S128,tblSchoolTerms[STermID],tblSchoolTerms[SemesterID]&amp;" Semester "&amp;tblSchoolTerms[SchoolYear])</f>
        <v>2 Semester S.Y. 2018-2019</v>
      </c>
      <c r="W1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" t="e">
        <f t="array" ref="Y128">INDEX(tblEnrolledStuds[EStudID],MATCH(tblEnrolledSubjs[[#This Row],[EStudID]]&amp;S128,tblEnrolledStuds[AdmissionStatusID]&amp;tblEnrolledStuds[StudID],0))</f>
        <v>#N/A</v>
      </c>
    </row>
    <row r="129" spans="2:25" x14ac:dyDescent="0.25">
      <c r="B129">
        <v>127</v>
      </c>
      <c r="C129">
        <v>16</v>
      </c>
      <c r="D129">
        <v>2</v>
      </c>
      <c r="P129" t="str">
        <f t="shared" si="1"/>
        <v>(NULL,"16","2"),</v>
      </c>
      <c r="Q129" t="str">
        <f>TextJoin(tblEnrolledSubjs[[#This Row],[CSubjID]:[EStudID]],"Value")</f>
        <v>"16","2"</v>
      </c>
      <c r="S129">
        <f>LOOKUP(LOOKUP(tblEnrolledSubjs[[#This Row],[CSubjID]], tblClassSubjs[CSubjID],tblClassSubjs[ClassID]),tblClasses[ClassID],tblClasses[STermID])</f>
        <v>1</v>
      </c>
      <c r="T129" t="str">
        <f>LOOKUP(S129,tblSchoolTerms[STermID],tblSchoolTerms[SemesterID]&amp;" Semester "&amp;tblSchoolTerms[SchoolYear])</f>
        <v>2 Semester S.Y. 2018-2019</v>
      </c>
      <c r="W1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">
        <f t="array" ref="Y129">INDEX(tblEnrolledStuds[EStudID],MATCH(tblEnrolledSubjs[[#This Row],[EStudID]]&amp;S129,tblEnrolledStuds[AdmissionStatusID]&amp;tblEnrolledStuds[StudID],0))</f>
        <v>140</v>
      </c>
    </row>
    <row r="130" spans="2:25" x14ac:dyDescent="0.25">
      <c r="B130">
        <v>128</v>
      </c>
      <c r="C130">
        <v>16</v>
      </c>
      <c r="D130">
        <v>6</v>
      </c>
      <c r="P130" t="str">
        <f t="shared" si="1"/>
        <v>(NULL,"16","6"),</v>
      </c>
      <c r="Q130" t="str">
        <f>TextJoin(tblEnrolledSubjs[[#This Row],[CSubjID]:[EStudID]],"Value")</f>
        <v>"16","6"</v>
      </c>
      <c r="S130">
        <f>LOOKUP(LOOKUP(tblEnrolledSubjs[[#This Row],[CSubjID]], tblClassSubjs[CSubjID],tblClassSubjs[ClassID]),tblClasses[ClassID],tblClasses[STermID])</f>
        <v>1</v>
      </c>
      <c r="T130" t="str">
        <f>LOOKUP(S130,tblSchoolTerms[STermID],tblSchoolTerms[SemesterID]&amp;" Semester "&amp;tblSchoolTerms[SchoolYear])</f>
        <v>2 Semester S.Y. 2018-2019</v>
      </c>
      <c r="W1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0" t="e">
        <f t="array" ref="Y130">INDEX(tblEnrolledStuds[EStudID],MATCH(tblEnrolledSubjs[[#This Row],[EStudID]]&amp;S130,tblEnrolledStuds[AdmissionStatusID]&amp;tblEnrolledStuds[StudID],0))</f>
        <v>#N/A</v>
      </c>
    </row>
    <row r="131" spans="2:25" x14ac:dyDescent="0.25">
      <c r="B131">
        <v>129</v>
      </c>
      <c r="C131">
        <v>16</v>
      </c>
      <c r="D131">
        <v>8</v>
      </c>
      <c r="P131" t="str">
        <f t="shared" si="1"/>
        <v>(NULL,"16","8"),</v>
      </c>
      <c r="Q131" t="str">
        <f>TextJoin(tblEnrolledSubjs[[#This Row],[CSubjID]:[EStudID]],"Value")</f>
        <v>"16","8"</v>
      </c>
      <c r="S131">
        <f>LOOKUP(LOOKUP(tblEnrolledSubjs[[#This Row],[CSubjID]], tblClassSubjs[CSubjID],tblClassSubjs[ClassID]),tblClasses[ClassID],tblClasses[STermID])</f>
        <v>1</v>
      </c>
      <c r="T131" t="str">
        <f>LOOKUP(S131,tblSchoolTerms[STermID],tblSchoolTerms[SemesterID]&amp;" Semester "&amp;tblSchoolTerms[SchoolYear])</f>
        <v>2 Semester S.Y. 2018-2019</v>
      </c>
      <c r="W1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" t="e">
        <f t="array" ref="Y131">INDEX(tblEnrolledStuds[EStudID],MATCH(tblEnrolledSubjs[[#This Row],[EStudID]]&amp;S131,tblEnrolledStuds[AdmissionStatusID]&amp;tblEnrolledStuds[StudID],0))</f>
        <v>#N/A</v>
      </c>
    </row>
    <row r="132" spans="2:25" x14ac:dyDescent="0.25">
      <c r="B132">
        <v>130</v>
      </c>
      <c r="C132">
        <v>16</v>
      </c>
      <c r="D132">
        <v>9</v>
      </c>
      <c r="P132" t="str">
        <f t="shared" ref="P132:P195" si="2">"(NULL,"&amp;Q132&amp;")"&amp;IF(P133&lt;&gt;"",",",";")</f>
        <v>(NULL,"16","9"),</v>
      </c>
      <c r="Q132" t="str">
        <f>TextJoin(tblEnrolledSubjs[[#This Row],[CSubjID]:[EStudID]],"Value")</f>
        <v>"16","9"</v>
      </c>
      <c r="S132">
        <f>LOOKUP(LOOKUP(tblEnrolledSubjs[[#This Row],[CSubjID]], tblClassSubjs[CSubjID],tblClassSubjs[ClassID]),tblClasses[ClassID],tblClasses[STermID])</f>
        <v>1</v>
      </c>
      <c r="T132" t="str">
        <f>LOOKUP(S132,tblSchoolTerms[STermID],tblSchoolTerms[SemesterID]&amp;" Semester "&amp;tblSchoolTerms[SchoolYear])</f>
        <v>2 Semester S.Y. 2018-2019</v>
      </c>
      <c r="W1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2" t="e">
        <f t="array" ref="Y132">INDEX(tblEnrolledStuds[EStudID],MATCH(tblEnrolledSubjs[[#This Row],[EStudID]]&amp;S132,tblEnrolledStuds[AdmissionStatusID]&amp;tblEnrolledStuds[StudID],0))</f>
        <v>#N/A</v>
      </c>
    </row>
    <row r="133" spans="2:25" x14ac:dyDescent="0.25">
      <c r="B133">
        <v>131</v>
      </c>
      <c r="C133">
        <v>16</v>
      </c>
      <c r="D133">
        <v>13</v>
      </c>
      <c r="P133" t="str">
        <f t="shared" si="2"/>
        <v>(NULL,"16","13"),</v>
      </c>
      <c r="Q133" t="str">
        <f>TextJoin(tblEnrolledSubjs[[#This Row],[CSubjID]:[EStudID]],"Value")</f>
        <v>"16","13"</v>
      </c>
      <c r="S133">
        <f>LOOKUP(LOOKUP(tblEnrolledSubjs[[#This Row],[CSubjID]], tblClassSubjs[CSubjID],tblClassSubjs[ClassID]),tblClasses[ClassID],tblClasses[STermID])</f>
        <v>1</v>
      </c>
      <c r="T133" t="str">
        <f>LOOKUP(S133,tblSchoolTerms[STermID],tblSchoolTerms[SemesterID]&amp;" Semester "&amp;tblSchoolTerms[SchoolYear])</f>
        <v>2 Semester S.Y. 2018-2019</v>
      </c>
      <c r="W1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3" t="e">
        <f t="array" ref="Y133">INDEX(tblEnrolledStuds[EStudID],MATCH(tblEnrolledSubjs[[#This Row],[EStudID]]&amp;S133,tblEnrolledStuds[AdmissionStatusID]&amp;tblEnrolledStuds[StudID],0))</f>
        <v>#N/A</v>
      </c>
    </row>
    <row r="134" spans="2:25" x14ac:dyDescent="0.25">
      <c r="B134">
        <v>132</v>
      </c>
      <c r="C134">
        <v>16</v>
      </c>
      <c r="D134">
        <v>14</v>
      </c>
      <c r="P134" t="str">
        <f t="shared" si="2"/>
        <v>(NULL,"16","14"),</v>
      </c>
      <c r="Q134" t="str">
        <f>TextJoin(tblEnrolledSubjs[[#This Row],[CSubjID]:[EStudID]],"Value")</f>
        <v>"16","14"</v>
      </c>
      <c r="S134">
        <f>LOOKUP(LOOKUP(tblEnrolledSubjs[[#This Row],[CSubjID]], tblClassSubjs[CSubjID],tblClassSubjs[ClassID]),tblClasses[ClassID],tblClasses[STermID])</f>
        <v>1</v>
      </c>
      <c r="T134" t="str">
        <f>LOOKUP(S134,tblSchoolTerms[STermID],tblSchoolTerms[SemesterID]&amp;" Semester "&amp;tblSchoolTerms[SchoolYear])</f>
        <v>2 Semester S.Y. 2018-2019</v>
      </c>
      <c r="W1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4" t="e">
        <f t="array" ref="Y134">INDEX(tblEnrolledStuds[EStudID],MATCH(tblEnrolledSubjs[[#This Row],[EStudID]]&amp;S134,tblEnrolledStuds[AdmissionStatusID]&amp;tblEnrolledStuds[StudID],0))</f>
        <v>#N/A</v>
      </c>
    </row>
    <row r="135" spans="2:25" x14ac:dyDescent="0.25">
      <c r="B135">
        <v>133</v>
      </c>
      <c r="C135">
        <v>16</v>
      </c>
      <c r="D135">
        <v>15</v>
      </c>
      <c r="P135" t="str">
        <f t="shared" si="2"/>
        <v>(NULL,"16","15"),</v>
      </c>
      <c r="Q135" t="str">
        <f>TextJoin(tblEnrolledSubjs[[#This Row],[CSubjID]:[EStudID]],"Value")</f>
        <v>"16","15"</v>
      </c>
      <c r="S135">
        <f>LOOKUP(LOOKUP(tblEnrolledSubjs[[#This Row],[CSubjID]], tblClassSubjs[CSubjID],tblClassSubjs[ClassID]),tblClasses[ClassID],tblClasses[STermID])</f>
        <v>1</v>
      </c>
      <c r="T135" t="str">
        <f>LOOKUP(S135,tblSchoolTerms[STermID],tblSchoolTerms[SemesterID]&amp;" Semester "&amp;tblSchoolTerms[SchoolYear])</f>
        <v>2 Semester S.Y. 2018-2019</v>
      </c>
      <c r="W1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5" t="e">
        <f t="array" ref="Y135">INDEX(tblEnrolledStuds[EStudID],MATCH(tblEnrolledSubjs[[#This Row],[EStudID]]&amp;S135,tblEnrolledStuds[AdmissionStatusID]&amp;tblEnrolledStuds[StudID],0))</f>
        <v>#N/A</v>
      </c>
    </row>
    <row r="136" spans="2:25" x14ac:dyDescent="0.25">
      <c r="B136">
        <v>134</v>
      </c>
      <c r="C136">
        <v>16</v>
      </c>
      <c r="D136">
        <v>21</v>
      </c>
      <c r="P136" t="str">
        <f t="shared" si="2"/>
        <v>(NULL,"16","21"),</v>
      </c>
      <c r="Q136" t="str">
        <f>TextJoin(tblEnrolledSubjs[[#This Row],[CSubjID]:[EStudID]],"Value")</f>
        <v>"16","21"</v>
      </c>
      <c r="S136">
        <f>LOOKUP(LOOKUP(tblEnrolledSubjs[[#This Row],[CSubjID]], tblClassSubjs[CSubjID],tblClassSubjs[ClassID]),tblClasses[ClassID],tblClasses[STermID])</f>
        <v>1</v>
      </c>
      <c r="T136" t="str">
        <f>LOOKUP(S136,tblSchoolTerms[STermID],tblSchoolTerms[SemesterID]&amp;" Semester "&amp;tblSchoolTerms[SchoolYear])</f>
        <v>2 Semester S.Y. 2018-2019</v>
      </c>
      <c r="W1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6" t="e">
        <f t="array" ref="Y136">INDEX(tblEnrolledStuds[EStudID],MATCH(tblEnrolledSubjs[[#This Row],[EStudID]]&amp;S136,tblEnrolledStuds[AdmissionStatusID]&amp;tblEnrolledStuds[StudID],0))</f>
        <v>#N/A</v>
      </c>
    </row>
    <row r="137" spans="2:25" x14ac:dyDescent="0.25">
      <c r="B137">
        <v>135</v>
      </c>
      <c r="C137">
        <v>16</v>
      </c>
      <c r="D137">
        <v>24</v>
      </c>
      <c r="P137" t="str">
        <f t="shared" si="2"/>
        <v>(NULL,"16","24"),</v>
      </c>
      <c r="Q137" t="str">
        <f>TextJoin(tblEnrolledSubjs[[#This Row],[CSubjID]:[EStudID]],"Value")</f>
        <v>"16","24"</v>
      </c>
      <c r="S137">
        <f>LOOKUP(LOOKUP(tblEnrolledSubjs[[#This Row],[CSubjID]], tblClassSubjs[CSubjID],tblClassSubjs[ClassID]),tblClasses[ClassID],tblClasses[STermID])</f>
        <v>1</v>
      </c>
      <c r="T137" t="str">
        <f>LOOKUP(S137,tblSchoolTerms[STermID],tblSchoolTerms[SemesterID]&amp;" Semester "&amp;tblSchoolTerms[SchoolYear])</f>
        <v>2 Semester S.Y. 2018-2019</v>
      </c>
      <c r="W1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7" t="e">
        <f t="array" ref="Y137">INDEX(tblEnrolledStuds[EStudID],MATCH(tblEnrolledSubjs[[#This Row],[EStudID]]&amp;S137,tblEnrolledStuds[AdmissionStatusID]&amp;tblEnrolledStuds[StudID],0))</f>
        <v>#N/A</v>
      </c>
    </row>
    <row r="138" spans="2:25" x14ac:dyDescent="0.25">
      <c r="B138">
        <v>136</v>
      </c>
      <c r="C138">
        <v>16</v>
      </c>
      <c r="D138">
        <v>36</v>
      </c>
      <c r="P138" t="str">
        <f t="shared" si="2"/>
        <v>(NULL,"16","36"),</v>
      </c>
      <c r="Q138" t="str">
        <f>TextJoin(tblEnrolledSubjs[[#This Row],[CSubjID]:[EStudID]],"Value")</f>
        <v>"16","36"</v>
      </c>
      <c r="S138">
        <f>LOOKUP(LOOKUP(tblEnrolledSubjs[[#This Row],[CSubjID]], tblClassSubjs[CSubjID],tblClassSubjs[ClassID]),tblClasses[ClassID],tblClasses[STermID])</f>
        <v>1</v>
      </c>
      <c r="T138" t="str">
        <f>LOOKUP(S138,tblSchoolTerms[STermID],tblSchoolTerms[SemesterID]&amp;" Semester "&amp;tblSchoolTerms[SchoolYear])</f>
        <v>2 Semester S.Y. 2018-2019</v>
      </c>
      <c r="W1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8">
        <f t="array" ref="Y138">INDEX(tblEnrolledStuds[EStudID],MATCH(tblEnrolledSubjs[[#This Row],[EStudID]]&amp;S138,tblEnrolledStuds[AdmissionStatusID]&amp;tblEnrolledStuds[StudID],0))</f>
        <v>61</v>
      </c>
    </row>
    <row r="139" spans="2:25" x14ac:dyDescent="0.25">
      <c r="B139">
        <v>137</v>
      </c>
      <c r="C139">
        <v>16</v>
      </c>
      <c r="D139">
        <v>44</v>
      </c>
      <c r="P139" t="str">
        <f t="shared" si="2"/>
        <v>(NULL,"16","44"),</v>
      </c>
      <c r="Q139" t="str">
        <f>TextJoin(tblEnrolledSubjs[[#This Row],[CSubjID]:[EStudID]],"Value")</f>
        <v>"16","44"</v>
      </c>
      <c r="S139">
        <f>LOOKUP(LOOKUP(tblEnrolledSubjs[[#This Row],[CSubjID]], tblClassSubjs[CSubjID],tblClassSubjs[ClassID]),tblClasses[ClassID],tblClasses[STermID])</f>
        <v>1</v>
      </c>
      <c r="T139" t="str">
        <f>LOOKUP(S139,tblSchoolTerms[STermID],tblSchoolTerms[SemesterID]&amp;" Semester "&amp;tblSchoolTerms[SchoolYear])</f>
        <v>2 Semester S.Y. 2018-2019</v>
      </c>
      <c r="W1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9" t="e">
        <f t="array" ref="Y139">INDEX(tblEnrolledStuds[EStudID],MATCH(tblEnrolledSubjs[[#This Row],[EStudID]]&amp;S139,tblEnrolledStuds[AdmissionStatusID]&amp;tblEnrolledStuds[StudID],0))</f>
        <v>#N/A</v>
      </c>
    </row>
    <row r="140" spans="2:25" x14ac:dyDescent="0.25">
      <c r="B140">
        <v>138</v>
      </c>
      <c r="C140">
        <v>16</v>
      </c>
      <c r="D140">
        <v>45</v>
      </c>
      <c r="P140" t="str">
        <f t="shared" si="2"/>
        <v>(NULL,"16","45"),</v>
      </c>
      <c r="Q140" t="str">
        <f>TextJoin(tblEnrolledSubjs[[#This Row],[CSubjID]:[EStudID]],"Value")</f>
        <v>"16","45"</v>
      </c>
      <c r="S140">
        <f>LOOKUP(LOOKUP(tblEnrolledSubjs[[#This Row],[CSubjID]], tblClassSubjs[CSubjID],tblClassSubjs[ClassID]),tblClasses[ClassID],tblClasses[STermID])</f>
        <v>1</v>
      </c>
      <c r="T140" t="str">
        <f>LOOKUP(S140,tblSchoolTerms[STermID],tblSchoolTerms[SemesterID]&amp;" Semester "&amp;tblSchoolTerms[SchoolYear])</f>
        <v>2 Semester S.Y. 2018-2019</v>
      </c>
      <c r="W1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0" t="e">
        <f t="array" ref="Y140">INDEX(tblEnrolledStuds[EStudID],MATCH(tblEnrolledSubjs[[#This Row],[EStudID]]&amp;S140,tblEnrolledStuds[AdmissionStatusID]&amp;tblEnrolledStuds[StudID],0))</f>
        <v>#N/A</v>
      </c>
    </row>
    <row r="141" spans="2:25" x14ac:dyDescent="0.25">
      <c r="B141">
        <v>139</v>
      </c>
      <c r="C141">
        <v>16</v>
      </c>
      <c r="D141">
        <v>49</v>
      </c>
      <c r="P141" t="str">
        <f t="shared" si="2"/>
        <v>(NULL,"16","49"),</v>
      </c>
      <c r="Q141" t="str">
        <f>TextJoin(tblEnrolledSubjs[[#This Row],[CSubjID]:[EStudID]],"Value")</f>
        <v>"16","49"</v>
      </c>
      <c r="S141">
        <f>LOOKUP(LOOKUP(tblEnrolledSubjs[[#This Row],[CSubjID]], tblClassSubjs[CSubjID],tblClassSubjs[ClassID]),tblClasses[ClassID],tblClasses[STermID])</f>
        <v>1</v>
      </c>
      <c r="T141" t="str">
        <f>LOOKUP(S141,tblSchoolTerms[STermID],tblSchoolTerms[SemesterID]&amp;" Semester "&amp;tblSchoolTerms[SchoolYear])</f>
        <v>2 Semester S.Y. 2018-2019</v>
      </c>
      <c r="W1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1" t="e">
        <f t="array" ref="Y141">INDEX(tblEnrolledStuds[EStudID],MATCH(tblEnrolledSubjs[[#This Row],[EStudID]]&amp;S141,tblEnrolledStuds[AdmissionStatusID]&amp;tblEnrolledStuds[StudID],0))</f>
        <v>#N/A</v>
      </c>
    </row>
    <row r="142" spans="2:25" x14ac:dyDescent="0.25">
      <c r="B142">
        <v>140</v>
      </c>
      <c r="C142">
        <v>16</v>
      </c>
      <c r="D142">
        <v>55</v>
      </c>
      <c r="P142" t="str">
        <f t="shared" si="2"/>
        <v>(NULL,"16","55"),</v>
      </c>
      <c r="Q142" t="str">
        <f>TextJoin(tblEnrolledSubjs[[#This Row],[CSubjID]:[EStudID]],"Value")</f>
        <v>"16","55"</v>
      </c>
      <c r="S142">
        <f>LOOKUP(LOOKUP(tblEnrolledSubjs[[#This Row],[CSubjID]], tblClassSubjs[CSubjID],tblClassSubjs[ClassID]),tblClasses[ClassID],tblClasses[STermID])</f>
        <v>1</v>
      </c>
      <c r="T142" t="str">
        <f>LOOKUP(S142,tblSchoolTerms[STermID],tblSchoolTerms[SemesterID]&amp;" Semester "&amp;tblSchoolTerms[SchoolYear])</f>
        <v>2 Semester S.Y. 2018-2019</v>
      </c>
      <c r="W1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2" t="e">
        <f t="array" ref="Y142">INDEX(tblEnrolledStuds[EStudID],MATCH(tblEnrolledSubjs[[#This Row],[EStudID]]&amp;S142,tblEnrolledStuds[AdmissionStatusID]&amp;tblEnrolledStuds[StudID],0))</f>
        <v>#N/A</v>
      </c>
    </row>
    <row r="143" spans="2:25" x14ac:dyDescent="0.25">
      <c r="B143">
        <v>141</v>
      </c>
      <c r="C143">
        <v>16</v>
      </c>
      <c r="D143">
        <v>60</v>
      </c>
      <c r="P143" t="str">
        <f t="shared" si="2"/>
        <v>(NULL,"16","60"),</v>
      </c>
      <c r="Q143" t="str">
        <f>TextJoin(tblEnrolledSubjs[[#This Row],[CSubjID]:[EStudID]],"Value")</f>
        <v>"16","60"</v>
      </c>
      <c r="S143">
        <f>LOOKUP(LOOKUP(tblEnrolledSubjs[[#This Row],[CSubjID]], tblClassSubjs[CSubjID],tblClassSubjs[ClassID]),tblClasses[ClassID],tblClasses[STermID])</f>
        <v>1</v>
      </c>
      <c r="T143" t="str">
        <f>LOOKUP(S143,tblSchoolTerms[STermID],tblSchoolTerms[SemesterID]&amp;" Semester "&amp;tblSchoolTerms[SchoolYear])</f>
        <v>2 Semester S.Y. 2018-2019</v>
      </c>
      <c r="W1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3" t="e">
        <f t="array" ref="Y143">INDEX(tblEnrolledStuds[EStudID],MATCH(tblEnrolledSubjs[[#This Row],[EStudID]]&amp;S143,tblEnrolledStuds[AdmissionStatusID]&amp;tblEnrolledStuds[StudID],0))</f>
        <v>#N/A</v>
      </c>
    </row>
    <row r="144" spans="2:25" x14ac:dyDescent="0.25">
      <c r="B144">
        <v>142</v>
      </c>
      <c r="C144">
        <v>16</v>
      </c>
      <c r="D144">
        <v>61</v>
      </c>
      <c r="P144" t="str">
        <f t="shared" si="2"/>
        <v>(NULL,"16","61"),</v>
      </c>
      <c r="Q144" t="str">
        <f>TextJoin(tblEnrolledSubjs[[#This Row],[CSubjID]:[EStudID]],"Value")</f>
        <v>"16","61"</v>
      </c>
      <c r="S144">
        <f>LOOKUP(LOOKUP(tblEnrolledSubjs[[#This Row],[CSubjID]], tblClassSubjs[CSubjID],tblClassSubjs[ClassID]),tblClasses[ClassID],tblClasses[STermID])</f>
        <v>1</v>
      </c>
      <c r="T144" t="str">
        <f>LOOKUP(S144,tblSchoolTerms[STermID],tblSchoolTerms[SemesterID]&amp;" Semester "&amp;tblSchoolTerms[SchoolYear])</f>
        <v>2 Semester S.Y. 2018-2019</v>
      </c>
      <c r="W1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4" t="e">
        <f t="array" ref="Y144">INDEX(tblEnrolledStuds[EStudID],MATCH(tblEnrolledSubjs[[#This Row],[EStudID]]&amp;S144,tblEnrolledStuds[AdmissionStatusID]&amp;tblEnrolledStuds[StudID],0))</f>
        <v>#N/A</v>
      </c>
    </row>
    <row r="145" spans="2:25" x14ac:dyDescent="0.25">
      <c r="B145">
        <v>143</v>
      </c>
      <c r="C145">
        <v>16</v>
      </c>
      <c r="D145">
        <v>62</v>
      </c>
      <c r="P145" t="str">
        <f t="shared" si="2"/>
        <v>(NULL,"16","62"),</v>
      </c>
      <c r="Q145" t="str">
        <f>TextJoin(tblEnrolledSubjs[[#This Row],[CSubjID]:[EStudID]],"Value")</f>
        <v>"16","62"</v>
      </c>
      <c r="S145">
        <f>LOOKUP(LOOKUP(tblEnrolledSubjs[[#This Row],[CSubjID]], tblClassSubjs[CSubjID],tblClassSubjs[ClassID]),tblClasses[ClassID],tblClasses[STermID])</f>
        <v>1</v>
      </c>
      <c r="T145" t="str">
        <f>LOOKUP(S145,tblSchoolTerms[STermID],tblSchoolTerms[SemesterID]&amp;" Semester "&amp;tblSchoolTerms[SchoolYear])</f>
        <v>2 Semester S.Y. 2018-2019</v>
      </c>
      <c r="W1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5" t="e">
        <f t="array" ref="Y145">INDEX(tblEnrolledStuds[EStudID],MATCH(tblEnrolledSubjs[[#This Row],[EStudID]]&amp;S145,tblEnrolledStuds[AdmissionStatusID]&amp;tblEnrolledStuds[StudID],0))</f>
        <v>#N/A</v>
      </c>
    </row>
    <row r="146" spans="2:25" x14ac:dyDescent="0.25">
      <c r="B146">
        <v>144</v>
      </c>
      <c r="C146">
        <v>16</v>
      </c>
      <c r="D146">
        <v>64</v>
      </c>
      <c r="P146" t="str">
        <f t="shared" si="2"/>
        <v>(NULL,"16","64"),</v>
      </c>
      <c r="Q146" t="str">
        <f>TextJoin(tblEnrolledSubjs[[#This Row],[CSubjID]:[EStudID]],"Value")</f>
        <v>"16","64"</v>
      </c>
      <c r="S146">
        <f>LOOKUP(LOOKUP(tblEnrolledSubjs[[#This Row],[CSubjID]], tblClassSubjs[CSubjID],tblClassSubjs[ClassID]),tblClasses[ClassID],tblClasses[STermID])</f>
        <v>1</v>
      </c>
      <c r="T146" t="str">
        <f>LOOKUP(S146,tblSchoolTerms[STermID],tblSchoolTerms[SemesterID]&amp;" Semester "&amp;tblSchoolTerms[SchoolYear])</f>
        <v>2 Semester S.Y. 2018-2019</v>
      </c>
      <c r="W1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6" t="e">
        <f t="array" ref="Y146">INDEX(tblEnrolledStuds[EStudID],MATCH(tblEnrolledSubjs[[#This Row],[EStudID]]&amp;S146,tblEnrolledStuds[AdmissionStatusID]&amp;tblEnrolledStuds[StudID],0))</f>
        <v>#N/A</v>
      </c>
    </row>
    <row r="147" spans="2:25" x14ac:dyDescent="0.25">
      <c r="B147">
        <v>145</v>
      </c>
      <c r="C147">
        <v>17</v>
      </c>
      <c r="D147">
        <v>17</v>
      </c>
      <c r="P147" t="str">
        <f t="shared" si="2"/>
        <v>(NULL,"17","17"),</v>
      </c>
      <c r="Q147" t="str">
        <f>TextJoin(tblEnrolledSubjs[[#This Row],[CSubjID]:[EStudID]],"Value")</f>
        <v>"17","17"</v>
      </c>
      <c r="S147">
        <f>LOOKUP(LOOKUP(tblEnrolledSubjs[[#This Row],[CSubjID]], tblClassSubjs[CSubjID],tblClassSubjs[ClassID]),tblClasses[ClassID],tblClasses[STermID])</f>
        <v>1</v>
      </c>
      <c r="T147" t="str">
        <f>LOOKUP(S147,tblSchoolTerms[STermID],tblSchoolTerms[SemesterID]&amp;" Semester "&amp;tblSchoolTerms[SchoolYear])</f>
        <v>2 Semester S.Y. 2018-2019</v>
      </c>
      <c r="W1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7" t="e">
        <f t="array" ref="Y147">INDEX(tblEnrolledStuds[EStudID],MATCH(tblEnrolledSubjs[[#This Row],[EStudID]]&amp;S147,tblEnrolledStuds[AdmissionStatusID]&amp;tblEnrolledStuds[StudID],0))</f>
        <v>#N/A</v>
      </c>
    </row>
    <row r="148" spans="2:25" x14ac:dyDescent="0.25">
      <c r="B148">
        <v>146</v>
      </c>
      <c r="C148">
        <v>17</v>
      </c>
      <c r="D148">
        <v>52</v>
      </c>
      <c r="P148" t="str">
        <f t="shared" si="2"/>
        <v>(NULL,"17","52"),</v>
      </c>
      <c r="Q148" t="str">
        <f>TextJoin(tblEnrolledSubjs[[#This Row],[CSubjID]:[EStudID]],"Value")</f>
        <v>"17","52"</v>
      </c>
      <c r="S148">
        <f>LOOKUP(LOOKUP(tblEnrolledSubjs[[#This Row],[CSubjID]], tblClassSubjs[CSubjID],tblClassSubjs[ClassID]),tblClasses[ClassID],tblClasses[STermID])</f>
        <v>1</v>
      </c>
      <c r="T148" t="str">
        <f>LOOKUP(S148,tblSchoolTerms[STermID],tblSchoolTerms[SemesterID]&amp;" Semester "&amp;tblSchoolTerms[SchoolYear])</f>
        <v>2 Semester S.Y. 2018-2019</v>
      </c>
      <c r="W1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8" t="e">
        <f t="array" ref="Y148">INDEX(tblEnrolledStuds[EStudID],MATCH(tblEnrolledSubjs[[#This Row],[EStudID]]&amp;S148,tblEnrolledStuds[AdmissionStatusID]&amp;tblEnrolledStuds[StudID],0))</f>
        <v>#N/A</v>
      </c>
    </row>
    <row r="149" spans="2:25" x14ac:dyDescent="0.25">
      <c r="B149">
        <v>147</v>
      </c>
      <c r="C149">
        <v>17</v>
      </c>
      <c r="D149">
        <v>53</v>
      </c>
      <c r="P149" t="str">
        <f t="shared" si="2"/>
        <v>(NULL,"17","53"),</v>
      </c>
      <c r="Q149" t="str">
        <f>TextJoin(tblEnrolledSubjs[[#This Row],[CSubjID]:[EStudID]],"Value")</f>
        <v>"17","53"</v>
      </c>
      <c r="S149">
        <f>LOOKUP(LOOKUP(tblEnrolledSubjs[[#This Row],[CSubjID]], tblClassSubjs[CSubjID],tblClassSubjs[ClassID]),tblClasses[ClassID],tblClasses[STermID])</f>
        <v>1</v>
      </c>
      <c r="T149" t="str">
        <f>LOOKUP(S149,tblSchoolTerms[STermID],tblSchoolTerms[SemesterID]&amp;" Semester "&amp;tblSchoolTerms[SchoolYear])</f>
        <v>2 Semester S.Y. 2018-2019</v>
      </c>
      <c r="W1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9" t="e">
        <f t="array" ref="Y149">INDEX(tblEnrolledStuds[EStudID],MATCH(tblEnrolledSubjs[[#This Row],[EStudID]]&amp;S149,tblEnrolledStuds[AdmissionStatusID]&amp;tblEnrolledStuds[StudID],0))</f>
        <v>#N/A</v>
      </c>
    </row>
    <row r="150" spans="2:25" x14ac:dyDescent="0.25">
      <c r="B150">
        <v>148</v>
      </c>
      <c r="C150">
        <v>17</v>
      </c>
      <c r="D150">
        <v>58</v>
      </c>
      <c r="P150" t="str">
        <f t="shared" si="2"/>
        <v>(NULL,"17","58"),</v>
      </c>
      <c r="Q150" t="str">
        <f>TextJoin(tblEnrolledSubjs[[#This Row],[CSubjID]:[EStudID]],"Value")</f>
        <v>"17","58"</v>
      </c>
      <c r="S150">
        <f>LOOKUP(LOOKUP(tblEnrolledSubjs[[#This Row],[CSubjID]], tblClassSubjs[CSubjID],tblClassSubjs[ClassID]),tblClasses[ClassID],tblClasses[STermID])</f>
        <v>1</v>
      </c>
      <c r="T150" t="str">
        <f>LOOKUP(S150,tblSchoolTerms[STermID],tblSchoolTerms[SemesterID]&amp;" Semester "&amp;tblSchoolTerms[SchoolYear])</f>
        <v>2 Semester S.Y. 2018-2019</v>
      </c>
      <c r="W1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0" t="e">
        <f t="array" ref="Y150">INDEX(tblEnrolledStuds[EStudID],MATCH(tblEnrolledSubjs[[#This Row],[EStudID]]&amp;S150,tblEnrolledStuds[AdmissionStatusID]&amp;tblEnrolledStuds[StudID],0))</f>
        <v>#N/A</v>
      </c>
    </row>
    <row r="151" spans="2:25" x14ac:dyDescent="0.25">
      <c r="B151">
        <v>149</v>
      </c>
      <c r="C151">
        <v>17</v>
      </c>
      <c r="D151">
        <v>66</v>
      </c>
      <c r="P151" t="str">
        <f t="shared" si="2"/>
        <v>(NULL,"17","66"),</v>
      </c>
      <c r="Q151" t="str">
        <f>TextJoin(tblEnrolledSubjs[[#This Row],[CSubjID]:[EStudID]],"Value")</f>
        <v>"17","66"</v>
      </c>
      <c r="S151">
        <f>LOOKUP(LOOKUP(tblEnrolledSubjs[[#This Row],[CSubjID]], tblClassSubjs[CSubjID],tblClassSubjs[ClassID]),tblClasses[ClassID],tblClasses[STermID])</f>
        <v>1</v>
      </c>
      <c r="T151" t="str">
        <f>LOOKUP(S151,tblSchoolTerms[STermID],tblSchoolTerms[SemesterID]&amp;" Semester "&amp;tblSchoolTerms[SchoolYear])</f>
        <v>2 Semester S.Y. 2018-2019</v>
      </c>
      <c r="W1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1" t="e">
        <f t="array" ref="Y151">INDEX(tblEnrolledStuds[EStudID],MATCH(tblEnrolledSubjs[[#This Row],[EStudID]]&amp;S151,tblEnrolledStuds[AdmissionStatusID]&amp;tblEnrolledStuds[StudID],0))</f>
        <v>#N/A</v>
      </c>
    </row>
    <row r="152" spans="2:25" x14ac:dyDescent="0.25">
      <c r="B152">
        <v>150</v>
      </c>
      <c r="C152">
        <v>18</v>
      </c>
      <c r="D152">
        <v>2</v>
      </c>
      <c r="P152" t="str">
        <f t="shared" si="2"/>
        <v>(NULL,"18","2"),</v>
      </c>
      <c r="Q152" t="str">
        <f>TextJoin(tblEnrolledSubjs[[#This Row],[CSubjID]:[EStudID]],"Value")</f>
        <v>"18","2"</v>
      </c>
      <c r="S152">
        <f>LOOKUP(LOOKUP(tblEnrolledSubjs[[#This Row],[CSubjID]], tblClassSubjs[CSubjID],tblClassSubjs[ClassID]),tblClasses[ClassID],tblClasses[STermID])</f>
        <v>1</v>
      </c>
      <c r="T152" t="str">
        <f>LOOKUP(S152,tblSchoolTerms[STermID],tblSchoolTerms[SemesterID]&amp;" Semester "&amp;tblSchoolTerms[SchoolYear])</f>
        <v>2 Semester S.Y. 2018-2019</v>
      </c>
      <c r="W1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2">
        <f t="array" ref="Y152">INDEX(tblEnrolledStuds[EStudID],MATCH(tblEnrolledSubjs[[#This Row],[EStudID]]&amp;S152,tblEnrolledStuds[AdmissionStatusID]&amp;tblEnrolledStuds[StudID],0))</f>
        <v>140</v>
      </c>
    </row>
    <row r="153" spans="2:25" x14ac:dyDescent="0.25">
      <c r="B153">
        <v>151</v>
      </c>
      <c r="C153">
        <v>18</v>
      </c>
      <c r="D153">
        <v>6</v>
      </c>
      <c r="P153" t="str">
        <f t="shared" si="2"/>
        <v>(NULL,"18","6"),</v>
      </c>
      <c r="Q153" t="str">
        <f>TextJoin(tblEnrolledSubjs[[#This Row],[CSubjID]:[EStudID]],"Value")</f>
        <v>"18","6"</v>
      </c>
      <c r="S153">
        <f>LOOKUP(LOOKUP(tblEnrolledSubjs[[#This Row],[CSubjID]], tblClassSubjs[CSubjID],tblClassSubjs[ClassID]),tblClasses[ClassID],tblClasses[STermID])</f>
        <v>1</v>
      </c>
      <c r="T153" t="str">
        <f>LOOKUP(S153,tblSchoolTerms[STermID],tblSchoolTerms[SemesterID]&amp;" Semester "&amp;tblSchoolTerms[SchoolYear])</f>
        <v>2 Semester S.Y. 2018-2019</v>
      </c>
      <c r="W1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3" t="e">
        <f t="array" ref="Y153">INDEX(tblEnrolledStuds[EStudID],MATCH(tblEnrolledSubjs[[#This Row],[EStudID]]&amp;S153,tblEnrolledStuds[AdmissionStatusID]&amp;tblEnrolledStuds[StudID],0))</f>
        <v>#N/A</v>
      </c>
    </row>
    <row r="154" spans="2:25" x14ac:dyDescent="0.25">
      <c r="B154">
        <v>152</v>
      </c>
      <c r="C154">
        <v>18</v>
      </c>
      <c r="D154">
        <v>8</v>
      </c>
      <c r="P154" t="str">
        <f t="shared" si="2"/>
        <v>(NULL,"18","8"),</v>
      </c>
      <c r="Q154" t="str">
        <f>TextJoin(tblEnrolledSubjs[[#This Row],[CSubjID]:[EStudID]],"Value")</f>
        <v>"18","8"</v>
      </c>
      <c r="S154">
        <f>LOOKUP(LOOKUP(tblEnrolledSubjs[[#This Row],[CSubjID]], tblClassSubjs[CSubjID],tblClassSubjs[ClassID]),tblClasses[ClassID],tblClasses[STermID])</f>
        <v>1</v>
      </c>
      <c r="T154" t="str">
        <f>LOOKUP(S154,tblSchoolTerms[STermID],tblSchoolTerms[SemesterID]&amp;" Semester "&amp;tblSchoolTerms[SchoolYear])</f>
        <v>2 Semester S.Y. 2018-2019</v>
      </c>
      <c r="W1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4" t="e">
        <f t="array" ref="Y154">INDEX(tblEnrolledStuds[EStudID],MATCH(tblEnrolledSubjs[[#This Row],[EStudID]]&amp;S154,tblEnrolledStuds[AdmissionStatusID]&amp;tblEnrolledStuds[StudID],0))</f>
        <v>#N/A</v>
      </c>
    </row>
    <row r="155" spans="2:25" x14ac:dyDescent="0.25">
      <c r="B155">
        <v>153</v>
      </c>
      <c r="C155">
        <v>18</v>
      </c>
      <c r="D155">
        <v>9</v>
      </c>
      <c r="P155" t="str">
        <f t="shared" si="2"/>
        <v>(NULL,"18","9"),</v>
      </c>
      <c r="Q155" t="str">
        <f>TextJoin(tblEnrolledSubjs[[#This Row],[CSubjID]:[EStudID]],"Value")</f>
        <v>"18","9"</v>
      </c>
      <c r="S155">
        <f>LOOKUP(LOOKUP(tblEnrolledSubjs[[#This Row],[CSubjID]], tblClassSubjs[CSubjID],tblClassSubjs[ClassID]),tblClasses[ClassID],tblClasses[STermID])</f>
        <v>1</v>
      </c>
      <c r="T155" t="str">
        <f>LOOKUP(S155,tblSchoolTerms[STermID],tblSchoolTerms[SemesterID]&amp;" Semester "&amp;tblSchoolTerms[SchoolYear])</f>
        <v>2 Semester S.Y. 2018-2019</v>
      </c>
      <c r="W1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5" t="e">
        <f t="array" ref="Y155">INDEX(tblEnrolledStuds[EStudID],MATCH(tblEnrolledSubjs[[#This Row],[EStudID]]&amp;S155,tblEnrolledStuds[AdmissionStatusID]&amp;tblEnrolledStuds[StudID],0))</f>
        <v>#N/A</v>
      </c>
    </row>
    <row r="156" spans="2:25" x14ac:dyDescent="0.25">
      <c r="B156">
        <v>154</v>
      </c>
      <c r="C156">
        <v>18</v>
      </c>
      <c r="D156">
        <v>13</v>
      </c>
      <c r="P156" t="str">
        <f t="shared" si="2"/>
        <v>(NULL,"18","13"),</v>
      </c>
      <c r="Q156" t="str">
        <f>TextJoin(tblEnrolledSubjs[[#This Row],[CSubjID]:[EStudID]],"Value")</f>
        <v>"18","13"</v>
      </c>
      <c r="S156">
        <f>LOOKUP(LOOKUP(tblEnrolledSubjs[[#This Row],[CSubjID]], tblClassSubjs[CSubjID],tblClassSubjs[ClassID]),tblClasses[ClassID],tblClasses[STermID])</f>
        <v>1</v>
      </c>
      <c r="T156" t="str">
        <f>LOOKUP(S156,tblSchoolTerms[STermID],tblSchoolTerms[SemesterID]&amp;" Semester "&amp;tblSchoolTerms[SchoolYear])</f>
        <v>2 Semester S.Y. 2018-2019</v>
      </c>
      <c r="W1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6" t="e">
        <f t="array" ref="Y156">INDEX(tblEnrolledStuds[EStudID],MATCH(tblEnrolledSubjs[[#This Row],[EStudID]]&amp;S156,tblEnrolledStuds[AdmissionStatusID]&amp;tblEnrolledStuds[StudID],0))</f>
        <v>#N/A</v>
      </c>
    </row>
    <row r="157" spans="2:25" x14ac:dyDescent="0.25">
      <c r="B157">
        <v>155</v>
      </c>
      <c r="C157">
        <v>18</v>
      </c>
      <c r="D157">
        <v>14</v>
      </c>
      <c r="P157" t="str">
        <f t="shared" si="2"/>
        <v>(NULL,"18","14"),</v>
      </c>
      <c r="Q157" t="str">
        <f>TextJoin(tblEnrolledSubjs[[#This Row],[CSubjID]:[EStudID]],"Value")</f>
        <v>"18","14"</v>
      </c>
      <c r="S157">
        <f>LOOKUP(LOOKUP(tblEnrolledSubjs[[#This Row],[CSubjID]], tblClassSubjs[CSubjID],tblClassSubjs[ClassID]),tblClasses[ClassID],tblClasses[STermID])</f>
        <v>1</v>
      </c>
      <c r="T157" t="str">
        <f>LOOKUP(S157,tblSchoolTerms[STermID],tblSchoolTerms[SemesterID]&amp;" Semester "&amp;tblSchoolTerms[SchoolYear])</f>
        <v>2 Semester S.Y. 2018-2019</v>
      </c>
      <c r="W1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7" t="e">
        <f t="array" ref="Y157">INDEX(tblEnrolledStuds[EStudID],MATCH(tblEnrolledSubjs[[#This Row],[EStudID]]&amp;S157,tblEnrolledStuds[AdmissionStatusID]&amp;tblEnrolledStuds[StudID],0))</f>
        <v>#N/A</v>
      </c>
    </row>
    <row r="158" spans="2:25" x14ac:dyDescent="0.25">
      <c r="B158">
        <v>156</v>
      </c>
      <c r="C158">
        <v>18</v>
      </c>
      <c r="D158">
        <v>15</v>
      </c>
      <c r="P158" t="str">
        <f t="shared" si="2"/>
        <v>(NULL,"18","15"),</v>
      </c>
      <c r="Q158" t="str">
        <f>TextJoin(tblEnrolledSubjs[[#This Row],[CSubjID]:[EStudID]],"Value")</f>
        <v>"18","15"</v>
      </c>
      <c r="S158">
        <f>LOOKUP(LOOKUP(tblEnrolledSubjs[[#This Row],[CSubjID]], tblClassSubjs[CSubjID],tblClassSubjs[ClassID]),tblClasses[ClassID],tblClasses[STermID])</f>
        <v>1</v>
      </c>
      <c r="T158" t="str">
        <f>LOOKUP(S158,tblSchoolTerms[STermID],tblSchoolTerms[SemesterID]&amp;" Semester "&amp;tblSchoolTerms[SchoolYear])</f>
        <v>2 Semester S.Y. 2018-2019</v>
      </c>
      <c r="W1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8" t="e">
        <f t="array" ref="Y158">INDEX(tblEnrolledStuds[EStudID],MATCH(tblEnrolledSubjs[[#This Row],[EStudID]]&amp;S158,tblEnrolledStuds[AdmissionStatusID]&amp;tblEnrolledStuds[StudID],0))</f>
        <v>#N/A</v>
      </c>
    </row>
    <row r="159" spans="2:25" x14ac:dyDescent="0.25">
      <c r="B159">
        <v>157</v>
      </c>
      <c r="C159">
        <v>18</v>
      </c>
      <c r="D159">
        <v>21</v>
      </c>
      <c r="P159" t="str">
        <f t="shared" si="2"/>
        <v>(NULL,"18","21"),</v>
      </c>
      <c r="Q159" t="str">
        <f>TextJoin(tblEnrolledSubjs[[#This Row],[CSubjID]:[EStudID]],"Value")</f>
        <v>"18","21"</v>
      </c>
      <c r="S159">
        <f>LOOKUP(LOOKUP(tblEnrolledSubjs[[#This Row],[CSubjID]], tblClassSubjs[CSubjID],tblClassSubjs[ClassID]),tblClasses[ClassID],tblClasses[STermID])</f>
        <v>1</v>
      </c>
      <c r="T159" t="str">
        <f>LOOKUP(S159,tblSchoolTerms[STermID],tblSchoolTerms[SemesterID]&amp;" Semester "&amp;tblSchoolTerms[SchoolYear])</f>
        <v>2 Semester S.Y. 2018-2019</v>
      </c>
      <c r="W1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59" t="e">
        <f t="array" ref="Y159">INDEX(tblEnrolledStuds[EStudID],MATCH(tblEnrolledSubjs[[#This Row],[EStudID]]&amp;S159,tblEnrolledStuds[AdmissionStatusID]&amp;tblEnrolledStuds[StudID],0))</f>
        <v>#N/A</v>
      </c>
    </row>
    <row r="160" spans="2:25" x14ac:dyDescent="0.25">
      <c r="B160">
        <v>158</v>
      </c>
      <c r="C160">
        <v>18</v>
      </c>
      <c r="D160">
        <v>24</v>
      </c>
      <c r="P160" t="str">
        <f t="shared" si="2"/>
        <v>(NULL,"18","24"),</v>
      </c>
      <c r="Q160" t="str">
        <f>TextJoin(tblEnrolledSubjs[[#This Row],[CSubjID]:[EStudID]],"Value")</f>
        <v>"18","24"</v>
      </c>
      <c r="S160">
        <f>LOOKUP(LOOKUP(tblEnrolledSubjs[[#This Row],[CSubjID]], tblClassSubjs[CSubjID],tblClassSubjs[ClassID]),tblClasses[ClassID],tblClasses[STermID])</f>
        <v>1</v>
      </c>
      <c r="T160" t="str">
        <f>LOOKUP(S160,tblSchoolTerms[STermID],tblSchoolTerms[SemesterID]&amp;" Semester "&amp;tblSchoolTerms[SchoolYear])</f>
        <v>2 Semester S.Y. 2018-2019</v>
      </c>
      <c r="W1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0" t="e">
        <f t="array" ref="Y160">INDEX(tblEnrolledStuds[EStudID],MATCH(tblEnrolledSubjs[[#This Row],[EStudID]]&amp;S160,tblEnrolledStuds[AdmissionStatusID]&amp;tblEnrolledStuds[StudID],0))</f>
        <v>#N/A</v>
      </c>
    </row>
    <row r="161" spans="2:25" x14ac:dyDescent="0.25">
      <c r="B161">
        <v>159</v>
      </c>
      <c r="C161">
        <v>18</v>
      </c>
      <c r="D161">
        <v>36</v>
      </c>
      <c r="P161" t="str">
        <f t="shared" si="2"/>
        <v>(NULL,"18","36"),</v>
      </c>
      <c r="Q161" t="str">
        <f>TextJoin(tblEnrolledSubjs[[#This Row],[CSubjID]:[EStudID]],"Value")</f>
        <v>"18","36"</v>
      </c>
      <c r="S161">
        <f>LOOKUP(LOOKUP(tblEnrolledSubjs[[#This Row],[CSubjID]], tblClassSubjs[CSubjID],tblClassSubjs[ClassID]),tblClasses[ClassID],tblClasses[STermID])</f>
        <v>1</v>
      </c>
      <c r="T161" t="str">
        <f>LOOKUP(S161,tblSchoolTerms[STermID],tblSchoolTerms[SemesterID]&amp;" Semester "&amp;tblSchoolTerms[SchoolYear])</f>
        <v>2 Semester S.Y. 2018-2019</v>
      </c>
      <c r="W1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1">
        <f t="array" ref="Y161">INDEX(tblEnrolledStuds[EStudID],MATCH(tblEnrolledSubjs[[#This Row],[EStudID]]&amp;S161,tblEnrolledStuds[AdmissionStatusID]&amp;tblEnrolledStuds[StudID],0))</f>
        <v>61</v>
      </c>
    </row>
    <row r="162" spans="2:25" x14ac:dyDescent="0.25">
      <c r="B162">
        <v>160</v>
      </c>
      <c r="C162">
        <v>18</v>
      </c>
      <c r="D162">
        <v>44</v>
      </c>
      <c r="P162" t="str">
        <f t="shared" si="2"/>
        <v>(NULL,"18","44"),</v>
      </c>
      <c r="Q162" t="str">
        <f>TextJoin(tblEnrolledSubjs[[#This Row],[CSubjID]:[EStudID]],"Value")</f>
        <v>"18","44"</v>
      </c>
      <c r="S162">
        <f>LOOKUP(LOOKUP(tblEnrolledSubjs[[#This Row],[CSubjID]], tblClassSubjs[CSubjID],tblClassSubjs[ClassID]),tblClasses[ClassID],tblClasses[STermID])</f>
        <v>1</v>
      </c>
      <c r="T162" t="str">
        <f>LOOKUP(S162,tblSchoolTerms[STermID],tblSchoolTerms[SemesterID]&amp;" Semester "&amp;tblSchoolTerms[SchoolYear])</f>
        <v>2 Semester S.Y. 2018-2019</v>
      </c>
      <c r="W1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2" t="e">
        <f t="array" ref="Y162">INDEX(tblEnrolledStuds[EStudID],MATCH(tblEnrolledSubjs[[#This Row],[EStudID]]&amp;S162,tblEnrolledStuds[AdmissionStatusID]&amp;tblEnrolledStuds[StudID],0))</f>
        <v>#N/A</v>
      </c>
    </row>
    <row r="163" spans="2:25" x14ac:dyDescent="0.25">
      <c r="B163">
        <v>161</v>
      </c>
      <c r="C163">
        <v>18</v>
      </c>
      <c r="D163">
        <v>45</v>
      </c>
      <c r="P163" t="str">
        <f t="shared" si="2"/>
        <v>(NULL,"18","45"),</v>
      </c>
      <c r="Q163" t="str">
        <f>TextJoin(tblEnrolledSubjs[[#This Row],[CSubjID]:[EStudID]],"Value")</f>
        <v>"18","45"</v>
      </c>
      <c r="S163">
        <f>LOOKUP(LOOKUP(tblEnrolledSubjs[[#This Row],[CSubjID]], tblClassSubjs[CSubjID],tblClassSubjs[ClassID]),tblClasses[ClassID],tblClasses[STermID])</f>
        <v>1</v>
      </c>
      <c r="T163" t="str">
        <f>LOOKUP(S163,tblSchoolTerms[STermID],tblSchoolTerms[SemesterID]&amp;" Semester "&amp;tblSchoolTerms[SchoolYear])</f>
        <v>2 Semester S.Y. 2018-2019</v>
      </c>
      <c r="W1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3" t="e">
        <f t="array" ref="Y163">INDEX(tblEnrolledStuds[EStudID],MATCH(tblEnrolledSubjs[[#This Row],[EStudID]]&amp;S163,tblEnrolledStuds[AdmissionStatusID]&amp;tblEnrolledStuds[StudID],0))</f>
        <v>#N/A</v>
      </c>
    </row>
    <row r="164" spans="2:25" x14ac:dyDescent="0.25">
      <c r="B164">
        <v>162</v>
      </c>
      <c r="C164">
        <v>18</v>
      </c>
      <c r="D164">
        <v>49</v>
      </c>
      <c r="P164" t="str">
        <f t="shared" si="2"/>
        <v>(NULL,"18","49"),</v>
      </c>
      <c r="Q164" t="str">
        <f>TextJoin(tblEnrolledSubjs[[#This Row],[CSubjID]:[EStudID]],"Value")</f>
        <v>"18","49"</v>
      </c>
      <c r="S164">
        <f>LOOKUP(LOOKUP(tblEnrolledSubjs[[#This Row],[CSubjID]], tblClassSubjs[CSubjID],tblClassSubjs[ClassID]),tblClasses[ClassID],tblClasses[STermID])</f>
        <v>1</v>
      </c>
      <c r="T164" t="str">
        <f>LOOKUP(S164,tblSchoolTerms[STermID],tblSchoolTerms[SemesterID]&amp;" Semester "&amp;tblSchoolTerms[SchoolYear])</f>
        <v>2 Semester S.Y. 2018-2019</v>
      </c>
      <c r="W1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4" t="e">
        <f t="array" ref="Y164">INDEX(tblEnrolledStuds[EStudID],MATCH(tblEnrolledSubjs[[#This Row],[EStudID]]&amp;S164,tblEnrolledStuds[AdmissionStatusID]&amp;tblEnrolledStuds[StudID],0))</f>
        <v>#N/A</v>
      </c>
    </row>
    <row r="165" spans="2:25" x14ac:dyDescent="0.25">
      <c r="B165">
        <v>163</v>
      </c>
      <c r="C165">
        <v>18</v>
      </c>
      <c r="D165">
        <v>55</v>
      </c>
      <c r="P165" t="str">
        <f t="shared" si="2"/>
        <v>(NULL,"18","55"),</v>
      </c>
      <c r="Q165" t="str">
        <f>TextJoin(tblEnrolledSubjs[[#This Row],[CSubjID]:[EStudID]],"Value")</f>
        <v>"18","55"</v>
      </c>
      <c r="S165">
        <f>LOOKUP(LOOKUP(tblEnrolledSubjs[[#This Row],[CSubjID]], tblClassSubjs[CSubjID],tblClassSubjs[ClassID]),tblClasses[ClassID],tblClasses[STermID])</f>
        <v>1</v>
      </c>
      <c r="T165" t="str">
        <f>LOOKUP(S165,tblSchoolTerms[STermID],tblSchoolTerms[SemesterID]&amp;" Semester "&amp;tblSchoolTerms[SchoolYear])</f>
        <v>2 Semester S.Y. 2018-2019</v>
      </c>
      <c r="W1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5" t="e">
        <f t="array" ref="Y165">INDEX(tblEnrolledStuds[EStudID],MATCH(tblEnrolledSubjs[[#This Row],[EStudID]]&amp;S165,tblEnrolledStuds[AdmissionStatusID]&amp;tblEnrolledStuds[StudID],0))</f>
        <v>#N/A</v>
      </c>
    </row>
    <row r="166" spans="2:25" x14ac:dyDescent="0.25">
      <c r="B166">
        <v>164</v>
      </c>
      <c r="C166">
        <v>18</v>
      </c>
      <c r="D166">
        <v>60</v>
      </c>
      <c r="P166" t="str">
        <f t="shared" si="2"/>
        <v>(NULL,"18","60"),</v>
      </c>
      <c r="Q166" t="str">
        <f>TextJoin(tblEnrolledSubjs[[#This Row],[CSubjID]:[EStudID]],"Value")</f>
        <v>"18","60"</v>
      </c>
      <c r="S166">
        <f>LOOKUP(LOOKUP(tblEnrolledSubjs[[#This Row],[CSubjID]], tblClassSubjs[CSubjID],tblClassSubjs[ClassID]),tblClasses[ClassID],tblClasses[STermID])</f>
        <v>1</v>
      </c>
      <c r="T166" t="str">
        <f>LOOKUP(S166,tblSchoolTerms[STermID],tblSchoolTerms[SemesterID]&amp;" Semester "&amp;tblSchoolTerms[SchoolYear])</f>
        <v>2 Semester S.Y. 2018-2019</v>
      </c>
      <c r="W1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6" t="e">
        <f t="array" ref="Y166">INDEX(tblEnrolledStuds[EStudID],MATCH(tblEnrolledSubjs[[#This Row],[EStudID]]&amp;S166,tblEnrolledStuds[AdmissionStatusID]&amp;tblEnrolledStuds[StudID],0))</f>
        <v>#N/A</v>
      </c>
    </row>
    <row r="167" spans="2:25" x14ac:dyDescent="0.25">
      <c r="B167">
        <v>165</v>
      </c>
      <c r="C167">
        <v>18</v>
      </c>
      <c r="D167">
        <v>61</v>
      </c>
      <c r="P167" t="str">
        <f t="shared" si="2"/>
        <v>(NULL,"18","61"),</v>
      </c>
      <c r="Q167" t="str">
        <f>TextJoin(tblEnrolledSubjs[[#This Row],[CSubjID]:[EStudID]],"Value")</f>
        <v>"18","61"</v>
      </c>
      <c r="S167">
        <f>LOOKUP(LOOKUP(tblEnrolledSubjs[[#This Row],[CSubjID]], tblClassSubjs[CSubjID],tblClassSubjs[ClassID]),tblClasses[ClassID],tblClasses[STermID])</f>
        <v>1</v>
      </c>
      <c r="T167" t="str">
        <f>LOOKUP(S167,tblSchoolTerms[STermID],tblSchoolTerms[SemesterID]&amp;" Semester "&amp;tblSchoolTerms[SchoolYear])</f>
        <v>2 Semester S.Y. 2018-2019</v>
      </c>
      <c r="W1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7" t="e">
        <f t="array" ref="Y167">INDEX(tblEnrolledStuds[EStudID],MATCH(tblEnrolledSubjs[[#This Row],[EStudID]]&amp;S167,tblEnrolledStuds[AdmissionStatusID]&amp;tblEnrolledStuds[StudID],0))</f>
        <v>#N/A</v>
      </c>
    </row>
    <row r="168" spans="2:25" x14ac:dyDescent="0.25">
      <c r="B168">
        <v>166</v>
      </c>
      <c r="C168">
        <v>18</v>
      </c>
      <c r="D168">
        <v>62</v>
      </c>
      <c r="P168" t="str">
        <f t="shared" si="2"/>
        <v>(NULL,"18","62"),</v>
      </c>
      <c r="Q168" t="str">
        <f>TextJoin(tblEnrolledSubjs[[#This Row],[CSubjID]:[EStudID]],"Value")</f>
        <v>"18","62"</v>
      </c>
      <c r="S168">
        <f>LOOKUP(LOOKUP(tblEnrolledSubjs[[#This Row],[CSubjID]], tblClassSubjs[CSubjID],tblClassSubjs[ClassID]),tblClasses[ClassID],tblClasses[STermID])</f>
        <v>1</v>
      </c>
      <c r="T168" t="str">
        <f>LOOKUP(S168,tblSchoolTerms[STermID],tblSchoolTerms[SemesterID]&amp;" Semester "&amp;tblSchoolTerms[SchoolYear])</f>
        <v>2 Semester S.Y. 2018-2019</v>
      </c>
      <c r="W1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8" t="e">
        <f t="array" ref="Y168">INDEX(tblEnrolledStuds[EStudID],MATCH(tblEnrolledSubjs[[#This Row],[EStudID]]&amp;S168,tblEnrolledStuds[AdmissionStatusID]&amp;tblEnrolledStuds[StudID],0))</f>
        <v>#N/A</v>
      </c>
    </row>
    <row r="169" spans="2:25" x14ac:dyDescent="0.25">
      <c r="B169">
        <v>167</v>
      </c>
      <c r="C169">
        <v>18</v>
      </c>
      <c r="D169">
        <v>64</v>
      </c>
      <c r="P169" t="str">
        <f t="shared" si="2"/>
        <v>(NULL,"18","64"),</v>
      </c>
      <c r="Q169" t="str">
        <f>TextJoin(tblEnrolledSubjs[[#This Row],[CSubjID]:[EStudID]],"Value")</f>
        <v>"18","64"</v>
      </c>
      <c r="S169">
        <f>LOOKUP(LOOKUP(tblEnrolledSubjs[[#This Row],[CSubjID]], tblClassSubjs[CSubjID],tblClassSubjs[ClassID]),tblClasses[ClassID],tblClasses[STermID])</f>
        <v>1</v>
      </c>
      <c r="T169" t="str">
        <f>LOOKUP(S169,tblSchoolTerms[STermID],tblSchoolTerms[SemesterID]&amp;" Semester "&amp;tblSchoolTerms[SchoolYear])</f>
        <v>2 Semester S.Y. 2018-2019</v>
      </c>
      <c r="W1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69" t="e">
        <f t="array" ref="Y169">INDEX(tblEnrolledStuds[EStudID],MATCH(tblEnrolledSubjs[[#This Row],[EStudID]]&amp;S169,tblEnrolledStuds[AdmissionStatusID]&amp;tblEnrolledStuds[StudID],0))</f>
        <v>#N/A</v>
      </c>
    </row>
    <row r="170" spans="2:25" x14ac:dyDescent="0.25">
      <c r="B170">
        <v>168</v>
      </c>
      <c r="C170">
        <v>18</v>
      </c>
      <c r="D170">
        <v>1</v>
      </c>
      <c r="P170" t="str">
        <f t="shared" si="2"/>
        <v>(NULL,"18","1"),</v>
      </c>
      <c r="Q170" t="str">
        <f>TextJoin(tblEnrolledSubjs[[#This Row],[CSubjID]:[EStudID]],"Value")</f>
        <v>"18","1"</v>
      </c>
      <c r="S170">
        <f>LOOKUP(LOOKUP(tblEnrolledSubjs[[#This Row],[CSubjID]], tblClassSubjs[CSubjID],tblClassSubjs[ClassID]),tblClasses[ClassID],tblClasses[STermID])</f>
        <v>1</v>
      </c>
      <c r="T170" t="str">
        <f>LOOKUP(S170,tblSchoolTerms[STermID],tblSchoolTerms[SemesterID]&amp;" Semester "&amp;tblSchoolTerms[SchoolYear])</f>
        <v>2 Semester S.Y. 2018-2019</v>
      </c>
      <c r="W1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0" t="e">
        <f t="array" ref="Y170">INDEX(tblEnrolledStuds[EStudID],MATCH(tblEnrolledSubjs[[#This Row],[EStudID]]&amp;S170,tblEnrolledStuds[AdmissionStatusID]&amp;tblEnrolledStuds[StudID],0))</f>
        <v>#N/A</v>
      </c>
    </row>
    <row r="171" spans="2:25" x14ac:dyDescent="0.25">
      <c r="B171">
        <v>169</v>
      </c>
      <c r="C171">
        <v>18</v>
      </c>
      <c r="D171">
        <v>46</v>
      </c>
      <c r="P171" t="str">
        <f t="shared" si="2"/>
        <v>(NULL,"18","46"),</v>
      </c>
      <c r="Q171" t="str">
        <f>TextJoin(tblEnrolledSubjs[[#This Row],[CSubjID]:[EStudID]],"Value")</f>
        <v>"18","46"</v>
      </c>
      <c r="S171">
        <f>LOOKUP(LOOKUP(tblEnrolledSubjs[[#This Row],[CSubjID]], tblClassSubjs[CSubjID],tblClassSubjs[ClassID]),tblClasses[ClassID],tblClasses[STermID])</f>
        <v>1</v>
      </c>
      <c r="T171" t="str">
        <f>LOOKUP(S171,tblSchoolTerms[STermID],tblSchoolTerms[SemesterID]&amp;" Semester "&amp;tblSchoolTerms[SchoolYear])</f>
        <v>2 Semester S.Y. 2018-2019</v>
      </c>
      <c r="W1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1" t="e">
        <f t="array" ref="Y171">INDEX(tblEnrolledStuds[EStudID],MATCH(tblEnrolledSubjs[[#This Row],[EStudID]]&amp;S171,tblEnrolledStuds[AdmissionStatusID]&amp;tblEnrolledStuds[StudID],0))</f>
        <v>#N/A</v>
      </c>
    </row>
    <row r="172" spans="2:25" x14ac:dyDescent="0.25">
      <c r="B172">
        <v>170</v>
      </c>
      <c r="C172">
        <v>18</v>
      </c>
      <c r="D172">
        <v>5</v>
      </c>
      <c r="P172" t="str">
        <f t="shared" si="2"/>
        <v>(NULL,"18","5"),</v>
      </c>
      <c r="Q172" t="str">
        <f>TextJoin(tblEnrolledSubjs[[#This Row],[CSubjID]:[EStudID]],"Value")</f>
        <v>"18","5"</v>
      </c>
      <c r="S172">
        <f>LOOKUP(LOOKUP(tblEnrolledSubjs[[#This Row],[CSubjID]], tblClassSubjs[CSubjID],tblClassSubjs[ClassID]),tblClasses[ClassID],tblClasses[STermID])</f>
        <v>1</v>
      </c>
      <c r="T172" t="str">
        <f>LOOKUP(S172,tblSchoolTerms[STermID],tblSchoolTerms[SemesterID]&amp;" Semester "&amp;tblSchoolTerms[SchoolYear])</f>
        <v>2 Semester S.Y. 2018-2019</v>
      </c>
      <c r="W1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2" t="e">
        <f t="array" ref="Y172">INDEX(tblEnrolledStuds[EStudID],MATCH(tblEnrolledSubjs[[#This Row],[EStudID]]&amp;S172,tblEnrolledStuds[AdmissionStatusID]&amp;tblEnrolledStuds[StudID],0))</f>
        <v>#N/A</v>
      </c>
    </row>
    <row r="173" spans="2:25" x14ac:dyDescent="0.25">
      <c r="B173">
        <v>171</v>
      </c>
      <c r="C173">
        <v>19</v>
      </c>
      <c r="D173">
        <v>2</v>
      </c>
      <c r="P173" t="str">
        <f t="shared" si="2"/>
        <v>(NULL,"19","2"),</v>
      </c>
      <c r="Q173" t="str">
        <f>TextJoin(tblEnrolledSubjs[[#This Row],[CSubjID]:[EStudID]],"Value")</f>
        <v>"19","2"</v>
      </c>
      <c r="S173">
        <f>LOOKUP(LOOKUP(tblEnrolledSubjs[[#This Row],[CSubjID]], tblClassSubjs[CSubjID],tblClassSubjs[ClassID]),tblClasses[ClassID],tblClasses[STermID])</f>
        <v>1</v>
      </c>
      <c r="T173" t="str">
        <f>LOOKUP(S173,tblSchoolTerms[STermID],tblSchoolTerms[SemesterID]&amp;" Semester "&amp;tblSchoolTerms[SchoolYear])</f>
        <v>2 Semester S.Y. 2018-2019</v>
      </c>
      <c r="W1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3">
        <f t="array" ref="Y173">INDEX(tblEnrolledStuds[EStudID],MATCH(tblEnrolledSubjs[[#This Row],[EStudID]]&amp;S173,tblEnrolledStuds[AdmissionStatusID]&amp;tblEnrolledStuds[StudID],0))</f>
        <v>140</v>
      </c>
    </row>
    <row r="174" spans="2:25" x14ac:dyDescent="0.25">
      <c r="B174">
        <v>172</v>
      </c>
      <c r="C174">
        <v>19</v>
      </c>
      <c r="D174">
        <v>6</v>
      </c>
      <c r="P174" t="str">
        <f t="shared" si="2"/>
        <v>(NULL,"19","6"),</v>
      </c>
      <c r="Q174" t="str">
        <f>TextJoin(tblEnrolledSubjs[[#This Row],[CSubjID]:[EStudID]],"Value")</f>
        <v>"19","6"</v>
      </c>
      <c r="S174">
        <f>LOOKUP(LOOKUP(tblEnrolledSubjs[[#This Row],[CSubjID]], tblClassSubjs[CSubjID],tblClassSubjs[ClassID]),tblClasses[ClassID],tblClasses[STermID])</f>
        <v>1</v>
      </c>
      <c r="T174" t="str">
        <f>LOOKUP(S174,tblSchoolTerms[STermID],tblSchoolTerms[SemesterID]&amp;" Semester "&amp;tblSchoolTerms[SchoolYear])</f>
        <v>2 Semester S.Y. 2018-2019</v>
      </c>
      <c r="W1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4" t="e">
        <f t="array" ref="Y174">INDEX(tblEnrolledStuds[EStudID],MATCH(tblEnrolledSubjs[[#This Row],[EStudID]]&amp;S174,tblEnrolledStuds[AdmissionStatusID]&amp;tblEnrolledStuds[StudID],0))</f>
        <v>#N/A</v>
      </c>
    </row>
    <row r="175" spans="2:25" x14ac:dyDescent="0.25">
      <c r="B175">
        <v>173</v>
      </c>
      <c r="C175">
        <v>19</v>
      </c>
      <c r="D175">
        <v>8</v>
      </c>
      <c r="P175" t="str">
        <f t="shared" si="2"/>
        <v>(NULL,"19","8"),</v>
      </c>
      <c r="Q175" t="str">
        <f>TextJoin(tblEnrolledSubjs[[#This Row],[CSubjID]:[EStudID]],"Value")</f>
        <v>"19","8"</v>
      </c>
      <c r="S175">
        <f>LOOKUP(LOOKUP(tblEnrolledSubjs[[#This Row],[CSubjID]], tblClassSubjs[CSubjID],tblClassSubjs[ClassID]),tblClasses[ClassID],tblClasses[STermID])</f>
        <v>1</v>
      </c>
      <c r="T175" t="str">
        <f>LOOKUP(S175,tblSchoolTerms[STermID],tblSchoolTerms[SemesterID]&amp;" Semester "&amp;tblSchoolTerms[SchoolYear])</f>
        <v>2 Semester S.Y. 2018-2019</v>
      </c>
      <c r="W1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5" t="e">
        <f t="array" ref="Y175">INDEX(tblEnrolledStuds[EStudID],MATCH(tblEnrolledSubjs[[#This Row],[EStudID]]&amp;S175,tblEnrolledStuds[AdmissionStatusID]&amp;tblEnrolledStuds[StudID],0))</f>
        <v>#N/A</v>
      </c>
    </row>
    <row r="176" spans="2:25" x14ac:dyDescent="0.25">
      <c r="B176">
        <v>174</v>
      </c>
      <c r="C176">
        <v>19</v>
      </c>
      <c r="D176">
        <v>9</v>
      </c>
      <c r="P176" t="str">
        <f t="shared" si="2"/>
        <v>(NULL,"19","9"),</v>
      </c>
      <c r="Q176" t="str">
        <f>TextJoin(tblEnrolledSubjs[[#This Row],[CSubjID]:[EStudID]],"Value")</f>
        <v>"19","9"</v>
      </c>
      <c r="S176">
        <f>LOOKUP(LOOKUP(tblEnrolledSubjs[[#This Row],[CSubjID]], tblClassSubjs[CSubjID],tblClassSubjs[ClassID]),tblClasses[ClassID],tblClasses[STermID])</f>
        <v>1</v>
      </c>
      <c r="T176" t="str">
        <f>LOOKUP(S176,tblSchoolTerms[STermID],tblSchoolTerms[SemesterID]&amp;" Semester "&amp;tblSchoolTerms[SchoolYear])</f>
        <v>2 Semester S.Y. 2018-2019</v>
      </c>
      <c r="W1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6" t="e">
        <f t="array" ref="Y176">INDEX(tblEnrolledStuds[EStudID],MATCH(tblEnrolledSubjs[[#This Row],[EStudID]]&amp;S176,tblEnrolledStuds[AdmissionStatusID]&amp;tblEnrolledStuds[StudID],0))</f>
        <v>#N/A</v>
      </c>
    </row>
    <row r="177" spans="2:25" x14ac:dyDescent="0.25">
      <c r="B177">
        <v>175</v>
      </c>
      <c r="C177">
        <v>19</v>
      </c>
      <c r="D177">
        <v>13</v>
      </c>
      <c r="P177" t="str">
        <f t="shared" si="2"/>
        <v>(NULL,"19","13"),</v>
      </c>
      <c r="Q177" t="str">
        <f>TextJoin(tblEnrolledSubjs[[#This Row],[CSubjID]:[EStudID]],"Value")</f>
        <v>"19","13"</v>
      </c>
      <c r="S177">
        <f>LOOKUP(LOOKUP(tblEnrolledSubjs[[#This Row],[CSubjID]], tblClassSubjs[CSubjID],tblClassSubjs[ClassID]),tblClasses[ClassID],tblClasses[STermID])</f>
        <v>1</v>
      </c>
      <c r="T177" t="str">
        <f>LOOKUP(S177,tblSchoolTerms[STermID],tblSchoolTerms[SemesterID]&amp;" Semester "&amp;tblSchoolTerms[SchoolYear])</f>
        <v>2 Semester S.Y. 2018-2019</v>
      </c>
      <c r="W1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7" t="e">
        <f t="array" ref="Y177">INDEX(tblEnrolledStuds[EStudID],MATCH(tblEnrolledSubjs[[#This Row],[EStudID]]&amp;S177,tblEnrolledStuds[AdmissionStatusID]&amp;tblEnrolledStuds[StudID],0))</f>
        <v>#N/A</v>
      </c>
    </row>
    <row r="178" spans="2:25" x14ac:dyDescent="0.25">
      <c r="B178">
        <v>176</v>
      </c>
      <c r="C178">
        <v>19</v>
      </c>
      <c r="D178">
        <v>14</v>
      </c>
      <c r="P178" t="str">
        <f t="shared" si="2"/>
        <v>(NULL,"19","14"),</v>
      </c>
      <c r="Q178" t="str">
        <f>TextJoin(tblEnrolledSubjs[[#This Row],[CSubjID]:[EStudID]],"Value")</f>
        <v>"19","14"</v>
      </c>
      <c r="S178">
        <f>LOOKUP(LOOKUP(tblEnrolledSubjs[[#This Row],[CSubjID]], tblClassSubjs[CSubjID],tblClassSubjs[ClassID]),tblClasses[ClassID],tblClasses[STermID])</f>
        <v>1</v>
      </c>
      <c r="T178" t="str">
        <f>LOOKUP(S178,tblSchoolTerms[STermID],tblSchoolTerms[SemesterID]&amp;" Semester "&amp;tblSchoolTerms[SchoolYear])</f>
        <v>2 Semester S.Y. 2018-2019</v>
      </c>
      <c r="W1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8" t="e">
        <f t="array" ref="Y178">INDEX(tblEnrolledStuds[EStudID],MATCH(tblEnrolledSubjs[[#This Row],[EStudID]]&amp;S178,tblEnrolledStuds[AdmissionStatusID]&amp;tblEnrolledStuds[StudID],0))</f>
        <v>#N/A</v>
      </c>
    </row>
    <row r="179" spans="2:25" x14ac:dyDescent="0.25">
      <c r="B179">
        <v>177</v>
      </c>
      <c r="C179">
        <v>19</v>
      </c>
      <c r="D179">
        <v>15</v>
      </c>
      <c r="P179" t="str">
        <f t="shared" si="2"/>
        <v>(NULL,"19","15"),</v>
      </c>
      <c r="Q179" t="str">
        <f>TextJoin(tblEnrolledSubjs[[#This Row],[CSubjID]:[EStudID]],"Value")</f>
        <v>"19","15"</v>
      </c>
      <c r="S179">
        <f>LOOKUP(LOOKUP(tblEnrolledSubjs[[#This Row],[CSubjID]], tblClassSubjs[CSubjID],tblClassSubjs[ClassID]),tblClasses[ClassID],tblClasses[STermID])</f>
        <v>1</v>
      </c>
      <c r="T179" t="str">
        <f>LOOKUP(S179,tblSchoolTerms[STermID],tblSchoolTerms[SemesterID]&amp;" Semester "&amp;tblSchoolTerms[SchoolYear])</f>
        <v>2 Semester S.Y. 2018-2019</v>
      </c>
      <c r="W1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79" t="e">
        <f t="array" ref="Y179">INDEX(tblEnrolledStuds[EStudID],MATCH(tblEnrolledSubjs[[#This Row],[EStudID]]&amp;S179,tblEnrolledStuds[AdmissionStatusID]&amp;tblEnrolledStuds[StudID],0))</f>
        <v>#N/A</v>
      </c>
    </row>
    <row r="180" spans="2:25" x14ac:dyDescent="0.25">
      <c r="B180">
        <v>178</v>
      </c>
      <c r="C180">
        <v>19</v>
      </c>
      <c r="D180">
        <v>21</v>
      </c>
      <c r="P180" t="str">
        <f t="shared" si="2"/>
        <v>(NULL,"19","21"),</v>
      </c>
      <c r="Q180" t="str">
        <f>TextJoin(tblEnrolledSubjs[[#This Row],[CSubjID]:[EStudID]],"Value")</f>
        <v>"19","21"</v>
      </c>
      <c r="S180">
        <f>LOOKUP(LOOKUP(tblEnrolledSubjs[[#This Row],[CSubjID]], tblClassSubjs[CSubjID],tblClassSubjs[ClassID]),tblClasses[ClassID],tblClasses[STermID])</f>
        <v>1</v>
      </c>
      <c r="T180" t="str">
        <f>LOOKUP(S180,tblSchoolTerms[STermID],tblSchoolTerms[SemesterID]&amp;" Semester "&amp;tblSchoolTerms[SchoolYear])</f>
        <v>2 Semester S.Y. 2018-2019</v>
      </c>
      <c r="W1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0" t="e">
        <f t="array" ref="Y180">INDEX(tblEnrolledStuds[EStudID],MATCH(tblEnrolledSubjs[[#This Row],[EStudID]]&amp;S180,tblEnrolledStuds[AdmissionStatusID]&amp;tblEnrolledStuds[StudID],0))</f>
        <v>#N/A</v>
      </c>
    </row>
    <row r="181" spans="2:25" x14ac:dyDescent="0.25">
      <c r="B181">
        <v>179</v>
      </c>
      <c r="C181">
        <v>19</v>
      </c>
      <c r="D181">
        <v>24</v>
      </c>
      <c r="P181" t="str">
        <f t="shared" si="2"/>
        <v>(NULL,"19","24"),</v>
      </c>
      <c r="Q181" t="str">
        <f>TextJoin(tblEnrolledSubjs[[#This Row],[CSubjID]:[EStudID]],"Value")</f>
        <v>"19","24"</v>
      </c>
      <c r="S181">
        <f>LOOKUP(LOOKUP(tblEnrolledSubjs[[#This Row],[CSubjID]], tblClassSubjs[CSubjID],tblClassSubjs[ClassID]),tblClasses[ClassID],tblClasses[STermID])</f>
        <v>1</v>
      </c>
      <c r="T181" t="str">
        <f>LOOKUP(S181,tblSchoolTerms[STermID],tblSchoolTerms[SemesterID]&amp;" Semester "&amp;tblSchoolTerms[SchoolYear])</f>
        <v>2 Semester S.Y. 2018-2019</v>
      </c>
      <c r="W1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1" t="e">
        <f t="array" ref="Y181">INDEX(tblEnrolledStuds[EStudID],MATCH(tblEnrolledSubjs[[#This Row],[EStudID]]&amp;S181,tblEnrolledStuds[AdmissionStatusID]&amp;tblEnrolledStuds[StudID],0))</f>
        <v>#N/A</v>
      </c>
    </row>
    <row r="182" spans="2:25" x14ac:dyDescent="0.25">
      <c r="B182">
        <v>180</v>
      </c>
      <c r="C182">
        <v>19</v>
      </c>
      <c r="D182">
        <v>36</v>
      </c>
      <c r="P182" t="str">
        <f t="shared" si="2"/>
        <v>(NULL,"19","36"),</v>
      </c>
      <c r="Q182" t="str">
        <f>TextJoin(tblEnrolledSubjs[[#This Row],[CSubjID]:[EStudID]],"Value")</f>
        <v>"19","36"</v>
      </c>
      <c r="S182">
        <f>LOOKUP(LOOKUP(tblEnrolledSubjs[[#This Row],[CSubjID]], tblClassSubjs[CSubjID],tblClassSubjs[ClassID]),tblClasses[ClassID],tblClasses[STermID])</f>
        <v>1</v>
      </c>
      <c r="T182" t="str">
        <f>LOOKUP(S182,tblSchoolTerms[STermID],tblSchoolTerms[SemesterID]&amp;" Semester "&amp;tblSchoolTerms[SchoolYear])</f>
        <v>2 Semester S.Y. 2018-2019</v>
      </c>
      <c r="W1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2">
        <f t="array" ref="Y182">INDEX(tblEnrolledStuds[EStudID],MATCH(tblEnrolledSubjs[[#This Row],[EStudID]]&amp;S182,tblEnrolledStuds[AdmissionStatusID]&amp;tblEnrolledStuds[StudID],0))</f>
        <v>61</v>
      </c>
    </row>
    <row r="183" spans="2:25" x14ac:dyDescent="0.25">
      <c r="B183">
        <v>181</v>
      </c>
      <c r="C183">
        <v>19</v>
      </c>
      <c r="D183">
        <v>44</v>
      </c>
      <c r="P183" t="str">
        <f t="shared" si="2"/>
        <v>(NULL,"19","44"),</v>
      </c>
      <c r="Q183" t="str">
        <f>TextJoin(tblEnrolledSubjs[[#This Row],[CSubjID]:[EStudID]],"Value")</f>
        <v>"19","44"</v>
      </c>
      <c r="S183">
        <f>LOOKUP(LOOKUP(tblEnrolledSubjs[[#This Row],[CSubjID]], tblClassSubjs[CSubjID],tblClassSubjs[ClassID]),tblClasses[ClassID],tblClasses[STermID])</f>
        <v>1</v>
      </c>
      <c r="T183" t="str">
        <f>LOOKUP(S183,tblSchoolTerms[STermID],tblSchoolTerms[SemesterID]&amp;" Semester "&amp;tblSchoolTerms[SchoolYear])</f>
        <v>2 Semester S.Y. 2018-2019</v>
      </c>
      <c r="W1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3" t="e">
        <f t="array" ref="Y183">INDEX(tblEnrolledStuds[EStudID],MATCH(tblEnrolledSubjs[[#This Row],[EStudID]]&amp;S183,tblEnrolledStuds[AdmissionStatusID]&amp;tblEnrolledStuds[StudID],0))</f>
        <v>#N/A</v>
      </c>
    </row>
    <row r="184" spans="2:25" x14ac:dyDescent="0.25">
      <c r="B184">
        <v>182</v>
      </c>
      <c r="C184">
        <v>19</v>
      </c>
      <c r="D184">
        <v>45</v>
      </c>
      <c r="P184" t="str">
        <f t="shared" si="2"/>
        <v>(NULL,"19","45"),</v>
      </c>
      <c r="Q184" t="str">
        <f>TextJoin(tblEnrolledSubjs[[#This Row],[CSubjID]:[EStudID]],"Value")</f>
        <v>"19","45"</v>
      </c>
      <c r="S184">
        <f>LOOKUP(LOOKUP(tblEnrolledSubjs[[#This Row],[CSubjID]], tblClassSubjs[CSubjID],tblClassSubjs[ClassID]),tblClasses[ClassID],tblClasses[STermID])</f>
        <v>1</v>
      </c>
      <c r="T184" t="str">
        <f>LOOKUP(S184,tblSchoolTerms[STermID],tblSchoolTerms[SemesterID]&amp;" Semester "&amp;tblSchoolTerms[SchoolYear])</f>
        <v>2 Semester S.Y. 2018-2019</v>
      </c>
      <c r="W1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4" t="e">
        <f t="array" ref="Y184">INDEX(tblEnrolledStuds[EStudID],MATCH(tblEnrolledSubjs[[#This Row],[EStudID]]&amp;S184,tblEnrolledStuds[AdmissionStatusID]&amp;tblEnrolledStuds[StudID],0))</f>
        <v>#N/A</v>
      </c>
    </row>
    <row r="185" spans="2:25" x14ac:dyDescent="0.25">
      <c r="B185">
        <v>183</v>
      </c>
      <c r="C185">
        <v>19</v>
      </c>
      <c r="D185">
        <v>49</v>
      </c>
      <c r="P185" t="str">
        <f t="shared" si="2"/>
        <v>(NULL,"19","49"),</v>
      </c>
      <c r="Q185" t="str">
        <f>TextJoin(tblEnrolledSubjs[[#This Row],[CSubjID]:[EStudID]],"Value")</f>
        <v>"19","49"</v>
      </c>
      <c r="S185">
        <f>LOOKUP(LOOKUP(tblEnrolledSubjs[[#This Row],[CSubjID]], tblClassSubjs[CSubjID],tblClassSubjs[ClassID]),tblClasses[ClassID],tblClasses[STermID])</f>
        <v>1</v>
      </c>
      <c r="T185" t="str">
        <f>LOOKUP(S185,tblSchoolTerms[STermID],tblSchoolTerms[SemesterID]&amp;" Semester "&amp;tblSchoolTerms[SchoolYear])</f>
        <v>2 Semester S.Y. 2018-2019</v>
      </c>
      <c r="W1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5" t="e">
        <f t="array" ref="Y185">INDEX(tblEnrolledStuds[EStudID],MATCH(tblEnrolledSubjs[[#This Row],[EStudID]]&amp;S185,tblEnrolledStuds[AdmissionStatusID]&amp;tblEnrolledStuds[StudID],0))</f>
        <v>#N/A</v>
      </c>
    </row>
    <row r="186" spans="2:25" x14ac:dyDescent="0.25">
      <c r="B186">
        <v>184</v>
      </c>
      <c r="C186">
        <v>19</v>
      </c>
      <c r="D186">
        <v>55</v>
      </c>
      <c r="P186" t="str">
        <f t="shared" si="2"/>
        <v>(NULL,"19","55"),</v>
      </c>
      <c r="Q186" t="str">
        <f>TextJoin(tblEnrolledSubjs[[#This Row],[CSubjID]:[EStudID]],"Value")</f>
        <v>"19","55"</v>
      </c>
      <c r="S186">
        <f>LOOKUP(LOOKUP(tblEnrolledSubjs[[#This Row],[CSubjID]], tblClassSubjs[CSubjID],tblClassSubjs[ClassID]),tblClasses[ClassID],tblClasses[STermID])</f>
        <v>1</v>
      </c>
      <c r="T186" t="str">
        <f>LOOKUP(S186,tblSchoolTerms[STermID],tblSchoolTerms[SemesterID]&amp;" Semester "&amp;tblSchoolTerms[SchoolYear])</f>
        <v>2 Semester S.Y. 2018-2019</v>
      </c>
      <c r="W1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6" t="e">
        <f t="array" ref="Y186">INDEX(tblEnrolledStuds[EStudID],MATCH(tblEnrolledSubjs[[#This Row],[EStudID]]&amp;S186,tblEnrolledStuds[AdmissionStatusID]&amp;tblEnrolledStuds[StudID],0))</f>
        <v>#N/A</v>
      </c>
    </row>
    <row r="187" spans="2:25" x14ac:dyDescent="0.25">
      <c r="B187">
        <v>185</v>
      </c>
      <c r="C187">
        <v>19</v>
      </c>
      <c r="D187">
        <v>60</v>
      </c>
      <c r="P187" t="str">
        <f t="shared" si="2"/>
        <v>(NULL,"19","60"),</v>
      </c>
      <c r="Q187" t="str">
        <f>TextJoin(tblEnrolledSubjs[[#This Row],[CSubjID]:[EStudID]],"Value")</f>
        <v>"19","60"</v>
      </c>
      <c r="S187">
        <f>LOOKUP(LOOKUP(tblEnrolledSubjs[[#This Row],[CSubjID]], tblClassSubjs[CSubjID],tblClassSubjs[ClassID]),tblClasses[ClassID],tblClasses[STermID])</f>
        <v>1</v>
      </c>
      <c r="T187" t="str">
        <f>LOOKUP(S187,tblSchoolTerms[STermID],tblSchoolTerms[SemesterID]&amp;" Semester "&amp;tblSchoolTerms[SchoolYear])</f>
        <v>2 Semester S.Y. 2018-2019</v>
      </c>
      <c r="W1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7" t="e">
        <f t="array" ref="Y187">INDEX(tblEnrolledStuds[EStudID],MATCH(tblEnrolledSubjs[[#This Row],[EStudID]]&amp;S187,tblEnrolledStuds[AdmissionStatusID]&amp;tblEnrolledStuds[StudID],0))</f>
        <v>#N/A</v>
      </c>
    </row>
    <row r="188" spans="2:25" x14ac:dyDescent="0.25">
      <c r="B188">
        <v>186</v>
      </c>
      <c r="C188">
        <v>19</v>
      </c>
      <c r="D188">
        <v>61</v>
      </c>
      <c r="P188" t="str">
        <f t="shared" si="2"/>
        <v>(NULL,"19","61"),</v>
      </c>
      <c r="Q188" t="str">
        <f>TextJoin(tblEnrolledSubjs[[#This Row],[CSubjID]:[EStudID]],"Value")</f>
        <v>"19","61"</v>
      </c>
      <c r="S188">
        <f>LOOKUP(LOOKUP(tblEnrolledSubjs[[#This Row],[CSubjID]], tblClassSubjs[CSubjID],tblClassSubjs[ClassID]),tblClasses[ClassID],tblClasses[STermID])</f>
        <v>1</v>
      </c>
      <c r="T188" t="str">
        <f>LOOKUP(S188,tblSchoolTerms[STermID],tblSchoolTerms[SemesterID]&amp;" Semester "&amp;tblSchoolTerms[SchoolYear])</f>
        <v>2 Semester S.Y. 2018-2019</v>
      </c>
      <c r="W1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8" t="e">
        <f t="array" ref="Y188">INDEX(tblEnrolledStuds[EStudID],MATCH(tblEnrolledSubjs[[#This Row],[EStudID]]&amp;S188,tblEnrolledStuds[AdmissionStatusID]&amp;tblEnrolledStuds[StudID],0))</f>
        <v>#N/A</v>
      </c>
    </row>
    <row r="189" spans="2:25" x14ac:dyDescent="0.25">
      <c r="B189">
        <v>187</v>
      </c>
      <c r="C189">
        <v>19</v>
      </c>
      <c r="D189">
        <v>62</v>
      </c>
      <c r="P189" t="str">
        <f t="shared" si="2"/>
        <v>(NULL,"19","62"),</v>
      </c>
      <c r="Q189" t="str">
        <f>TextJoin(tblEnrolledSubjs[[#This Row],[CSubjID]:[EStudID]],"Value")</f>
        <v>"19","62"</v>
      </c>
      <c r="S189">
        <f>LOOKUP(LOOKUP(tblEnrolledSubjs[[#This Row],[CSubjID]], tblClassSubjs[CSubjID],tblClassSubjs[ClassID]),tblClasses[ClassID],tblClasses[STermID])</f>
        <v>1</v>
      </c>
      <c r="T189" t="str">
        <f>LOOKUP(S189,tblSchoolTerms[STermID],tblSchoolTerms[SemesterID]&amp;" Semester "&amp;tblSchoolTerms[SchoolYear])</f>
        <v>2 Semester S.Y. 2018-2019</v>
      </c>
      <c r="W1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89" t="e">
        <f t="array" ref="Y189">INDEX(tblEnrolledStuds[EStudID],MATCH(tblEnrolledSubjs[[#This Row],[EStudID]]&amp;S189,tblEnrolledStuds[AdmissionStatusID]&amp;tblEnrolledStuds[StudID],0))</f>
        <v>#N/A</v>
      </c>
    </row>
    <row r="190" spans="2:25" x14ac:dyDescent="0.25">
      <c r="B190">
        <v>188</v>
      </c>
      <c r="C190">
        <v>19</v>
      </c>
      <c r="D190">
        <v>64</v>
      </c>
      <c r="P190" t="str">
        <f t="shared" si="2"/>
        <v>(NULL,"19","64"),</v>
      </c>
      <c r="Q190" t="str">
        <f>TextJoin(tblEnrolledSubjs[[#This Row],[CSubjID]:[EStudID]],"Value")</f>
        <v>"19","64"</v>
      </c>
      <c r="S190">
        <f>LOOKUP(LOOKUP(tblEnrolledSubjs[[#This Row],[CSubjID]], tblClassSubjs[CSubjID],tblClassSubjs[ClassID]),tblClasses[ClassID],tblClasses[STermID])</f>
        <v>1</v>
      </c>
      <c r="T190" t="str">
        <f>LOOKUP(S190,tblSchoolTerms[STermID],tblSchoolTerms[SemesterID]&amp;" Semester "&amp;tblSchoolTerms[SchoolYear])</f>
        <v>2 Semester S.Y. 2018-2019</v>
      </c>
      <c r="W1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0" t="e">
        <f t="array" ref="Y190">INDEX(tblEnrolledStuds[EStudID],MATCH(tblEnrolledSubjs[[#This Row],[EStudID]]&amp;S190,tblEnrolledStuds[AdmissionStatusID]&amp;tblEnrolledStuds[StudID],0))</f>
        <v>#N/A</v>
      </c>
    </row>
    <row r="191" spans="2:25" x14ac:dyDescent="0.25">
      <c r="B191">
        <v>189</v>
      </c>
      <c r="C191">
        <v>19</v>
      </c>
      <c r="D191">
        <v>46</v>
      </c>
      <c r="P191" t="str">
        <f t="shared" si="2"/>
        <v>(NULL,"19","46"),</v>
      </c>
      <c r="Q191" t="str">
        <f>TextJoin(tblEnrolledSubjs[[#This Row],[CSubjID]:[EStudID]],"Value")</f>
        <v>"19","46"</v>
      </c>
      <c r="S191">
        <f>LOOKUP(LOOKUP(tblEnrolledSubjs[[#This Row],[CSubjID]], tblClassSubjs[CSubjID],tblClassSubjs[ClassID]),tblClasses[ClassID],tblClasses[STermID])</f>
        <v>1</v>
      </c>
      <c r="T191" t="str">
        <f>LOOKUP(S191,tblSchoolTerms[STermID],tblSchoolTerms[SemesterID]&amp;" Semester "&amp;tblSchoolTerms[SchoolYear])</f>
        <v>2 Semester S.Y. 2018-2019</v>
      </c>
      <c r="W1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1" t="e">
        <f t="array" ref="Y191">INDEX(tblEnrolledStuds[EStudID],MATCH(tblEnrolledSubjs[[#This Row],[EStudID]]&amp;S191,tblEnrolledStuds[AdmissionStatusID]&amp;tblEnrolledStuds[StudID],0))</f>
        <v>#N/A</v>
      </c>
    </row>
    <row r="192" spans="2:25" x14ac:dyDescent="0.25">
      <c r="B192">
        <v>190</v>
      </c>
      <c r="C192">
        <v>20</v>
      </c>
      <c r="D192">
        <v>2</v>
      </c>
      <c r="P192" t="str">
        <f t="shared" si="2"/>
        <v>(NULL,"20","2"),</v>
      </c>
      <c r="Q192" t="str">
        <f>TextJoin(tblEnrolledSubjs[[#This Row],[CSubjID]:[EStudID]],"Value")</f>
        <v>"20","2"</v>
      </c>
      <c r="S192">
        <f>LOOKUP(LOOKUP(tblEnrolledSubjs[[#This Row],[CSubjID]], tblClassSubjs[CSubjID],tblClassSubjs[ClassID]),tblClasses[ClassID],tblClasses[STermID])</f>
        <v>1</v>
      </c>
      <c r="T192" t="str">
        <f>LOOKUP(S192,tblSchoolTerms[STermID],tblSchoolTerms[SemesterID]&amp;" Semester "&amp;tblSchoolTerms[SchoolYear])</f>
        <v>2 Semester S.Y. 2018-2019</v>
      </c>
      <c r="W1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2">
        <f t="array" ref="Y192">INDEX(tblEnrolledStuds[EStudID],MATCH(tblEnrolledSubjs[[#This Row],[EStudID]]&amp;S192,tblEnrolledStuds[AdmissionStatusID]&amp;tblEnrolledStuds[StudID],0))</f>
        <v>140</v>
      </c>
    </row>
    <row r="193" spans="2:25" x14ac:dyDescent="0.25">
      <c r="B193">
        <v>191</v>
      </c>
      <c r="C193">
        <v>20</v>
      </c>
      <c r="D193">
        <v>6</v>
      </c>
      <c r="P193" t="str">
        <f t="shared" si="2"/>
        <v>(NULL,"20","6"),</v>
      </c>
      <c r="Q193" t="str">
        <f>TextJoin(tblEnrolledSubjs[[#This Row],[CSubjID]:[EStudID]],"Value")</f>
        <v>"20","6"</v>
      </c>
      <c r="S193">
        <f>LOOKUP(LOOKUP(tblEnrolledSubjs[[#This Row],[CSubjID]], tblClassSubjs[CSubjID],tblClassSubjs[ClassID]),tblClasses[ClassID],tblClasses[STermID])</f>
        <v>1</v>
      </c>
      <c r="T193" t="str">
        <f>LOOKUP(S193,tblSchoolTerms[STermID],tblSchoolTerms[SemesterID]&amp;" Semester "&amp;tblSchoolTerms[SchoolYear])</f>
        <v>2 Semester S.Y. 2018-2019</v>
      </c>
      <c r="W1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3" t="e">
        <f t="array" ref="Y193">INDEX(tblEnrolledStuds[EStudID],MATCH(tblEnrolledSubjs[[#This Row],[EStudID]]&amp;S193,tblEnrolledStuds[AdmissionStatusID]&amp;tblEnrolledStuds[StudID],0))</f>
        <v>#N/A</v>
      </c>
    </row>
    <row r="194" spans="2:25" x14ac:dyDescent="0.25">
      <c r="B194">
        <v>192</v>
      </c>
      <c r="C194">
        <v>20</v>
      </c>
      <c r="D194">
        <v>8</v>
      </c>
      <c r="P194" t="str">
        <f t="shared" si="2"/>
        <v>(NULL,"20","8"),</v>
      </c>
      <c r="Q194" t="str">
        <f>TextJoin(tblEnrolledSubjs[[#This Row],[CSubjID]:[EStudID]],"Value")</f>
        <v>"20","8"</v>
      </c>
      <c r="S194">
        <f>LOOKUP(LOOKUP(tblEnrolledSubjs[[#This Row],[CSubjID]], tblClassSubjs[CSubjID],tblClassSubjs[ClassID]),tblClasses[ClassID],tblClasses[STermID])</f>
        <v>1</v>
      </c>
      <c r="T194" t="str">
        <f>LOOKUP(S194,tblSchoolTerms[STermID],tblSchoolTerms[SemesterID]&amp;" Semester "&amp;tblSchoolTerms[SchoolYear])</f>
        <v>2 Semester S.Y. 2018-2019</v>
      </c>
      <c r="W1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4" t="e">
        <f t="array" ref="Y194">INDEX(tblEnrolledStuds[EStudID],MATCH(tblEnrolledSubjs[[#This Row],[EStudID]]&amp;S194,tblEnrolledStuds[AdmissionStatusID]&amp;tblEnrolledStuds[StudID],0))</f>
        <v>#N/A</v>
      </c>
    </row>
    <row r="195" spans="2:25" x14ac:dyDescent="0.25">
      <c r="B195">
        <v>193</v>
      </c>
      <c r="C195">
        <v>20</v>
      </c>
      <c r="D195">
        <v>9</v>
      </c>
      <c r="P195" t="str">
        <f t="shared" si="2"/>
        <v>(NULL,"20","9"),</v>
      </c>
      <c r="Q195" t="str">
        <f>TextJoin(tblEnrolledSubjs[[#This Row],[CSubjID]:[EStudID]],"Value")</f>
        <v>"20","9"</v>
      </c>
      <c r="S195">
        <f>LOOKUP(LOOKUP(tblEnrolledSubjs[[#This Row],[CSubjID]], tblClassSubjs[CSubjID],tblClassSubjs[ClassID]),tblClasses[ClassID],tblClasses[STermID])</f>
        <v>1</v>
      </c>
      <c r="T195" t="str">
        <f>LOOKUP(S195,tblSchoolTerms[STermID],tblSchoolTerms[SemesterID]&amp;" Semester "&amp;tblSchoolTerms[SchoolYear])</f>
        <v>2 Semester S.Y. 2018-2019</v>
      </c>
      <c r="W1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5" t="e">
        <f t="array" ref="Y195">INDEX(tblEnrolledStuds[EStudID],MATCH(tblEnrolledSubjs[[#This Row],[EStudID]]&amp;S195,tblEnrolledStuds[AdmissionStatusID]&amp;tblEnrolledStuds[StudID],0))</f>
        <v>#N/A</v>
      </c>
    </row>
    <row r="196" spans="2:25" x14ac:dyDescent="0.25">
      <c r="B196">
        <v>194</v>
      </c>
      <c r="C196">
        <v>20</v>
      </c>
      <c r="D196">
        <v>13</v>
      </c>
      <c r="P196" t="str">
        <f t="shared" ref="P196:P259" si="3">"(NULL,"&amp;Q196&amp;")"&amp;IF(P197&lt;&gt;"",",",";")</f>
        <v>(NULL,"20","13"),</v>
      </c>
      <c r="Q196" t="str">
        <f>TextJoin(tblEnrolledSubjs[[#This Row],[CSubjID]:[EStudID]],"Value")</f>
        <v>"20","13"</v>
      </c>
      <c r="S196">
        <f>LOOKUP(LOOKUP(tblEnrolledSubjs[[#This Row],[CSubjID]], tblClassSubjs[CSubjID],tblClassSubjs[ClassID]),tblClasses[ClassID],tblClasses[STermID])</f>
        <v>1</v>
      </c>
      <c r="T196" t="str">
        <f>LOOKUP(S196,tblSchoolTerms[STermID],tblSchoolTerms[SemesterID]&amp;" Semester "&amp;tblSchoolTerms[SchoolYear])</f>
        <v>2 Semester S.Y. 2018-2019</v>
      </c>
      <c r="W1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6" t="e">
        <f t="array" ref="Y196">INDEX(tblEnrolledStuds[EStudID],MATCH(tblEnrolledSubjs[[#This Row],[EStudID]]&amp;S196,tblEnrolledStuds[AdmissionStatusID]&amp;tblEnrolledStuds[StudID],0))</f>
        <v>#N/A</v>
      </c>
    </row>
    <row r="197" spans="2:25" x14ac:dyDescent="0.25">
      <c r="B197">
        <v>195</v>
      </c>
      <c r="C197">
        <v>20</v>
      </c>
      <c r="D197">
        <v>14</v>
      </c>
      <c r="P197" t="str">
        <f t="shared" si="3"/>
        <v>(NULL,"20","14"),</v>
      </c>
      <c r="Q197" t="str">
        <f>TextJoin(tblEnrolledSubjs[[#This Row],[CSubjID]:[EStudID]],"Value")</f>
        <v>"20","14"</v>
      </c>
      <c r="S197">
        <f>LOOKUP(LOOKUP(tblEnrolledSubjs[[#This Row],[CSubjID]], tblClassSubjs[CSubjID],tblClassSubjs[ClassID]),tblClasses[ClassID],tblClasses[STermID])</f>
        <v>1</v>
      </c>
      <c r="T197" t="str">
        <f>LOOKUP(S197,tblSchoolTerms[STermID],tblSchoolTerms[SemesterID]&amp;" Semester "&amp;tblSchoolTerms[SchoolYear])</f>
        <v>2 Semester S.Y. 2018-2019</v>
      </c>
      <c r="W1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7" t="e">
        <f t="array" ref="Y197">INDEX(tblEnrolledStuds[EStudID],MATCH(tblEnrolledSubjs[[#This Row],[EStudID]]&amp;S197,tblEnrolledStuds[AdmissionStatusID]&amp;tblEnrolledStuds[StudID],0))</f>
        <v>#N/A</v>
      </c>
    </row>
    <row r="198" spans="2:25" x14ac:dyDescent="0.25">
      <c r="B198">
        <v>196</v>
      </c>
      <c r="C198">
        <v>20</v>
      </c>
      <c r="D198">
        <v>15</v>
      </c>
      <c r="P198" t="str">
        <f t="shared" si="3"/>
        <v>(NULL,"20","15"),</v>
      </c>
      <c r="Q198" t="str">
        <f>TextJoin(tblEnrolledSubjs[[#This Row],[CSubjID]:[EStudID]],"Value")</f>
        <v>"20","15"</v>
      </c>
      <c r="S198">
        <f>LOOKUP(LOOKUP(tblEnrolledSubjs[[#This Row],[CSubjID]], tblClassSubjs[CSubjID],tblClassSubjs[ClassID]),tblClasses[ClassID],tblClasses[STermID])</f>
        <v>1</v>
      </c>
      <c r="T198" t="str">
        <f>LOOKUP(S198,tblSchoolTerms[STermID],tblSchoolTerms[SemesterID]&amp;" Semester "&amp;tblSchoolTerms[SchoolYear])</f>
        <v>2 Semester S.Y. 2018-2019</v>
      </c>
      <c r="W1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8" t="e">
        <f t="array" ref="Y198">INDEX(tblEnrolledStuds[EStudID],MATCH(tblEnrolledSubjs[[#This Row],[EStudID]]&amp;S198,tblEnrolledStuds[AdmissionStatusID]&amp;tblEnrolledStuds[StudID],0))</f>
        <v>#N/A</v>
      </c>
    </row>
    <row r="199" spans="2:25" x14ac:dyDescent="0.25">
      <c r="B199">
        <v>197</v>
      </c>
      <c r="C199">
        <v>20</v>
      </c>
      <c r="D199">
        <v>21</v>
      </c>
      <c r="P199" t="str">
        <f t="shared" si="3"/>
        <v>(NULL,"20","21"),</v>
      </c>
      <c r="Q199" t="str">
        <f>TextJoin(tblEnrolledSubjs[[#This Row],[CSubjID]:[EStudID]],"Value")</f>
        <v>"20","21"</v>
      </c>
      <c r="S199">
        <f>LOOKUP(LOOKUP(tblEnrolledSubjs[[#This Row],[CSubjID]], tblClassSubjs[CSubjID],tblClassSubjs[ClassID]),tblClasses[ClassID],tblClasses[STermID])</f>
        <v>1</v>
      </c>
      <c r="T199" t="str">
        <f>LOOKUP(S199,tblSchoolTerms[STermID],tblSchoolTerms[SemesterID]&amp;" Semester "&amp;tblSchoolTerms[SchoolYear])</f>
        <v>2 Semester S.Y. 2018-2019</v>
      </c>
      <c r="W1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99" t="e">
        <f t="array" ref="Y199">INDEX(tblEnrolledStuds[EStudID],MATCH(tblEnrolledSubjs[[#This Row],[EStudID]]&amp;S199,tblEnrolledStuds[AdmissionStatusID]&amp;tblEnrolledStuds[StudID],0))</f>
        <v>#N/A</v>
      </c>
    </row>
    <row r="200" spans="2:25" x14ac:dyDescent="0.25">
      <c r="B200">
        <v>198</v>
      </c>
      <c r="C200">
        <v>20</v>
      </c>
      <c r="D200">
        <v>24</v>
      </c>
      <c r="P200" t="str">
        <f t="shared" si="3"/>
        <v>(NULL,"20","24"),</v>
      </c>
      <c r="Q200" t="str">
        <f>TextJoin(tblEnrolledSubjs[[#This Row],[CSubjID]:[EStudID]],"Value")</f>
        <v>"20","24"</v>
      </c>
      <c r="S200">
        <f>LOOKUP(LOOKUP(tblEnrolledSubjs[[#This Row],[CSubjID]], tblClassSubjs[CSubjID],tblClassSubjs[ClassID]),tblClasses[ClassID],tblClasses[STermID])</f>
        <v>1</v>
      </c>
      <c r="T200" t="str">
        <f>LOOKUP(S200,tblSchoolTerms[STermID],tblSchoolTerms[SemesterID]&amp;" Semester "&amp;tblSchoolTerms[SchoolYear])</f>
        <v>2 Semester S.Y. 2018-2019</v>
      </c>
      <c r="W2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0" t="e">
        <f t="array" ref="Y200">INDEX(tblEnrolledStuds[EStudID],MATCH(tblEnrolledSubjs[[#This Row],[EStudID]]&amp;S200,tblEnrolledStuds[AdmissionStatusID]&amp;tblEnrolledStuds[StudID],0))</f>
        <v>#N/A</v>
      </c>
    </row>
    <row r="201" spans="2:25" x14ac:dyDescent="0.25">
      <c r="B201">
        <v>199</v>
      </c>
      <c r="C201">
        <v>20</v>
      </c>
      <c r="D201">
        <v>36</v>
      </c>
      <c r="P201" t="str">
        <f t="shared" si="3"/>
        <v>(NULL,"20","36"),</v>
      </c>
      <c r="Q201" t="str">
        <f>TextJoin(tblEnrolledSubjs[[#This Row],[CSubjID]:[EStudID]],"Value")</f>
        <v>"20","36"</v>
      </c>
      <c r="S201">
        <f>LOOKUP(LOOKUP(tblEnrolledSubjs[[#This Row],[CSubjID]], tblClassSubjs[CSubjID],tblClassSubjs[ClassID]),tblClasses[ClassID],tblClasses[STermID])</f>
        <v>1</v>
      </c>
      <c r="T201" t="str">
        <f>LOOKUP(S201,tblSchoolTerms[STermID],tblSchoolTerms[SemesterID]&amp;" Semester "&amp;tblSchoolTerms[SchoolYear])</f>
        <v>2 Semester S.Y. 2018-2019</v>
      </c>
      <c r="W2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1">
        <f t="array" ref="Y201">INDEX(tblEnrolledStuds[EStudID],MATCH(tblEnrolledSubjs[[#This Row],[EStudID]]&amp;S201,tblEnrolledStuds[AdmissionStatusID]&amp;tblEnrolledStuds[StudID],0))</f>
        <v>61</v>
      </c>
    </row>
    <row r="202" spans="2:25" x14ac:dyDescent="0.25">
      <c r="B202">
        <v>200</v>
      </c>
      <c r="C202">
        <v>20</v>
      </c>
      <c r="D202">
        <v>44</v>
      </c>
      <c r="P202" t="str">
        <f t="shared" si="3"/>
        <v>(NULL,"20","44"),</v>
      </c>
      <c r="Q202" t="str">
        <f>TextJoin(tblEnrolledSubjs[[#This Row],[CSubjID]:[EStudID]],"Value")</f>
        <v>"20","44"</v>
      </c>
      <c r="S202">
        <f>LOOKUP(LOOKUP(tblEnrolledSubjs[[#This Row],[CSubjID]], tblClassSubjs[CSubjID],tblClassSubjs[ClassID]),tblClasses[ClassID],tblClasses[STermID])</f>
        <v>1</v>
      </c>
      <c r="T202" t="str">
        <f>LOOKUP(S202,tblSchoolTerms[STermID],tblSchoolTerms[SemesterID]&amp;" Semester "&amp;tblSchoolTerms[SchoolYear])</f>
        <v>2 Semester S.Y. 2018-2019</v>
      </c>
      <c r="W2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2" t="e">
        <f t="array" ref="Y202">INDEX(tblEnrolledStuds[EStudID],MATCH(tblEnrolledSubjs[[#This Row],[EStudID]]&amp;S202,tblEnrolledStuds[AdmissionStatusID]&amp;tblEnrolledStuds[StudID],0))</f>
        <v>#N/A</v>
      </c>
    </row>
    <row r="203" spans="2:25" x14ac:dyDescent="0.25">
      <c r="B203">
        <v>201</v>
      </c>
      <c r="C203">
        <v>20</v>
      </c>
      <c r="D203">
        <v>45</v>
      </c>
      <c r="P203" t="str">
        <f t="shared" si="3"/>
        <v>(NULL,"20","45"),</v>
      </c>
      <c r="Q203" t="str">
        <f>TextJoin(tblEnrolledSubjs[[#This Row],[CSubjID]:[EStudID]],"Value")</f>
        <v>"20","45"</v>
      </c>
      <c r="S203">
        <f>LOOKUP(LOOKUP(tblEnrolledSubjs[[#This Row],[CSubjID]], tblClassSubjs[CSubjID],tblClassSubjs[ClassID]),tblClasses[ClassID],tblClasses[STermID])</f>
        <v>1</v>
      </c>
      <c r="T203" t="str">
        <f>LOOKUP(S203,tblSchoolTerms[STermID],tblSchoolTerms[SemesterID]&amp;" Semester "&amp;tblSchoolTerms[SchoolYear])</f>
        <v>2 Semester S.Y. 2018-2019</v>
      </c>
      <c r="W2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3" t="e">
        <f t="array" ref="Y203">INDEX(tblEnrolledStuds[EStudID],MATCH(tblEnrolledSubjs[[#This Row],[EStudID]]&amp;S203,tblEnrolledStuds[AdmissionStatusID]&amp;tblEnrolledStuds[StudID],0))</f>
        <v>#N/A</v>
      </c>
    </row>
    <row r="204" spans="2:25" x14ac:dyDescent="0.25">
      <c r="B204">
        <v>202</v>
      </c>
      <c r="C204">
        <v>20</v>
      </c>
      <c r="D204">
        <v>49</v>
      </c>
      <c r="P204" t="str">
        <f t="shared" si="3"/>
        <v>(NULL,"20","49"),</v>
      </c>
      <c r="Q204" t="str">
        <f>TextJoin(tblEnrolledSubjs[[#This Row],[CSubjID]:[EStudID]],"Value")</f>
        <v>"20","49"</v>
      </c>
      <c r="S204">
        <f>LOOKUP(LOOKUP(tblEnrolledSubjs[[#This Row],[CSubjID]], tblClassSubjs[CSubjID],tblClassSubjs[ClassID]),tblClasses[ClassID],tblClasses[STermID])</f>
        <v>1</v>
      </c>
      <c r="T204" t="str">
        <f>LOOKUP(S204,tblSchoolTerms[STermID],tblSchoolTerms[SemesterID]&amp;" Semester "&amp;tblSchoolTerms[SchoolYear])</f>
        <v>2 Semester S.Y. 2018-2019</v>
      </c>
      <c r="W2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4" t="e">
        <f t="array" ref="Y204">INDEX(tblEnrolledStuds[EStudID],MATCH(tblEnrolledSubjs[[#This Row],[EStudID]]&amp;S204,tblEnrolledStuds[AdmissionStatusID]&amp;tblEnrolledStuds[StudID],0))</f>
        <v>#N/A</v>
      </c>
    </row>
    <row r="205" spans="2:25" x14ac:dyDescent="0.25">
      <c r="B205">
        <v>203</v>
      </c>
      <c r="C205">
        <v>20</v>
      </c>
      <c r="D205">
        <v>55</v>
      </c>
      <c r="P205" t="str">
        <f t="shared" si="3"/>
        <v>(NULL,"20","55"),</v>
      </c>
      <c r="Q205" t="str">
        <f>TextJoin(tblEnrolledSubjs[[#This Row],[CSubjID]:[EStudID]],"Value")</f>
        <v>"20","55"</v>
      </c>
      <c r="S205">
        <f>LOOKUP(LOOKUP(tblEnrolledSubjs[[#This Row],[CSubjID]], tblClassSubjs[CSubjID],tblClassSubjs[ClassID]),tblClasses[ClassID],tblClasses[STermID])</f>
        <v>1</v>
      </c>
      <c r="T205" t="str">
        <f>LOOKUP(S205,tblSchoolTerms[STermID],tblSchoolTerms[SemesterID]&amp;" Semester "&amp;tblSchoolTerms[SchoolYear])</f>
        <v>2 Semester S.Y. 2018-2019</v>
      </c>
      <c r="W2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5" t="e">
        <f t="array" ref="Y205">INDEX(tblEnrolledStuds[EStudID],MATCH(tblEnrolledSubjs[[#This Row],[EStudID]]&amp;S205,tblEnrolledStuds[AdmissionStatusID]&amp;tblEnrolledStuds[StudID],0))</f>
        <v>#N/A</v>
      </c>
    </row>
    <row r="206" spans="2:25" x14ac:dyDescent="0.25">
      <c r="B206">
        <v>204</v>
      </c>
      <c r="C206">
        <v>20</v>
      </c>
      <c r="D206">
        <v>60</v>
      </c>
      <c r="P206" t="str">
        <f t="shared" si="3"/>
        <v>(NULL,"20","60"),</v>
      </c>
      <c r="Q206" t="str">
        <f>TextJoin(tblEnrolledSubjs[[#This Row],[CSubjID]:[EStudID]],"Value")</f>
        <v>"20","60"</v>
      </c>
      <c r="S206">
        <f>LOOKUP(LOOKUP(tblEnrolledSubjs[[#This Row],[CSubjID]], tblClassSubjs[CSubjID],tblClassSubjs[ClassID]),tblClasses[ClassID],tblClasses[STermID])</f>
        <v>1</v>
      </c>
      <c r="T206" t="str">
        <f>LOOKUP(S206,tblSchoolTerms[STermID],tblSchoolTerms[SemesterID]&amp;" Semester "&amp;tblSchoolTerms[SchoolYear])</f>
        <v>2 Semester S.Y. 2018-2019</v>
      </c>
      <c r="W2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6" t="e">
        <f t="array" ref="Y206">INDEX(tblEnrolledStuds[EStudID],MATCH(tblEnrolledSubjs[[#This Row],[EStudID]]&amp;S206,tblEnrolledStuds[AdmissionStatusID]&amp;tblEnrolledStuds[StudID],0))</f>
        <v>#N/A</v>
      </c>
    </row>
    <row r="207" spans="2:25" x14ac:dyDescent="0.25">
      <c r="B207">
        <v>205</v>
      </c>
      <c r="C207">
        <v>20</v>
      </c>
      <c r="D207">
        <v>61</v>
      </c>
      <c r="P207" t="str">
        <f t="shared" si="3"/>
        <v>(NULL,"20","61"),</v>
      </c>
      <c r="Q207" t="str">
        <f>TextJoin(tblEnrolledSubjs[[#This Row],[CSubjID]:[EStudID]],"Value")</f>
        <v>"20","61"</v>
      </c>
      <c r="S207">
        <f>LOOKUP(LOOKUP(tblEnrolledSubjs[[#This Row],[CSubjID]], tblClassSubjs[CSubjID],tblClassSubjs[ClassID]),tblClasses[ClassID],tblClasses[STermID])</f>
        <v>1</v>
      </c>
      <c r="T207" t="str">
        <f>LOOKUP(S207,tblSchoolTerms[STermID],tblSchoolTerms[SemesterID]&amp;" Semester "&amp;tblSchoolTerms[SchoolYear])</f>
        <v>2 Semester S.Y. 2018-2019</v>
      </c>
      <c r="W2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7" t="e">
        <f t="array" ref="Y207">INDEX(tblEnrolledStuds[EStudID],MATCH(tblEnrolledSubjs[[#This Row],[EStudID]]&amp;S207,tblEnrolledStuds[AdmissionStatusID]&amp;tblEnrolledStuds[StudID],0))</f>
        <v>#N/A</v>
      </c>
    </row>
    <row r="208" spans="2:25" x14ac:dyDescent="0.25">
      <c r="B208">
        <v>206</v>
      </c>
      <c r="C208">
        <v>20</v>
      </c>
      <c r="D208">
        <v>62</v>
      </c>
      <c r="P208" t="str">
        <f t="shared" si="3"/>
        <v>(NULL,"20","62"),</v>
      </c>
      <c r="Q208" t="str">
        <f>TextJoin(tblEnrolledSubjs[[#This Row],[CSubjID]:[EStudID]],"Value")</f>
        <v>"20","62"</v>
      </c>
      <c r="S208">
        <f>LOOKUP(LOOKUP(tblEnrolledSubjs[[#This Row],[CSubjID]], tblClassSubjs[CSubjID],tblClassSubjs[ClassID]),tblClasses[ClassID],tblClasses[STermID])</f>
        <v>1</v>
      </c>
      <c r="T208" t="str">
        <f>LOOKUP(S208,tblSchoolTerms[STermID],tblSchoolTerms[SemesterID]&amp;" Semester "&amp;tblSchoolTerms[SchoolYear])</f>
        <v>2 Semester S.Y. 2018-2019</v>
      </c>
      <c r="W2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8" t="e">
        <f t="array" ref="Y208">INDEX(tblEnrolledStuds[EStudID],MATCH(tblEnrolledSubjs[[#This Row],[EStudID]]&amp;S208,tblEnrolledStuds[AdmissionStatusID]&amp;tblEnrolledStuds[StudID],0))</f>
        <v>#N/A</v>
      </c>
    </row>
    <row r="209" spans="2:25" x14ac:dyDescent="0.25">
      <c r="B209">
        <v>207</v>
      </c>
      <c r="C209">
        <v>20</v>
      </c>
      <c r="D209">
        <v>64</v>
      </c>
      <c r="P209" t="str">
        <f t="shared" si="3"/>
        <v>(NULL,"20","64"),</v>
      </c>
      <c r="Q209" t="str">
        <f>TextJoin(tblEnrolledSubjs[[#This Row],[CSubjID]:[EStudID]],"Value")</f>
        <v>"20","64"</v>
      </c>
      <c r="S209">
        <f>LOOKUP(LOOKUP(tblEnrolledSubjs[[#This Row],[CSubjID]], tblClassSubjs[CSubjID],tblClassSubjs[ClassID]),tblClasses[ClassID],tblClasses[STermID])</f>
        <v>1</v>
      </c>
      <c r="T209" t="str">
        <f>LOOKUP(S209,tblSchoolTerms[STermID],tblSchoolTerms[SemesterID]&amp;" Semester "&amp;tblSchoolTerms[SchoolYear])</f>
        <v>2 Semester S.Y. 2018-2019</v>
      </c>
      <c r="W2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09" t="e">
        <f t="array" ref="Y209">INDEX(tblEnrolledStuds[EStudID],MATCH(tblEnrolledSubjs[[#This Row],[EStudID]]&amp;S209,tblEnrolledStuds[AdmissionStatusID]&amp;tblEnrolledStuds[StudID],0))</f>
        <v>#N/A</v>
      </c>
    </row>
    <row r="210" spans="2:25" x14ac:dyDescent="0.25">
      <c r="B210">
        <v>208</v>
      </c>
      <c r="C210">
        <v>21</v>
      </c>
      <c r="D210">
        <v>17</v>
      </c>
      <c r="P210" t="str">
        <f t="shared" si="3"/>
        <v>(NULL,"21","17"),</v>
      </c>
      <c r="Q210" t="str">
        <f>TextJoin(tblEnrolledSubjs[[#This Row],[CSubjID]:[EStudID]],"Value")</f>
        <v>"21","17"</v>
      </c>
      <c r="S210">
        <f>LOOKUP(LOOKUP(tblEnrolledSubjs[[#This Row],[CSubjID]], tblClassSubjs[CSubjID],tblClassSubjs[ClassID]),tblClasses[ClassID],tblClasses[STermID])</f>
        <v>1</v>
      </c>
      <c r="T210" t="str">
        <f>LOOKUP(S210,tblSchoolTerms[STermID],tblSchoolTerms[SemesterID]&amp;" Semester "&amp;tblSchoolTerms[SchoolYear])</f>
        <v>2 Semester S.Y. 2018-2019</v>
      </c>
      <c r="W2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0" t="e">
        <f t="array" ref="Y210">INDEX(tblEnrolledStuds[EStudID],MATCH(tblEnrolledSubjs[[#This Row],[EStudID]]&amp;S210,tblEnrolledStuds[AdmissionStatusID]&amp;tblEnrolledStuds[StudID],0))</f>
        <v>#N/A</v>
      </c>
    </row>
    <row r="211" spans="2:25" x14ac:dyDescent="0.25">
      <c r="B211">
        <v>209</v>
      </c>
      <c r="C211">
        <v>21</v>
      </c>
      <c r="D211">
        <v>52</v>
      </c>
      <c r="P211" t="str">
        <f t="shared" si="3"/>
        <v>(NULL,"21","52"),</v>
      </c>
      <c r="Q211" t="str">
        <f>TextJoin(tblEnrolledSubjs[[#This Row],[CSubjID]:[EStudID]],"Value")</f>
        <v>"21","52"</v>
      </c>
      <c r="S211">
        <f>LOOKUP(LOOKUP(tblEnrolledSubjs[[#This Row],[CSubjID]], tblClassSubjs[CSubjID],tblClassSubjs[ClassID]),tblClasses[ClassID],tblClasses[STermID])</f>
        <v>1</v>
      </c>
      <c r="T211" t="str">
        <f>LOOKUP(S211,tblSchoolTerms[STermID],tblSchoolTerms[SemesterID]&amp;" Semester "&amp;tblSchoolTerms[SchoolYear])</f>
        <v>2 Semester S.Y. 2018-2019</v>
      </c>
      <c r="W2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1" t="e">
        <f t="array" ref="Y211">INDEX(tblEnrolledStuds[EStudID],MATCH(tblEnrolledSubjs[[#This Row],[EStudID]]&amp;S211,tblEnrolledStuds[AdmissionStatusID]&amp;tblEnrolledStuds[StudID],0))</f>
        <v>#N/A</v>
      </c>
    </row>
    <row r="212" spans="2:25" x14ac:dyDescent="0.25">
      <c r="B212">
        <v>210</v>
      </c>
      <c r="C212">
        <v>21</v>
      </c>
      <c r="D212">
        <v>53</v>
      </c>
      <c r="P212" t="str">
        <f t="shared" si="3"/>
        <v>(NULL,"21","53"),</v>
      </c>
      <c r="Q212" t="str">
        <f>TextJoin(tblEnrolledSubjs[[#This Row],[CSubjID]:[EStudID]],"Value")</f>
        <v>"21","53"</v>
      </c>
      <c r="S212">
        <f>LOOKUP(LOOKUP(tblEnrolledSubjs[[#This Row],[CSubjID]], tblClassSubjs[CSubjID],tblClassSubjs[ClassID]),tblClasses[ClassID],tblClasses[STermID])</f>
        <v>1</v>
      </c>
      <c r="T212" t="str">
        <f>LOOKUP(S212,tblSchoolTerms[STermID],tblSchoolTerms[SemesterID]&amp;" Semester "&amp;tblSchoolTerms[SchoolYear])</f>
        <v>2 Semester S.Y. 2018-2019</v>
      </c>
      <c r="W2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2" t="e">
        <f t="array" ref="Y212">INDEX(tblEnrolledStuds[EStudID],MATCH(tblEnrolledSubjs[[#This Row],[EStudID]]&amp;S212,tblEnrolledStuds[AdmissionStatusID]&amp;tblEnrolledStuds[StudID],0))</f>
        <v>#N/A</v>
      </c>
    </row>
    <row r="213" spans="2:25" x14ac:dyDescent="0.25">
      <c r="B213">
        <v>211</v>
      </c>
      <c r="C213">
        <v>21</v>
      </c>
      <c r="D213">
        <v>58</v>
      </c>
      <c r="P213" t="str">
        <f t="shared" si="3"/>
        <v>(NULL,"21","58"),</v>
      </c>
      <c r="Q213" t="str">
        <f>TextJoin(tblEnrolledSubjs[[#This Row],[CSubjID]:[EStudID]],"Value")</f>
        <v>"21","58"</v>
      </c>
      <c r="S213">
        <f>LOOKUP(LOOKUP(tblEnrolledSubjs[[#This Row],[CSubjID]], tblClassSubjs[CSubjID],tblClassSubjs[ClassID]),tblClasses[ClassID],tblClasses[STermID])</f>
        <v>1</v>
      </c>
      <c r="T213" t="str">
        <f>LOOKUP(S213,tblSchoolTerms[STermID],tblSchoolTerms[SemesterID]&amp;" Semester "&amp;tblSchoolTerms[SchoolYear])</f>
        <v>2 Semester S.Y. 2018-2019</v>
      </c>
      <c r="W2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3" t="e">
        <f t="array" ref="Y213">INDEX(tblEnrolledStuds[EStudID],MATCH(tblEnrolledSubjs[[#This Row],[EStudID]]&amp;S213,tblEnrolledStuds[AdmissionStatusID]&amp;tblEnrolledStuds[StudID],0))</f>
        <v>#N/A</v>
      </c>
    </row>
    <row r="214" spans="2:25" x14ac:dyDescent="0.25">
      <c r="B214">
        <v>212</v>
      </c>
      <c r="C214">
        <v>21</v>
      </c>
      <c r="D214">
        <v>66</v>
      </c>
      <c r="P214" t="str">
        <f t="shared" si="3"/>
        <v>(NULL,"21","66"),</v>
      </c>
      <c r="Q214" t="str">
        <f>TextJoin(tblEnrolledSubjs[[#This Row],[CSubjID]:[EStudID]],"Value")</f>
        <v>"21","66"</v>
      </c>
      <c r="S214">
        <f>LOOKUP(LOOKUP(tblEnrolledSubjs[[#This Row],[CSubjID]], tblClassSubjs[CSubjID],tblClassSubjs[ClassID]),tblClasses[ClassID],tblClasses[STermID])</f>
        <v>1</v>
      </c>
      <c r="T214" t="str">
        <f>LOOKUP(S214,tblSchoolTerms[STermID],tblSchoolTerms[SemesterID]&amp;" Semester "&amp;tblSchoolTerms[SchoolYear])</f>
        <v>2 Semester S.Y. 2018-2019</v>
      </c>
      <c r="W2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4" t="e">
        <f t="array" ref="Y214">INDEX(tblEnrolledStuds[EStudID],MATCH(tblEnrolledSubjs[[#This Row],[EStudID]]&amp;S214,tblEnrolledStuds[AdmissionStatusID]&amp;tblEnrolledStuds[StudID],0))</f>
        <v>#N/A</v>
      </c>
    </row>
    <row r="215" spans="2:25" x14ac:dyDescent="0.25">
      <c r="B215">
        <v>213</v>
      </c>
      <c r="C215">
        <v>22</v>
      </c>
      <c r="D215">
        <v>2</v>
      </c>
      <c r="P215" t="str">
        <f t="shared" si="3"/>
        <v>(NULL,"22","2"),</v>
      </c>
      <c r="Q215" t="str">
        <f>TextJoin(tblEnrolledSubjs[[#This Row],[CSubjID]:[EStudID]],"Value")</f>
        <v>"22","2"</v>
      </c>
      <c r="S215">
        <f>LOOKUP(LOOKUP(tblEnrolledSubjs[[#This Row],[CSubjID]], tblClassSubjs[CSubjID],tblClassSubjs[ClassID]),tblClasses[ClassID],tblClasses[STermID])</f>
        <v>1</v>
      </c>
      <c r="T215" t="str">
        <f>LOOKUP(S215,tblSchoolTerms[STermID],tblSchoolTerms[SemesterID]&amp;" Semester "&amp;tblSchoolTerms[SchoolYear])</f>
        <v>2 Semester S.Y. 2018-2019</v>
      </c>
      <c r="W2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5">
        <f t="array" ref="Y215">INDEX(tblEnrolledStuds[EStudID],MATCH(tblEnrolledSubjs[[#This Row],[EStudID]]&amp;S215,tblEnrolledStuds[AdmissionStatusID]&amp;tblEnrolledStuds[StudID],0))</f>
        <v>140</v>
      </c>
    </row>
    <row r="216" spans="2:25" x14ac:dyDescent="0.25">
      <c r="B216">
        <v>214</v>
      </c>
      <c r="C216">
        <v>22</v>
      </c>
      <c r="D216">
        <v>6</v>
      </c>
      <c r="P216" t="str">
        <f t="shared" si="3"/>
        <v>(NULL,"22","6"),</v>
      </c>
      <c r="Q216" t="str">
        <f>TextJoin(tblEnrolledSubjs[[#This Row],[CSubjID]:[EStudID]],"Value")</f>
        <v>"22","6"</v>
      </c>
      <c r="S216">
        <f>LOOKUP(LOOKUP(tblEnrolledSubjs[[#This Row],[CSubjID]], tblClassSubjs[CSubjID],tblClassSubjs[ClassID]),tblClasses[ClassID],tblClasses[STermID])</f>
        <v>1</v>
      </c>
      <c r="T216" t="str">
        <f>LOOKUP(S216,tblSchoolTerms[STermID],tblSchoolTerms[SemesterID]&amp;" Semester "&amp;tblSchoolTerms[SchoolYear])</f>
        <v>2 Semester S.Y. 2018-2019</v>
      </c>
      <c r="W2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6" t="e">
        <f t="array" ref="Y216">INDEX(tblEnrolledStuds[EStudID],MATCH(tblEnrolledSubjs[[#This Row],[EStudID]]&amp;S216,tblEnrolledStuds[AdmissionStatusID]&amp;tblEnrolledStuds[StudID],0))</f>
        <v>#N/A</v>
      </c>
    </row>
    <row r="217" spans="2:25" x14ac:dyDescent="0.25">
      <c r="B217">
        <v>215</v>
      </c>
      <c r="C217">
        <v>22</v>
      </c>
      <c r="D217">
        <v>8</v>
      </c>
      <c r="P217" t="str">
        <f t="shared" si="3"/>
        <v>(NULL,"22","8"),</v>
      </c>
      <c r="Q217" t="str">
        <f>TextJoin(tblEnrolledSubjs[[#This Row],[CSubjID]:[EStudID]],"Value")</f>
        <v>"22","8"</v>
      </c>
      <c r="S217">
        <f>LOOKUP(LOOKUP(tblEnrolledSubjs[[#This Row],[CSubjID]], tblClassSubjs[CSubjID],tblClassSubjs[ClassID]),tblClasses[ClassID],tblClasses[STermID])</f>
        <v>1</v>
      </c>
      <c r="T217" t="str">
        <f>LOOKUP(S217,tblSchoolTerms[STermID],tblSchoolTerms[SemesterID]&amp;" Semester "&amp;tblSchoolTerms[SchoolYear])</f>
        <v>2 Semester S.Y. 2018-2019</v>
      </c>
      <c r="W2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7" t="e">
        <f t="array" ref="Y217">INDEX(tblEnrolledStuds[EStudID],MATCH(tblEnrolledSubjs[[#This Row],[EStudID]]&amp;S217,tblEnrolledStuds[AdmissionStatusID]&amp;tblEnrolledStuds[StudID],0))</f>
        <v>#N/A</v>
      </c>
    </row>
    <row r="218" spans="2:25" x14ac:dyDescent="0.25">
      <c r="B218">
        <v>216</v>
      </c>
      <c r="C218">
        <v>22</v>
      </c>
      <c r="D218">
        <v>9</v>
      </c>
      <c r="P218" t="str">
        <f t="shared" si="3"/>
        <v>(NULL,"22","9"),</v>
      </c>
      <c r="Q218" t="str">
        <f>TextJoin(tblEnrolledSubjs[[#This Row],[CSubjID]:[EStudID]],"Value")</f>
        <v>"22","9"</v>
      </c>
      <c r="S218">
        <f>LOOKUP(LOOKUP(tblEnrolledSubjs[[#This Row],[CSubjID]], tblClassSubjs[CSubjID],tblClassSubjs[ClassID]),tblClasses[ClassID],tblClasses[STermID])</f>
        <v>1</v>
      </c>
      <c r="T218" t="str">
        <f>LOOKUP(S218,tblSchoolTerms[STermID],tblSchoolTerms[SemesterID]&amp;" Semester "&amp;tblSchoolTerms[SchoolYear])</f>
        <v>2 Semester S.Y. 2018-2019</v>
      </c>
      <c r="W2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8" t="e">
        <f t="array" ref="Y218">INDEX(tblEnrolledStuds[EStudID],MATCH(tblEnrolledSubjs[[#This Row],[EStudID]]&amp;S218,tblEnrolledStuds[AdmissionStatusID]&amp;tblEnrolledStuds[StudID],0))</f>
        <v>#N/A</v>
      </c>
    </row>
    <row r="219" spans="2:25" x14ac:dyDescent="0.25">
      <c r="B219">
        <v>217</v>
      </c>
      <c r="C219">
        <v>22</v>
      </c>
      <c r="D219">
        <v>13</v>
      </c>
      <c r="P219" t="str">
        <f t="shared" si="3"/>
        <v>(NULL,"22","13"),</v>
      </c>
      <c r="Q219" t="str">
        <f>TextJoin(tblEnrolledSubjs[[#This Row],[CSubjID]:[EStudID]],"Value")</f>
        <v>"22","13"</v>
      </c>
      <c r="S219">
        <f>LOOKUP(LOOKUP(tblEnrolledSubjs[[#This Row],[CSubjID]], tblClassSubjs[CSubjID],tblClassSubjs[ClassID]),tblClasses[ClassID],tblClasses[STermID])</f>
        <v>1</v>
      </c>
      <c r="T219" t="str">
        <f>LOOKUP(S219,tblSchoolTerms[STermID],tblSchoolTerms[SemesterID]&amp;" Semester "&amp;tblSchoolTerms[SchoolYear])</f>
        <v>2 Semester S.Y. 2018-2019</v>
      </c>
      <c r="W2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19" t="e">
        <f t="array" ref="Y219">INDEX(tblEnrolledStuds[EStudID],MATCH(tblEnrolledSubjs[[#This Row],[EStudID]]&amp;S219,tblEnrolledStuds[AdmissionStatusID]&amp;tblEnrolledStuds[StudID],0))</f>
        <v>#N/A</v>
      </c>
    </row>
    <row r="220" spans="2:25" x14ac:dyDescent="0.25">
      <c r="B220">
        <v>218</v>
      </c>
      <c r="C220">
        <v>22</v>
      </c>
      <c r="D220">
        <v>14</v>
      </c>
      <c r="P220" t="str">
        <f t="shared" si="3"/>
        <v>(NULL,"22","14"),</v>
      </c>
      <c r="Q220" t="str">
        <f>TextJoin(tblEnrolledSubjs[[#This Row],[CSubjID]:[EStudID]],"Value")</f>
        <v>"22","14"</v>
      </c>
      <c r="S220">
        <f>LOOKUP(LOOKUP(tblEnrolledSubjs[[#This Row],[CSubjID]], tblClassSubjs[CSubjID],tblClassSubjs[ClassID]),tblClasses[ClassID],tblClasses[STermID])</f>
        <v>1</v>
      </c>
      <c r="T220" t="str">
        <f>LOOKUP(S220,tblSchoolTerms[STermID],tblSchoolTerms[SemesterID]&amp;" Semester "&amp;tblSchoolTerms[SchoolYear])</f>
        <v>2 Semester S.Y. 2018-2019</v>
      </c>
      <c r="W2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0" t="e">
        <f t="array" ref="Y220">INDEX(tblEnrolledStuds[EStudID],MATCH(tblEnrolledSubjs[[#This Row],[EStudID]]&amp;S220,tblEnrolledStuds[AdmissionStatusID]&amp;tblEnrolledStuds[StudID],0))</f>
        <v>#N/A</v>
      </c>
    </row>
    <row r="221" spans="2:25" x14ac:dyDescent="0.25">
      <c r="B221">
        <v>219</v>
      </c>
      <c r="C221">
        <v>22</v>
      </c>
      <c r="D221">
        <v>15</v>
      </c>
      <c r="P221" t="str">
        <f t="shared" si="3"/>
        <v>(NULL,"22","15"),</v>
      </c>
      <c r="Q221" t="str">
        <f>TextJoin(tblEnrolledSubjs[[#This Row],[CSubjID]:[EStudID]],"Value")</f>
        <v>"22","15"</v>
      </c>
      <c r="S221">
        <f>LOOKUP(LOOKUP(tblEnrolledSubjs[[#This Row],[CSubjID]], tblClassSubjs[CSubjID],tblClassSubjs[ClassID]),tblClasses[ClassID],tblClasses[STermID])</f>
        <v>1</v>
      </c>
      <c r="T221" t="str">
        <f>LOOKUP(S221,tblSchoolTerms[STermID],tblSchoolTerms[SemesterID]&amp;" Semester "&amp;tblSchoolTerms[SchoolYear])</f>
        <v>2 Semester S.Y. 2018-2019</v>
      </c>
      <c r="W2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1" t="e">
        <f t="array" ref="Y221">INDEX(tblEnrolledStuds[EStudID],MATCH(tblEnrolledSubjs[[#This Row],[EStudID]]&amp;S221,tblEnrolledStuds[AdmissionStatusID]&amp;tblEnrolledStuds[StudID],0))</f>
        <v>#N/A</v>
      </c>
    </row>
    <row r="222" spans="2:25" x14ac:dyDescent="0.25">
      <c r="B222">
        <v>220</v>
      </c>
      <c r="C222">
        <v>22</v>
      </c>
      <c r="D222">
        <v>21</v>
      </c>
      <c r="P222" t="str">
        <f t="shared" si="3"/>
        <v>(NULL,"22","21"),</v>
      </c>
      <c r="Q222" t="str">
        <f>TextJoin(tblEnrolledSubjs[[#This Row],[CSubjID]:[EStudID]],"Value")</f>
        <v>"22","21"</v>
      </c>
      <c r="S222">
        <f>LOOKUP(LOOKUP(tblEnrolledSubjs[[#This Row],[CSubjID]], tblClassSubjs[CSubjID],tblClassSubjs[ClassID]),tblClasses[ClassID],tblClasses[STermID])</f>
        <v>1</v>
      </c>
      <c r="T222" t="str">
        <f>LOOKUP(S222,tblSchoolTerms[STermID],tblSchoolTerms[SemesterID]&amp;" Semester "&amp;tblSchoolTerms[SchoolYear])</f>
        <v>2 Semester S.Y. 2018-2019</v>
      </c>
      <c r="W2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2" t="e">
        <f t="array" ref="Y222">INDEX(tblEnrolledStuds[EStudID],MATCH(tblEnrolledSubjs[[#This Row],[EStudID]]&amp;S222,tblEnrolledStuds[AdmissionStatusID]&amp;tblEnrolledStuds[StudID],0))</f>
        <v>#N/A</v>
      </c>
    </row>
    <row r="223" spans="2:25" x14ac:dyDescent="0.25">
      <c r="B223">
        <v>221</v>
      </c>
      <c r="C223">
        <v>22</v>
      </c>
      <c r="D223">
        <v>24</v>
      </c>
      <c r="P223" t="str">
        <f t="shared" si="3"/>
        <v>(NULL,"22","24"),</v>
      </c>
      <c r="Q223" t="str">
        <f>TextJoin(tblEnrolledSubjs[[#This Row],[CSubjID]:[EStudID]],"Value")</f>
        <v>"22","24"</v>
      </c>
      <c r="S223">
        <f>LOOKUP(LOOKUP(tblEnrolledSubjs[[#This Row],[CSubjID]], tblClassSubjs[CSubjID],tblClassSubjs[ClassID]),tblClasses[ClassID],tblClasses[STermID])</f>
        <v>1</v>
      </c>
      <c r="T223" t="str">
        <f>LOOKUP(S223,tblSchoolTerms[STermID],tblSchoolTerms[SemesterID]&amp;" Semester "&amp;tblSchoolTerms[SchoolYear])</f>
        <v>2 Semester S.Y. 2018-2019</v>
      </c>
      <c r="W2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3" t="e">
        <f t="array" ref="Y223">INDEX(tblEnrolledStuds[EStudID],MATCH(tblEnrolledSubjs[[#This Row],[EStudID]]&amp;S223,tblEnrolledStuds[AdmissionStatusID]&amp;tblEnrolledStuds[StudID],0))</f>
        <v>#N/A</v>
      </c>
    </row>
    <row r="224" spans="2:25" x14ac:dyDescent="0.25">
      <c r="B224">
        <v>222</v>
      </c>
      <c r="C224">
        <v>22</v>
      </c>
      <c r="D224">
        <v>36</v>
      </c>
      <c r="P224" t="str">
        <f t="shared" si="3"/>
        <v>(NULL,"22","36"),</v>
      </c>
      <c r="Q224" t="str">
        <f>TextJoin(tblEnrolledSubjs[[#This Row],[CSubjID]:[EStudID]],"Value")</f>
        <v>"22","36"</v>
      </c>
      <c r="S224">
        <f>LOOKUP(LOOKUP(tblEnrolledSubjs[[#This Row],[CSubjID]], tblClassSubjs[CSubjID],tblClassSubjs[ClassID]),tblClasses[ClassID],tblClasses[STermID])</f>
        <v>1</v>
      </c>
      <c r="T224" t="str">
        <f>LOOKUP(S224,tblSchoolTerms[STermID],tblSchoolTerms[SemesterID]&amp;" Semester "&amp;tblSchoolTerms[SchoolYear])</f>
        <v>2 Semester S.Y. 2018-2019</v>
      </c>
      <c r="W2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4">
        <f t="array" ref="Y224">INDEX(tblEnrolledStuds[EStudID],MATCH(tblEnrolledSubjs[[#This Row],[EStudID]]&amp;S224,tblEnrolledStuds[AdmissionStatusID]&amp;tblEnrolledStuds[StudID],0))</f>
        <v>61</v>
      </c>
    </row>
    <row r="225" spans="2:25" x14ac:dyDescent="0.25">
      <c r="B225">
        <v>223</v>
      </c>
      <c r="C225">
        <v>22</v>
      </c>
      <c r="D225">
        <v>44</v>
      </c>
      <c r="P225" t="str">
        <f t="shared" si="3"/>
        <v>(NULL,"22","44"),</v>
      </c>
      <c r="Q225" t="str">
        <f>TextJoin(tblEnrolledSubjs[[#This Row],[CSubjID]:[EStudID]],"Value")</f>
        <v>"22","44"</v>
      </c>
      <c r="S225">
        <f>LOOKUP(LOOKUP(tblEnrolledSubjs[[#This Row],[CSubjID]], tblClassSubjs[CSubjID],tblClassSubjs[ClassID]),tblClasses[ClassID],tblClasses[STermID])</f>
        <v>1</v>
      </c>
      <c r="T225" t="str">
        <f>LOOKUP(S225,tblSchoolTerms[STermID],tblSchoolTerms[SemesterID]&amp;" Semester "&amp;tblSchoolTerms[SchoolYear])</f>
        <v>2 Semester S.Y. 2018-2019</v>
      </c>
      <c r="W2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5" t="e">
        <f t="array" ref="Y225">INDEX(tblEnrolledStuds[EStudID],MATCH(tblEnrolledSubjs[[#This Row],[EStudID]]&amp;S225,tblEnrolledStuds[AdmissionStatusID]&amp;tblEnrolledStuds[StudID],0))</f>
        <v>#N/A</v>
      </c>
    </row>
    <row r="226" spans="2:25" x14ac:dyDescent="0.25">
      <c r="B226">
        <v>224</v>
      </c>
      <c r="C226">
        <v>22</v>
      </c>
      <c r="D226">
        <v>45</v>
      </c>
      <c r="P226" t="str">
        <f t="shared" si="3"/>
        <v>(NULL,"22","45"),</v>
      </c>
      <c r="Q226" t="str">
        <f>TextJoin(tblEnrolledSubjs[[#This Row],[CSubjID]:[EStudID]],"Value")</f>
        <v>"22","45"</v>
      </c>
      <c r="S226">
        <f>LOOKUP(LOOKUP(tblEnrolledSubjs[[#This Row],[CSubjID]], tblClassSubjs[CSubjID],tblClassSubjs[ClassID]),tblClasses[ClassID],tblClasses[STermID])</f>
        <v>1</v>
      </c>
      <c r="T226" t="str">
        <f>LOOKUP(S226,tblSchoolTerms[STermID],tblSchoolTerms[SemesterID]&amp;" Semester "&amp;tblSchoolTerms[SchoolYear])</f>
        <v>2 Semester S.Y. 2018-2019</v>
      </c>
      <c r="W2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6" t="e">
        <f t="array" ref="Y226">INDEX(tblEnrolledStuds[EStudID],MATCH(tblEnrolledSubjs[[#This Row],[EStudID]]&amp;S226,tblEnrolledStuds[AdmissionStatusID]&amp;tblEnrolledStuds[StudID],0))</f>
        <v>#N/A</v>
      </c>
    </row>
    <row r="227" spans="2:25" x14ac:dyDescent="0.25">
      <c r="B227">
        <v>225</v>
      </c>
      <c r="C227">
        <v>22</v>
      </c>
      <c r="D227">
        <v>49</v>
      </c>
      <c r="P227" t="str">
        <f t="shared" si="3"/>
        <v>(NULL,"22","49"),</v>
      </c>
      <c r="Q227" t="str">
        <f>TextJoin(tblEnrolledSubjs[[#This Row],[CSubjID]:[EStudID]],"Value")</f>
        <v>"22","49"</v>
      </c>
      <c r="S227">
        <f>LOOKUP(LOOKUP(tblEnrolledSubjs[[#This Row],[CSubjID]], tblClassSubjs[CSubjID],tblClassSubjs[ClassID]),tblClasses[ClassID],tblClasses[STermID])</f>
        <v>1</v>
      </c>
      <c r="T227" t="str">
        <f>LOOKUP(S227,tblSchoolTerms[STermID],tblSchoolTerms[SemesterID]&amp;" Semester "&amp;tblSchoolTerms[SchoolYear])</f>
        <v>2 Semester S.Y. 2018-2019</v>
      </c>
      <c r="W2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7" t="e">
        <f t="array" ref="Y227">INDEX(tblEnrolledStuds[EStudID],MATCH(tblEnrolledSubjs[[#This Row],[EStudID]]&amp;S227,tblEnrolledStuds[AdmissionStatusID]&amp;tblEnrolledStuds[StudID],0))</f>
        <v>#N/A</v>
      </c>
    </row>
    <row r="228" spans="2:25" x14ac:dyDescent="0.25">
      <c r="B228">
        <v>226</v>
      </c>
      <c r="C228">
        <v>22</v>
      </c>
      <c r="D228">
        <v>55</v>
      </c>
      <c r="P228" t="str">
        <f t="shared" si="3"/>
        <v>(NULL,"22","55"),</v>
      </c>
      <c r="Q228" t="str">
        <f>TextJoin(tblEnrolledSubjs[[#This Row],[CSubjID]:[EStudID]],"Value")</f>
        <v>"22","55"</v>
      </c>
      <c r="S228">
        <f>LOOKUP(LOOKUP(tblEnrolledSubjs[[#This Row],[CSubjID]], tblClassSubjs[CSubjID],tblClassSubjs[ClassID]),tblClasses[ClassID],tblClasses[STermID])</f>
        <v>1</v>
      </c>
      <c r="T228" t="str">
        <f>LOOKUP(S228,tblSchoolTerms[STermID],tblSchoolTerms[SemesterID]&amp;" Semester "&amp;tblSchoolTerms[SchoolYear])</f>
        <v>2 Semester S.Y. 2018-2019</v>
      </c>
      <c r="W2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8" t="e">
        <f t="array" ref="Y228">INDEX(tblEnrolledStuds[EStudID],MATCH(tblEnrolledSubjs[[#This Row],[EStudID]]&amp;S228,tblEnrolledStuds[AdmissionStatusID]&amp;tblEnrolledStuds[StudID],0))</f>
        <v>#N/A</v>
      </c>
    </row>
    <row r="229" spans="2:25" x14ac:dyDescent="0.25">
      <c r="B229">
        <v>227</v>
      </c>
      <c r="C229">
        <v>22</v>
      </c>
      <c r="D229">
        <v>60</v>
      </c>
      <c r="P229" t="str">
        <f t="shared" si="3"/>
        <v>(NULL,"22","60"),</v>
      </c>
      <c r="Q229" t="str">
        <f>TextJoin(tblEnrolledSubjs[[#This Row],[CSubjID]:[EStudID]],"Value")</f>
        <v>"22","60"</v>
      </c>
      <c r="S229">
        <f>LOOKUP(LOOKUP(tblEnrolledSubjs[[#This Row],[CSubjID]], tblClassSubjs[CSubjID],tblClassSubjs[ClassID]),tblClasses[ClassID],tblClasses[STermID])</f>
        <v>1</v>
      </c>
      <c r="T229" t="str">
        <f>LOOKUP(S229,tblSchoolTerms[STermID],tblSchoolTerms[SemesterID]&amp;" Semester "&amp;tblSchoolTerms[SchoolYear])</f>
        <v>2 Semester S.Y. 2018-2019</v>
      </c>
      <c r="W2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29" t="e">
        <f t="array" ref="Y229">INDEX(tblEnrolledStuds[EStudID],MATCH(tblEnrolledSubjs[[#This Row],[EStudID]]&amp;S229,tblEnrolledStuds[AdmissionStatusID]&amp;tblEnrolledStuds[StudID],0))</f>
        <v>#N/A</v>
      </c>
    </row>
    <row r="230" spans="2:25" x14ac:dyDescent="0.25">
      <c r="B230">
        <v>228</v>
      </c>
      <c r="C230">
        <v>22</v>
      </c>
      <c r="D230">
        <v>61</v>
      </c>
      <c r="P230" t="str">
        <f t="shared" si="3"/>
        <v>(NULL,"22","61"),</v>
      </c>
      <c r="Q230" t="str">
        <f>TextJoin(tblEnrolledSubjs[[#This Row],[CSubjID]:[EStudID]],"Value")</f>
        <v>"22","61"</v>
      </c>
      <c r="S230">
        <f>LOOKUP(LOOKUP(tblEnrolledSubjs[[#This Row],[CSubjID]], tblClassSubjs[CSubjID],tblClassSubjs[ClassID]),tblClasses[ClassID],tblClasses[STermID])</f>
        <v>1</v>
      </c>
      <c r="T230" t="str">
        <f>LOOKUP(S230,tblSchoolTerms[STermID],tblSchoolTerms[SemesterID]&amp;" Semester "&amp;tblSchoolTerms[SchoolYear])</f>
        <v>2 Semester S.Y. 2018-2019</v>
      </c>
      <c r="W2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0" t="e">
        <f t="array" ref="Y230">INDEX(tblEnrolledStuds[EStudID],MATCH(tblEnrolledSubjs[[#This Row],[EStudID]]&amp;S230,tblEnrolledStuds[AdmissionStatusID]&amp;tblEnrolledStuds[StudID],0))</f>
        <v>#N/A</v>
      </c>
    </row>
    <row r="231" spans="2:25" x14ac:dyDescent="0.25">
      <c r="B231">
        <v>229</v>
      </c>
      <c r="C231">
        <v>22</v>
      </c>
      <c r="D231">
        <v>62</v>
      </c>
      <c r="P231" t="str">
        <f t="shared" si="3"/>
        <v>(NULL,"22","62"),</v>
      </c>
      <c r="Q231" t="str">
        <f>TextJoin(tblEnrolledSubjs[[#This Row],[CSubjID]:[EStudID]],"Value")</f>
        <v>"22","62"</v>
      </c>
      <c r="S231">
        <f>LOOKUP(LOOKUP(tblEnrolledSubjs[[#This Row],[CSubjID]], tblClassSubjs[CSubjID],tblClassSubjs[ClassID]),tblClasses[ClassID],tblClasses[STermID])</f>
        <v>1</v>
      </c>
      <c r="T231" t="str">
        <f>LOOKUP(S231,tblSchoolTerms[STermID],tblSchoolTerms[SemesterID]&amp;" Semester "&amp;tblSchoolTerms[SchoolYear])</f>
        <v>2 Semester S.Y. 2018-2019</v>
      </c>
      <c r="W2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1" t="e">
        <f t="array" ref="Y231">INDEX(tblEnrolledStuds[EStudID],MATCH(tblEnrolledSubjs[[#This Row],[EStudID]]&amp;S231,tblEnrolledStuds[AdmissionStatusID]&amp;tblEnrolledStuds[StudID],0))</f>
        <v>#N/A</v>
      </c>
    </row>
    <row r="232" spans="2:25" x14ac:dyDescent="0.25">
      <c r="B232">
        <v>230</v>
      </c>
      <c r="C232">
        <v>22</v>
      </c>
      <c r="D232">
        <v>64</v>
      </c>
      <c r="P232" t="str">
        <f t="shared" si="3"/>
        <v>(NULL,"22","64"),</v>
      </c>
      <c r="Q232" t="str">
        <f>TextJoin(tblEnrolledSubjs[[#This Row],[CSubjID]:[EStudID]],"Value")</f>
        <v>"22","64"</v>
      </c>
      <c r="S232">
        <f>LOOKUP(LOOKUP(tblEnrolledSubjs[[#This Row],[CSubjID]], tblClassSubjs[CSubjID],tblClassSubjs[ClassID]),tblClasses[ClassID],tblClasses[STermID])</f>
        <v>1</v>
      </c>
      <c r="T232" t="str">
        <f>LOOKUP(S232,tblSchoolTerms[STermID],tblSchoolTerms[SemesterID]&amp;" Semester "&amp;tblSchoolTerms[SchoolYear])</f>
        <v>2 Semester S.Y. 2018-2019</v>
      </c>
      <c r="W2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2" t="e">
        <f t="array" ref="Y232">INDEX(tblEnrolledStuds[EStudID],MATCH(tblEnrolledSubjs[[#This Row],[EStudID]]&amp;S232,tblEnrolledStuds[AdmissionStatusID]&amp;tblEnrolledStuds[StudID],0))</f>
        <v>#N/A</v>
      </c>
    </row>
    <row r="233" spans="2:25" x14ac:dyDescent="0.25">
      <c r="B233">
        <v>231</v>
      </c>
      <c r="C233">
        <v>22</v>
      </c>
      <c r="D233">
        <v>29</v>
      </c>
      <c r="P233" t="str">
        <f t="shared" si="3"/>
        <v>(NULL,"22","29"),</v>
      </c>
      <c r="Q233" t="str">
        <f>TextJoin(tblEnrolledSubjs[[#This Row],[CSubjID]:[EStudID]],"Value")</f>
        <v>"22","29"</v>
      </c>
      <c r="S233">
        <f>LOOKUP(LOOKUP(tblEnrolledSubjs[[#This Row],[CSubjID]], tblClassSubjs[CSubjID],tblClassSubjs[ClassID]),tblClasses[ClassID],tblClasses[STermID])</f>
        <v>1</v>
      </c>
      <c r="T233" t="str">
        <f>LOOKUP(S233,tblSchoolTerms[STermID],tblSchoolTerms[SemesterID]&amp;" Semester "&amp;tblSchoolTerms[SchoolYear])</f>
        <v>2 Semester S.Y. 2018-2019</v>
      </c>
      <c r="W2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3" t="e">
        <f t="array" ref="Y233">INDEX(tblEnrolledStuds[EStudID],MATCH(tblEnrolledSubjs[[#This Row],[EStudID]]&amp;S233,tblEnrolledStuds[AdmissionStatusID]&amp;tblEnrolledStuds[StudID],0))</f>
        <v>#N/A</v>
      </c>
    </row>
    <row r="234" spans="2:25" x14ac:dyDescent="0.25">
      <c r="B234">
        <v>232</v>
      </c>
      <c r="C234">
        <v>23</v>
      </c>
      <c r="D234">
        <v>17</v>
      </c>
      <c r="P234" t="str">
        <f t="shared" si="3"/>
        <v>(NULL,"23","17"),</v>
      </c>
      <c r="Q234" t="str">
        <f>TextJoin(tblEnrolledSubjs[[#This Row],[CSubjID]:[EStudID]],"Value")</f>
        <v>"23","17"</v>
      </c>
      <c r="S234">
        <f>LOOKUP(LOOKUP(tblEnrolledSubjs[[#This Row],[CSubjID]], tblClassSubjs[CSubjID],tblClassSubjs[ClassID]),tblClasses[ClassID],tblClasses[STermID])</f>
        <v>1</v>
      </c>
      <c r="T234" t="str">
        <f>LOOKUP(S234,tblSchoolTerms[STermID],tblSchoolTerms[SemesterID]&amp;" Semester "&amp;tblSchoolTerms[SchoolYear])</f>
        <v>2 Semester S.Y. 2018-2019</v>
      </c>
      <c r="W2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4" t="e">
        <f t="array" ref="Y234">INDEX(tblEnrolledStuds[EStudID],MATCH(tblEnrolledSubjs[[#This Row],[EStudID]]&amp;S234,tblEnrolledStuds[AdmissionStatusID]&amp;tblEnrolledStuds[StudID],0))</f>
        <v>#N/A</v>
      </c>
    </row>
    <row r="235" spans="2:25" x14ac:dyDescent="0.25">
      <c r="B235">
        <v>233</v>
      </c>
      <c r="C235">
        <v>23</v>
      </c>
      <c r="D235">
        <v>52</v>
      </c>
      <c r="P235" t="str">
        <f t="shared" si="3"/>
        <v>(NULL,"23","52"),</v>
      </c>
      <c r="Q235" t="str">
        <f>TextJoin(tblEnrolledSubjs[[#This Row],[CSubjID]:[EStudID]],"Value")</f>
        <v>"23","52"</v>
      </c>
      <c r="S235">
        <f>LOOKUP(LOOKUP(tblEnrolledSubjs[[#This Row],[CSubjID]], tblClassSubjs[CSubjID],tblClassSubjs[ClassID]),tblClasses[ClassID],tblClasses[STermID])</f>
        <v>1</v>
      </c>
      <c r="T235" t="str">
        <f>LOOKUP(S235,tblSchoolTerms[STermID],tblSchoolTerms[SemesterID]&amp;" Semester "&amp;tblSchoolTerms[SchoolYear])</f>
        <v>2 Semester S.Y. 2018-2019</v>
      </c>
      <c r="W2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5" t="e">
        <f t="array" ref="Y235">INDEX(tblEnrolledStuds[EStudID],MATCH(tblEnrolledSubjs[[#This Row],[EStudID]]&amp;S235,tblEnrolledStuds[AdmissionStatusID]&amp;tblEnrolledStuds[StudID],0))</f>
        <v>#N/A</v>
      </c>
    </row>
    <row r="236" spans="2:25" x14ac:dyDescent="0.25">
      <c r="B236">
        <v>234</v>
      </c>
      <c r="C236">
        <v>23</v>
      </c>
      <c r="D236">
        <v>53</v>
      </c>
      <c r="P236" t="str">
        <f t="shared" si="3"/>
        <v>(NULL,"23","53"),</v>
      </c>
      <c r="Q236" t="str">
        <f>TextJoin(tblEnrolledSubjs[[#This Row],[CSubjID]:[EStudID]],"Value")</f>
        <v>"23","53"</v>
      </c>
      <c r="S236">
        <f>LOOKUP(LOOKUP(tblEnrolledSubjs[[#This Row],[CSubjID]], tblClassSubjs[CSubjID],tblClassSubjs[ClassID]),tblClasses[ClassID],tblClasses[STermID])</f>
        <v>1</v>
      </c>
      <c r="T236" t="str">
        <f>LOOKUP(S236,tblSchoolTerms[STermID],tblSchoolTerms[SemesterID]&amp;" Semester "&amp;tblSchoolTerms[SchoolYear])</f>
        <v>2 Semester S.Y. 2018-2019</v>
      </c>
      <c r="W2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6" t="e">
        <f t="array" ref="Y236">INDEX(tblEnrolledStuds[EStudID],MATCH(tblEnrolledSubjs[[#This Row],[EStudID]]&amp;S236,tblEnrolledStuds[AdmissionStatusID]&amp;tblEnrolledStuds[StudID],0))</f>
        <v>#N/A</v>
      </c>
    </row>
    <row r="237" spans="2:25" x14ac:dyDescent="0.25">
      <c r="B237">
        <v>235</v>
      </c>
      <c r="C237">
        <v>23</v>
      </c>
      <c r="D237">
        <v>58</v>
      </c>
      <c r="P237" t="str">
        <f t="shared" si="3"/>
        <v>(NULL,"23","58"),</v>
      </c>
      <c r="Q237" t="str">
        <f>TextJoin(tblEnrolledSubjs[[#This Row],[CSubjID]:[EStudID]],"Value")</f>
        <v>"23","58"</v>
      </c>
      <c r="S237">
        <f>LOOKUP(LOOKUP(tblEnrolledSubjs[[#This Row],[CSubjID]], tblClassSubjs[CSubjID],tblClassSubjs[ClassID]),tblClasses[ClassID],tblClasses[STermID])</f>
        <v>1</v>
      </c>
      <c r="T237" t="str">
        <f>LOOKUP(S237,tblSchoolTerms[STermID],tblSchoolTerms[SemesterID]&amp;" Semester "&amp;tblSchoolTerms[SchoolYear])</f>
        <v>2 Semester S.Y. 2018-2019</v>
      </c>
      <c r="W2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7" t="e">
        <f t="array" ref="Y237">INDEX(tblEnrolledStuds[EStudID],MATCH(tblEnrolledSubjs[[#This Row],[EStudID]]&amp;S237,tblEnrolledStuds[AdmissionStatusID]&amp;tblEnrolledStuds[StudID],0))</f>
        <v>#N/A</v>
      </c>
    </row>
    <row r="238" spans="2:25" x14ac:dyDescent="0.25">
      <c r="B238">
        <v>236</v>
      </c>
      <c r="C238">
        <v>23</v>
      </c>
      <c r="D238">
        <v>66</v>
      </c>
      <c r="P238" t="str">
        <f t="shared" si="3"/>
        <v>(NULL,"23","66"),</v>
      </c>
      <c r="Q238" t="str">
        <f>TextJoin(tblEnrolledSubjs[[#This Row],[CSubjID]:[EStudID]],"Value")</f>
        <v>"23","66"</v>
      </c>
      <c r="S238">
        <f>LOOKUP(LOOKUP(tblEnrolledSubjs[[#This Row],[CSubjID]], tblClassSubjs[CSubjID],tblClassSubjs[ClassID]),tblClasses[ClassID],tblClasses[STermID])</f>
        <v>1</v>
      </c>
      <c r="T238" t="str">
        <f>LOOKUP(S238,tblSchoolTerms[STermID],tblSchoolTerms[SemesterID]&amp;" Semester "&amp;tblSchoolTerms[SchoolYear])</f>
        <v>2 Semester S.Y. 2018-2019</v>
      </c>
      <c r="W2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8" t="e">
        <f t="array" ref="Y238">INDEX(tblEnrolledStuds[EStudID],MATCH(tblEnrolledSubjs[[#This Row],[EStudID]]&amp;S238,tblEnrolledStuds[AdmissionStatusID]&amp;tblEnrolledStuds[StudID],0))</f>
        <v>#N/A</v>
      </c>
    </row>
    <row r="239" spans="2:25" x14ac:dyDescent="0.25">
      <c r="B239">
        <v>237</v>
      </c>
      <c r="C239">
        <v>24</v>
      </c>
      <c r="D239">
        <v>2</v>
      </c>
      <c r="P239" t="str">
        <f t="shared" si="3"/>
        <v>(NULL,"24","2"),</v>
      </c>
      <c r="Q239" t="str">
        <f>TextJoin(tblEnrolledSubjs[[#This Row],[CSubjID]:[EStudID]],"Value")</f>
        <v>"24","2"</v>
      </c>
      <c r="S239">
        <f>LOOKUP(LOOKUP(tblEnrolledSubjs[[#This Row],[CSubjID]], tblClassSubjs[CSubjID],tblClassSubjs[ClassID]),tblClasses[ClassID],tblClasses[STermID])</f>
        <v>1</v>
      </c>
      <c r="T239" t="str">
        <f>LOOKUP(S239,tblSchoolTerms[STermID],tblSchoolTerms[SemesterID]&amp;" Semester "&amp;tblSchoolTerms[SchoolYear])</f>
        <v>2 Semester S.Y. 2018-2019</v>
      </c>
      <c r="W2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39">
        <f t="array" ref="Y239">INDEX(tblEnrolledStuds[EStudID],MATCH(tblEnrolledSubjs[[#This Row],[EStudID]]&amp;S239,tblEnrolledStuds[AdmissionStatusID]&amp;tblEnrolledStuds[StudID],0))</f>
        <v>140</v>
      </c>
    </row>
    <row r="240" spans="2:25" x14ac:dyDescent="0.25">
      <c r="B240">
        <v>238</v>
      </c>
      <c r="C240">
        <v>24</v>
      </c>
      <c r="D240">
        <v>6</v>
      </c>
      <c r="P240" t="str">
        <f t="shared" si="3"/>
        <v>(NULL,"24","6"),</v>
      </c>
      <c r="Q240" t="str">
        <f>TextJoin(tblEnrolledSubjs[[#This Row],[CSubjID]:[EStudID]],"Value")</f>
        <v>"24","6"</v>
      </c>
      <c r="S240">
        <f>LOOKUP(LOOKUP(tblEnrolledSubjs[[#This Row],[CSubjID]], tblClassSubjs[CSubjID],tblClassSubjs[ClassID]),tblClasses[ClassID],tblClasses[STermID])</f>
        <v>1</v>
      </c>
      <c r="T240" t="str">
        <f>LOOKUP(S240,tblSchoolTerms[STermID],tblSchoolTerms[SemesterID]&amp;" Semester "&amp;tblSchoolTerms[SchoolYear])</f>
        <v>2 Semester S.Y. 2018-2019</v>
      </c>
      <c r="W2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0" t="e">
        <f t="array" ref="Y240">INDEX(tblEnrolledStuds[EStudID],MATCH(tblEnrolledSubjs[[#This Row],[EStudID]]&amp;S240,tblEnrolledStuds[AdmissionStatusID]&amp;tblEnrolledStuds[StudID],0))</f>
        <v>#N/A</v>
      </c>
    </row>
    <row r="241" spans="2:25" x14ac:dyDescent="0.25">
      <c r="B241">
        <v>239</v>
      </c>
      <c r="C241">
        <v>24</v>
      </c>
      <c r="D241">
        <v>8</v>
      </c>
      <c r="P241" t="str">
        <f t="shared" si="3"/>
        <v>(NULL,"24","8"),</v>
      </c>
      <c r="Q241" t="str">
        <f>TextJoin(tblEnrolledSubjs[[#This Row],[CSubjID]:[EStudID]],"Value")</f>
        <v>"24","8"</v>
      </c>
      <c r="S241">
        <f>LOOKUP(LOOKUP(tblEnrolledSubjs[[#This Row],[CSubjID]], tblClassSubjs[CSubjID],tblClassSubjs[ClassID]),tblClasses[ClassID],tblClasses[STermID])</f>
        <v>1</v>
      </c>
      <c r="T241" t="str">
        <f>LOOKUP(S241,tblSchoolTerms[STermID],tblSchoolTerms[SemesterID]&amp;" Semester "&amp;tblSchoolTerms[SchoolYear])</f>
        <v>2 Semester S.Y. 2018-2019</v>
      </c>
      <c r="W2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1" t="e">
        <f t="array" ref="Y241">INDEX(tblEnrolledStuds[EStudID],MATCH(tblEnrolledSubjs[[#This Row],[EStudID]]&amp;S241,tblEnrolledStuds[AdmissionStatusID]&amp;tblEnrolledStuds[StudID],0))</f>
        <v>#N/A</v>
      </c>
    </row>
    <row r="242" spans="2:25" x14ac:dyDescent="0.25">
      <c r="B242">
        <v>240</v>
      </c>
      <c r="C242">
        <v>24</v>
      </c>
      <c r="D242">
        <v>9</v>
      </c>
      <c r="P242" t="str">
        <f t="shared" si="3"/>
        <v>(NULL,"24","9"),</v>
      </c>
      <c r="Q242" t="str">
        <f>TextJoin(tblEnrolledSubjs[[#This Row],[CSubjID]:[EStudID]],"Value")</f>
        <v>"24","9"</v>
      </c>
      <c r="S242">
        <f>LOOKUP(LOOKUP(tblEnrolledSubjs[[#This Row],[CSubjID]], tblClassSubjs[CSubjID],tblClassSubjs[ClassID]),tblClasses[ClassID],tblClasses[STermID])</f>
        <v>1</v>
      </c>
      <c r="T242" t="str">
        <f>LOOKUP(S242,tblSchoolTerms[STermID],tblSchoolTerms[SemesterID]&amp;" Semester "&amp;tblSchoolTerms[SchoolYear])</f>
        <v>2 Semester S.Y. 2018-2019</v>
      </c>
      <c r="W2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2" t="e">
        <f t="array" ref="Y242">INDEX(tblEnrolledStuds[EStudID],MATCH(tblEnrolledSubjs[[#This Row],[EStudID]]&amp;S242,tblEnrolledStuds[AdmissionStatusID]&amp;tblEnrolledStuds[StudID],0))</f>
        <v>#N/A</v>
      </c>
    </row>
    <row r="243" spans="2:25" x14ac:dyDescent="0.25">
      <c r="B243">
        <v>241</v>
      </c>
      <c r="C243">
        <v>24</v>
      </c>
      <c r="D243">
        <v>13</v>
      </c>
      <c r="P243" t="str">
        <f t="shared" si="3"/>
        <v>(NULL,"24","13"),</v>
      </c>
      <c r="Q243" t="str">
        <f>TextJoin(tblEnrolledSubjs[[#This Row],[CSubjID]:[EStudID]],"Value")</f>
        <v>"24","13"</v>
      </c>
      <c r="S243">
        <f>LOOKUP(LOOKUP(tblEnrolledSubjs[[#This Row],[CSubjID]], tblClassSubjs[CSubjID],tblClassSubjs[ClassID]),tblClasses[ClassID],tblClasses[STermID])</f>
        <v>1</v>
      </c>
      <c r="T243" t="str">
        <f>LOOKUP(S243,tblSchoolTerms[STermID],tblSchoolTerms[SemesterID]&amp;" Semester "&amp;tblSchoolTerms[SchoolYear])</f>
        <v>2 Semester S.Y. 2018-2019</v>
      </c>
      <c r="W2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3" t="e">
        <f t="array" ref="Y243">INDEX(tblEnrolledStuds[EStudID],MATCH(tblEnrolledSubjs[[#This Row],[EStudID]]&amp;S243,tblEnrolledStuds[AdmissionStatusID]&amp;tblEnrolledStuds[StudID],0))</f>
        <v>#N/A</v>
      </c>
    </row>
    <row r="244" spans="2:25" x14ac:dyDescent="0.25">
      <c r="B244">
        <v>242</v>
      </c>
      <c r="C244">
        <v>24</v>
      </c>
      <c r="D244">
        <v>14</v>
      </c>
      <c r="P244" t="str">
        <f t="shared" si="3"/>
        <v>(NULL,"24","14"),</v>
      </c>
      <c r="Q244" t="str">
        <f>TextJoin(tblEnrolledSubjs[[#This Row],[CSubjID]:[EStudID]],"Value")</f>
        <v>"24","14"</v>
      </c>
      <c r="S244">
        <f>LOOKUP(LOOKUP(tblEnrolledSubjs[[#This Row],[CSubjID]], tblClassSubjs[CSubjID],tblClassSubjs[ClassID]),tblClasses[ClassID],tblClasses[STermID])</f>
        <v>1</v>
      </c>
      <c r="T244" t="str">
        <f>LOOKUP(S244,tblSchoolTerms[STermID],tblSchoolTerms[SemesterID]&amp;" Semester "&amp;tblSchoolTerms[SchoolYear])</f>
        <v>2 Semester S.Y. 2018-2019</v>
      </c>
      <c r="W2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4" t="e">
        <f t="array" ref="Y244">INDEX(tblEnrolledStuds[EStudID],MATCH(tblEnrolledSubjs[[#This Row],[EStudID]]&amp;S244,tblEnrolledStuds[AdmissionStatusID]&amp;tblEnrolledStuds[StudID],0))</f>
        <v>#N/A</v>
      </c>
    </row>
    <row r="245" spans="2:25" x14ac:dyDescent="0.25">
      <c r="B245">
        <v>243</v>
      </c>
      <c r="C245">
        <v>24</v>
      </c>
      <c r="D245">
        <v>15</v>
      </c>
      <c r="P245" t="str">
        <f t="shared" si="3"/>
        <v>(NULL,"24","15"),</v>
      </c>
      <c r="Q245" t="str">
        <f>TextJoin(tblEnrolledSubjs[[#This Row],[CSubjID]:[EStudID]],"Value")</f>
        <v>"24","15"</v>
      </c>
      <c r="S245">
        <f>LOOKUP(LOOKUP(tblEnrolledSubjs[[#This Row],[CSubjID]], tblClassSubjs[CSubjID],tblClassSubjs[ClassID]),tblClasses[ClassID],tblClasses[STermID])</f>
        <v>1</v>
      </c>
      <c r="T245" t="str">
        <f>LOOKUP(S245,tblSchoolTerms[STermID],tblSchoolTerms[SemesterID]&amp;" Semester "&amp;tblSchoolTerms[SchoolYear])</f>
        <v>2 Semester S.Y. 2018-2019</v>
      </c>
      <c r="W2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5" t="e">
        <f t="array" ref="Y245">INDEX(tblEnrolledStuds[EStudID],MATCH(tblEnrolledSubjs[[#This Row],[EStudID]]&amp;S245,tblEnrolledStuds[AdmissionStatusID]&amp;tblEnrolledStuds[StudID],0))</f>
        <v>#N/A</v>
      </c>
    </row>
    <row r="246" spans="2:25" x14ac:dyDescent="0.25">
      <c r="B246">
        <v>244</v>
      </c>
      <c r="C246">
        <v>24</v>
      </c>
      <c r="D246">
        <v>21</v>
      </c>
      <c r="P246" t="str">
        <f t="shared" si="3"/>
        <v>(NULL,"24","21"),</v>
      </c>
      <c r="Q246" t="str">
        <f>TextJoin(tblEnrolledSubjs[[#This Row],[CSubjID]:[EStudID]],"Value")</f>
        <v>"24","21"</v>
      </c>
      <c r="S246">
        <f>LOOKUP(LOOKUP(tblEnrolledSubjs[[#This Row],[CSubjID]], tblClassSubjs[CSubjID],tblClassSubjs[ClassID]),tblClasses[ClassID],tblClasses[STermID])</f>
        <v>1</v>
      </c>
      <c r="T246" t="str">
        <f>LOOKUP(S246,tblSchoolTerms[STermID],tblSchoolTerms[SemesterID]&amp;" Semester "&amp;tblSchoolTerms[SchoolYear])</f>
        <v>2 Semester S.Y. 2018-2019</v>
      </c>
      <c r="W2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6" t="e">
        <f t="array" ref="Y246">INDEX(tblEnrolledStuds[EStudID],MATCH(tblEnrolledSubjs[[#This Row],[EStudID]]&amp;S246,tblEnrolledStuds[AdmissionStatusID]&amp;tblEnrolledStuds[StudID],0))</f>
        <v>#N/A</v>
      </c>
    </row>
    <row r="247" spans="2:25" x14ac:dyDescent="0.25">
      <c r="B247">
        <v>245</v>
      </c>
      <c r="C247">
        <v>24</v>
      </c>
      <c r="D247">
        <v>24</v>
      </c>
      <c r="P247" t="str">
        <f t="shared" si="3"/>
        <v>(NULL,"24","24"),</v>
      </c>
      <c r="Q247" t="str">
        <f>TextJoin(tblEnrolledSubjs[[#This Row],[CSubjID]:[EStudID]],"Value")</f>
        <v>"24","24"</v>
      </c>
      <c r="S247">
        <f>LOOKUP(LOOKUP(tblEnrolledSubjs[[#This Row],[CSubjID]], tblClassSubjs[CSubjID],tblClassSubjs[ClassID]),tblClasses[ClassID],tblClasses[STermID])</f>
        <v>1</v>
      </c>
      <c r="T247" t="str">
        <f>LOOKUP(S247,tblSchoolTerms[STermID],tblSchoolTerms[SemesterID]&amp;" Semester "&amp;tblSchoolTerms[SchoolYear])</f>
        <v>2 Semester S.Y. 2018-2019</v>
      </c>
      <c r="W2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7" t="e">
        <f t="array" ref="Y247">INDEX(tblEnrolledStuds[EStudID],MATCH(tblEnrolledSubjs[[#This Row],[EStudID]]&amp;S247,tblEnrolledStuds[AdmissionStatusID]&amp;tblEnrolledStuds[StudID],0))</f>
        <v>#N/A</v>
      </c>
    </row>
    <row r="248" spans="2:25" x14ac:dyDescent="0.25">
      <c r="B248">
        <v>246</v>
      </c>
      <c r="C248">
        <v>24</v>
      </c>
      <c r="D248">
        <v>36</v>
      </c>
      <c r="P248" t="str">
        <f t="shared" si="3"/>
        <v>(NULL,"24","36"),</v>
      </c>
      <c r="Q248" t="str">
        <f>TextJoin(tblEnrolledSubjs[[#This Row],[CSubjID]:[EStudID]],"Value")</f>
        <v>"24","36"</v>
      </c>
      <c r="S248">
        <f>LOOKUP(LOOKUP(tblEnrolledSubjs[[#This Row],[CSubjID]], tblClassSubjs[CSubjID],tblClassSubjs[ClassID]),tblClasses[ClassID],tblClasses[STermID])</f>
        <v>1</v>
      </c>
      <c r="T248" t="str">
        <f>LOOKUP(S248,tblSchoolTerms[STermID],tblSchoolTerms[SemesterID]&amp;" Semester "&amp;tblSchoolTerms[SchoolYear])</f>
        <v>2 Semester S.Y. 2018-2019</v>
      </c>
      <c r="W2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8">
        <f t="array" ref="Y248">INDEX(tblEnrolledStuds[EStudID],MATCH(tblEnrolledSubjs[[#This Row],[EStudID]]&amp;S248,tblEnrolledStuds[AdmissionStatusID]&amp;tblEnrolledStuds[StudID],0))</f>
        <v>61</v>
      </c>
    </row>
    <row r="249" spans="2:25" x14ac:dyDescent="0.25">
      <c r="B249">
        <v>247</v>
      </c>
      <c r="C249">
        <v>24</v>
      </c>
      <c r="D249">
        <v>44</v>
      </c>
      <c r="P249" t="str">
        <f t="shared" si="3"/>
        <v>(NULL,"24","44"),</v>
      </c>
      <c r="Q249" t="str">
        <f>TextJoin(tblEnrolledSubjs[[#This Row],[CSubjID]:[EStudID]],"Value")</f>
        <v>"24","44"</v>
      </c>
      <c r="S249">
        <f>LOOKUP(LOOKUP(tblEnrolledSubjs[[#This Row],[CSubjID]], tblClassSubjs[CSubjID],tblClassSubjs[ClassID]),tblClasses[ClassID],tblClasses[STermID])</f>
        <v>1</v>
      </c>
      <c r="T249" t="str">
        <f>LOOKUP(S249,tblSchoolTerms[STermID],tblSchoolTerms[SemesterID]&amp;" Semester "&amp;tblSchoolTerms[SchoolYear])</f>
        <v>2 Semester S.Y. 2018-2019</v>
      </c>
      <c r="W2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49" t="e">
        <f t="array" ref="Y249">INDEX(tblEnrolledStuds[EStudID],MATCH(tblEnrolledSubjs[[#This Row],[EStudID]]&amp;S249,tblEnrolledStuds[AdmissionStatusID]&amp;tblEnrolledStuds[StudID],0))</f>
        <v>#N/A</v>
      </c>
    </row>
    <row r="250" spans="2:25" x14ac:dyDescent="0.25">
      <c r="B250">
        <v>248</v>
      </c>
      <c r="C250">
        <v>24</v>
      </c>
      <c r="D250">
        <v>45</v>
      </c>
      <c r="P250" t="str">
        <f t="shared" si="3"/>
        <v>(NULL,"24","45"),</v>
      </c>
      <c r="Q250" t="str">
        <f>TextJoin(tblEnrolledSubjs[[#This Row],[CSubjID]:[EStudID]],"Value")</f>
        <v>"24","45"</v>
      </c>
      <c r="S250">
        <f>LOOKUP(LOOKUP(tblEnrolledSubjs[[#This Row],[CSubjID]], tblClassSubjs[CSubjID],tblClassSubjs[ClassID]),tblClasses[ClassID],tblClasses[STermID])</f>
        <v>1</v>
      </c>
      <c r="T250" t="str">
        <f>LOOKUP(S250,tblSchoolTerms[STermID],tblSchoolTerms[SemesterID]&amp;" Semester "&amp;tblSchoolTerms[SchoolYear])</f>
        <v>2 Semester S.Y. 2018-2019</v>
      </c>
      <c r="W2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0" t="e">
        <f t="array" ref="Y250">INDEX(tblEnrolledStuds[EStudID],MATCH(tblEnrolledSubjs[[#This Row],[EStudID]]&amp;S250,tblEnrolledStuds[AdmissionStatusID]&amp;tblEnrolledStuds[StudID],0))</f>
        <v>#N/A</v>
      </c>
    </row>
    <row r="251" spans="2:25" x14ac:dyDescent="0.25">
      <c r="B251">
        <v>249</v>
      </c>
      <c r="C251">
        <v>24</v>
      </c>
      <c r="D251">
        <v>49</v>
      </c>
      <c r="P251" t="str">
        <f t="shared" si="3"/>
        <v>(NULL,"24","49"),</v>
      </c>
      <c r="Q251" t="str">
        <f>TextJoin(tblEnrolledSubjs[[#This Row],[CSubjID]:[EStudID]],"Value")</f>
        <v>"24","49"</v>
      </c>
      <c r="S251">
        <f>LOOKUP(LOOKUP(tblEnrolledSubjs[[#This Row],[CSubjID]], tblClassSubjs[CSubjID],tblClassSubjs[ClassID]),tblClasses[ClassID],tblClasses[STermID])</f>
        <v>1</v>
      </c>
      <c r="T251" t="str">
        <f>LOOKUP(S251,tblSchoolTerms[STermID],tblSchoolTerms[SemesterID]&amp;" Semester "&amp;tblSchoolTerms[SchoolYear])</f>
        <v>2 Semester S.Y. 2018-2019</v>
      </c>
      <c r="W2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1" t="e">
        <f t="array" ref="Y251">INDEX(tblEnrolledStuds[EStudID],MATCH(tblEnrolledSubjs[[#This Row],[EStudID]]&amp;S251,tblEnrolledStuds[AdmissionStatusID]&amp;tblEnrolledStuds[StudID],0))</f>
        <v>#N/A</v>
      </c>
    </row>
    <row r="252" spans="2:25" x14ac:dyDescent="0.25">
      <c r="B252">
        <v>250</v>
      </c>
      <c r="C252">
        <v>24</v>
      </c>
      <c r="D252">
        <v>55</v>
      </c>
      <c r="P252" t="str">
        <f t="shared" si="3"/>
        <v>(NULL,"24","55"),</v>
      </c>
      <c r="Q252" t="str">
        <f>TextJoin(tblEnrolledSubjs[[#This Row],[CSubjID]:[EStudID]],"Value")</f>
        <v>"24","55"</v>
      </c>
      <c r="S252">
        <f>LOOKUP(LOOKUP(tblEnrolledSubjs[[#This Row],[CSubjID]], tblClassSubjs[CSubjID],tblClassSubjs[ClassID]),tblClasses[ClassID],tblClasses[STermID])</f>
        <v>1</v>
      </c>
      <c r="T252" t="str">
        <f>LOOKUP(S252,tblSchoolTerms[STermID],tblSchoolTerms[SemesterID]&amp;" Semester "&amp;tblSchoolTerms[SchoolYear])</f>
        <v>2 Semester S.Y. 2018-2019</v>
      </c>
      <c r="W2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2" t="e">
        <f t="array" ref="Y252">INDEX(tblEnrolledStuds[EStudID],MATCH(tblEnrolledSubjs[[#This Row],[EStudID]]&amp;S252,tblEnrolledStuds[AdmissionStatusID]&amp;tblEnrolledStuds[StudID],0))</f>
        <v>#N/A</v>
      </c>
    </row>
    <row r="253" spans="2:25" x14ac:dyDescent="0.25">
      <c r="B253">
        <v>251</v>
      </c>
      <c r="C253">
        <v>24</v>
      </c>
      <c r="D253">
        <v>60</v>
      </c>
      <c r="P253" t="str">
        <f t="shared" si="3"/>
        <v>(NULL,"24","60"),</v>
      </c>
      <c r="Q253" t="str">
        <f>TextJoin(tblEnrolledSubjs[[#This Row],[CSubjID]:[EStudID]],"Value")</f>
        <v>"24","60"</v>
      </c>
      <c r="S253">
        <f>LOOKUP(LOOKUP(tblEnrolledSubjs[[#This Row],[CSubjID]], tblClassSubjs[CSubjID],tblClassSubjs[ClassID]),tblClasses[ClassID],tblClasses[STermID])</f>
        <v>1</v>
      </c>
      <c r="T253" t="str">
        <f>LOOKUP(S253,tblSchoolTerms[STermID],tblSchoolTerms[SemesterID]&amp;" Semester "&amp;tblSchoolTerms[SchoolYear])</f>
        <v>2 Semester S.Y. 2018-2019</v>
      </c>
      <c r="W2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3" t="e">
        <f t="array" ref="Y253">INDEX(tblEnrolledStuds[EStudID],MATCH(tblEnrolledSubjs[[#This Row],[EStudID]]&amp;S253,tblEnrolledStuds[AdmissionStatusID]&amp;tblEnrolledStuds[StudID],0))</f>
        <v>#N/A</v>
      </c>
    </row>
    <row r="254" spans="2:25" x14ac:dyDescent="0.25">
      <c r="B254">
        <v>252</v>
      </c>
      <c r="C254">
        <v>24</v>
      </c>
      <c r="D254">
        <v>61</v>
      </c>
      <c r="P254" t="str">
        <f t="shared" si="3"/>
        <v>(NULL,"24","61"),</v>
      </c>
      <c r="Q254" t="str">
        <f>TextJoin(tblEnrolledSubjs[[#This Row],[CSubjID]:[EStudID]],"Value")</f>
        <v>"24","61"</v>
      </c>
      <c r="S254">
        <f>LOOKUP(LOOKUP(tblEnrolledSubjs[[#This Row],[CSubjID]], tblClassSubjs[CSubjID],tblClassSubjs[ClassID]),tblClasses[ClassID],tblClasses[STermID])</f>
        <v>1</v>
      </c>
      <c r="T254" t="str">
        <f>LOOKUP(S254,tblSchoolTerms[STermID],tblSchoolTerms[SemesterID]&amp;" Semester "&amp;tblSchoolTerms[SchoolYear])</f>
        <v>2 Semester S.Y. 2018-2019</v>
      </c>
      <c r="W2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4" t="e">
        <f t="array" ref="Y254">INDEX(tblEnrolledStuds[EStudID],MATCH(tblEnrolledSubjs[[#This Row],[EStudID]]&amp;S254,tblEnrolledStuds[AdmissionStatusID]&amp;tblEnrolledStuds[StudID],0))</f>
        <v>#N/A</v>
      </c>
    </row>
    <row r="255" spans="2:25" x14ac:dyDescent="0.25">
      <c r="B255">
        <v>253</v>
      </c>
      <c r="C255">
        <v>24</v>
      </c>
      <c r="D255">
        <v>62</v>
      </c>
      <c r="P255" t="str">
        <f t="shared" si="3"/>
        <v>(NULL,"24","62"),</v>
      </c>
      <c r="Q255" t="str">
        <f>TextJoin(tblEnrolledSubjs[[#This Row],[CSubjID]:[EStudID]],"Value")</f>
        <v>"24","62"</v>
      </c>
      <c r="S255">
        <f>LOOKUP(LOOKUP(tblEnrolledSubjs[[#This Row],[CSubjID]], tblClassSubjs[CSubjID],tblClassSubjs[ClassID]),tblClasses[ClassID],tblClasses[STermID])</f>
        <v>1</v>
      </c>
      <c r="T255" t="str">
        <f>LOOKUP(S255,tblSchoolTerms[STermID],tblSchoolTerms[SemesterID]&amp;" Semester "&amp;tblSchoolTerms[SchoolYear])</f>
        <v>2 Semester S.Y. 2018-2019</v>
      </c>
      <c r="W2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5" t="e">
        <f t="array" ref="Y255">INDEX(tblEnrolledStuds[EStudID],MATCH(tblEnrolledSubjs[[#This Row],[EStudID]]&amp;S255,tblEnrolledStuds[AdmissionStatusID]&amp;tblEnrolledStuds[StudID],0))</f>
        <v>#N/A</v>
      </c>
    </row>
    <row r="256" spans="2:25" x14ac:dyDescent="0.25">
      <c r="B256">
        <v>254</v>
      </c>
      <c r="C256">
        <v>24</v>
      </c>
      <c r="D256">
        <v>64</v>
      </c>
      <c r="P256" t="str">
        <f t="shared" si="3"/>
        <v>(NULL,"24","64"),</v>
      </c>
      <c r="Q256" t="str">
        <f>TextJoin(tblEnrolledSubjs[[#This Row],[CSubjID]:[EStudID]],"Value")</f>
        <v>"24","64"</v>
      </c>
      <c r="S256">
        <f>LOOKUP(LOOKUP(tblEnrolledSubjs[[#This Row],[CSubjID]], tblClassSubjs[CSubjID],tblClassSubjs[ClassID]),tblClasses[ClassID],tblClasses[STermID])</f>
        <v>1</v>
      </c>
      <c r="T256" t="str">
        <f>LOOKUP(S256,tblSchoolTerms[STermID],tblSchoolTerms[SemesterID]&amp;" Semester "&amp;tblSchoolTerms[SchoolYear])</f>
        <v>2 Semester S.Y. 2018-2019</v>
      </c>
      <c r="W2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6" t="e">
        <f t="array" ref="Y256">INDEX(tblEnrolledStuds[EStudID],MATCH(tblEnrolledSubjs[[#This Row],[EStudID]]&amp;S256,tblEnrolledStuds[AdmissionStatusID]&amp;tblEnrolledStuds[StudID],0))</f>
        <v>#N/A</v>
      </c>
    </row>
    <row r="257" spans="2:25" x14ac:dyDescent="0.25">
      <c r="B257">
        <v>255</v>
      </c>
      <c r="C257">
        <v>25</v>
      </c>
      <c r="D257">
        <v>17</v>
      </c>
      <c r="P257" t="str">
        <f t="shared" si="3"/>
        <v>(NULL,"25","17"),</v>
      </c>
      <c r="Q257" t="str">
        <f>TextJoin(tblEnrolledSubjs[[#This Row],[CSubjID]:[EStudID]],"Value")</f>
        <v>"25","17"</v>
      </c>
      <c r="S257">
        <f>LOOKUP(LOOKUP(tblEnrolledSubjs[[#This Row],[CSubjID]], tblClassSubjs[CSubjID],tblClassSubjs[ClassID]),tblClasses[ClassID],tblClasses[STermID])</f>
        <v>1</v>
      </c>
      <c r="T257" t="str">
        <f>LOOKUP(S257,tblSchoolTerms[STermID],tblSchoolTerms[SemesterID]&amp;" Semester "&amp;tblSchoolTerms[SchoolYear])</f>
        <v>2 Semester S.Y. 2018-2019</v>
      </c>
      <c r="W2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7" t="e">
        <f t="array" ref="Y257">INDEX(tblEnrolledStuds[EStudID],MATCH(tblEnrolledSubjs[[#This Row],[EStudID]]&amp;S257,tblEnrolledStuds[AdmissionStatusID]&amp;tblEnrolledStuds[StudID],0))</f>
        <v>#N/A</v>
      </c>
    </row>
    <row r="258" spans="2:25" x14ac:dyDescent="0.25">
      <c r="B258">
        <v>256</v>
      </c>
      <c r="C258">
        <v>25</v>
      </c>
      <c r="D258">
        <v>52</v>
      </c>
      <c r="P258" t="str">
        <f t="shared" si="3"/>
        <v>(NULL,"25","52"),</v>
      </c>
      <c r="Q258" t="str">
        <f>TextJoin(tblEnrolledSubjs[[#This Row],[CSubjID]:[EStudID]],"Value")</f>
        <v>"25","52"</v>
      </c>
      <c r="S258">
        <f>LOOKUP(LOOKUP(tblEnrolledSubjs[[#This Row],[CSubjID]], tblClassSubjs[CSubjID],tblClassSubjs[ClassID]),tblClasses[ClassID],tblClasses[STermID])</f>
        <v>1</v>
      </c>
      <c r="T258" t="str">
        <f>LOOKUP(S258,tblSchoolTerms[STermID],tblSchoolTerms[SemesterID]&amp;" Semester "&amp;tblSchoolTerms[SchoolYear])</f>
        <v>2 Semester S.Y. 2018-2019</v>
      </c>
      <c r="W2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8" t="e">
        <f t="array" ref="Y258">INDEX(tblEnrolledStuds[EStudID],MATCH(tblEnrolledSubjs[[#This Row],[EStudID]]&amp;S258,tblEnrolledStuds[AdmissionStatusID]&amp;tblEnrolledStuds[StudID],0))</f>
        <v>#N/A</v>
      </c>
    </row>
    <row r="259" spans="2:25" x14ac:dyDescent="0.25">
      <c r="B259">
        <v>257</v>
      </c>
      <c r="C259">
        <v>25</v>
      </c>
      <c r="D259">
        <v>53</v>
      </c>
      <c r="P259" t="str">
        <f t="shared" si="3"/>
        <v>(NULL,"25","53"),</v>
      </c>
      <c r="Q259" t="str">
        <f>TextJoin(tblEnrolledSubjs[[#This Row],[CSubjID]:[EStudID]],"Value")</f>
        <v>"25","53"</v>
      </c>
      <c r="S259">
        <f>LOOKUP(LOOKUP(tblEnrolledSubjs[[#This Row],[CSubjID]], tblClassSubjs[CSubjID],tblClassSubjs[ClassID]),tblClasses[ClassID],tblClasses[STermID])</f>
        <v>1</v>
      </c>
      <c r="T259" t="str">
        <f>LOOKUP(S259,tblSchoolTerms[STermID],tblSchoolTerms[SemesterID]&amp;" Semester "&amp;tblSchoolTerms[SchoolYear])</f>
        <v>2 Semester S.Y. 2018-2019</v>
      </c>
      <c r="W2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59" t="e">
        <f t="array" ref="Y259">INDEX(tblEnrolledStuds[EStudID],MATCH(tblEnrolledSubjs[[#This Row],[EStudID]]&amp;S259,tblEnrolledStuds[AdmissionStatusID]&amp;tblEnrolledStuds[StudID],0))</f>
        <v>#N/A</v>
      </c>
    </row>
    <row r="260" spans="2:25" x14ac:dyDescent="0.25">
      <c r="B260">
        <v>258</v>
      </c>
      <c r="C260">
        <v>25</v>
      </c>
      <c r="D260">
        <v>58</v>
      </c>
      <c r="P260" t="str">
        <f t="shared" ref="P260:P323" si="4">"(NULL,"&amp;Q260&amp;")"&amp;IF(P261&lt;&gt;"",",",";")</f>
        <v>(NULL,"25","58"),</v>
      </c>
      <c r="Q260" t="str">
        <f>TextJoin(tblEnrolledSubjs[[#This Row],[CSubjID]:[EStudID]],"Value")</f>
        <v>"25","58"</v>
      </c>
      <c r="S260">
        <f>LOOKUP(LOOKUP(tblEnrolledSubjs[[#This Row],[CSubjID]], tblClassSubjs[CSubjID],tblClassSubjs[ClassID]),tblClasses[ClassID],tblClasses[STermID])</f>
        <v>1</v>
      </c>
      <c r="T260" t="str">
        <f>LOOKUP(S260,tblSchoolTerms[STermID],tblSchoolTerms[SemesterID]&amp;" Semester "&amp;tblSchoolTerms[SchoolYear])</f>
        <v>2 Semester S.Y. 2018-2019</v>
      </c>
      <c r="W2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0" t="e">
        <f t="array" ref="Y260">INDEX(tblEnrolledStuds[EStudID],MATCH(tblEnrolledSubjs[[#This Row],[EStudID]]&amp;S260,tblEnrolledStuds[AdmissionStatusID]&amp;tblEnrolledStuds[StudID],0))</f>
        <v>#N/A</v>
      </c>
    </row>
    <row r="261" spans="2:25" x14ac:dyDescent="0.25">
      <c r="B261">
        <v>259</v>
      </c>
      <c r="C261">
        <v>25</v>
      </c>
      <c r="D261">
        <v>66</v>
      </c>
      <c r="P261" t="str">
        <f t="shared" si="4"/>
        <v>(NULL,"25","66"),</v>
      </c>
      <c r="Q261" t="str">
        <f>TextJoin(tblEnrolledSubjs[[#This Row],[CSubjID]:[EStudID]],"Value")</f>
        <v>"25","66"</v>
      </c>
      <c r="S261">
        <f>LOOKUP(LOOKUP(tblEnrolledSubjs[[#This Row],[CSubjID]], tblClassSubjs[CSubjID],tblClassSubjs[ClassID]),tblClasses[ClassID],tblClasses[STermID])</f>
        <v>1</v>
      </c>
      <c r="T261" t="str">
        <f>LOOKUP(S261,tblSchoolTerms[STermID],tblSchoolTerms[SemesterID]&amp;" Semester "&amp;tblSchoolTerms[SchoolYear])</f>
        <v>2 Semester S.Y. 2018-2019</v>
      </c>
      <c r="W2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1" t="e">
        <f t="array" ref="Y261">INDEX(tblEnrolledStuds[EStudID],MATCH(tblEnrolledSubjs[[#This Row],[EStudID]]&amp;S261,tblEnrolledStuds[AdmissionStatusID]&amp;tblEnrolledStuds[StudID],0))</f>
        <v>#N/A</v>
      </c>
    </row>
    <row r="262" spans="2:25" x14ac:dyDescent="0.25">
      <c r="B262">
        <v>260</v>
      </c>
      <c r="C262">
        <v>26</v>
      </c>
      <c r="D262">
        <v>2</v>
      </c>
      <c r="P262" t="str">
        <f t="shared" si="4"/>
        <v>(NULL,"26","2"),</v>
      </c>
      <c r="Q262" t="str">
        <f>TextJoin(tblEnrolledSubjs[[#This Row],[CSubjID]:[EStudID]],"Value")</f>
        <v>"26","2"</v>
      </c>
      <c r="S262">
        <f>LOOKUP(LOOKUP(tblEnrolledSubjs[[#This Row],[CSubjID]], tblClassSubjs[CSubjID],tblClassSubjs[ClassID]),tblClasses[ClassID],tblClasses[STermID])</f>
        <v>1</v>
      </c>
      <c r="T262" t="str">
        <f>LOOKUP(S262,tblSchoolTerms[STermID],tblSchoolTerms[SemesterID]&amp;" Semester "&amp;tblSchoolTerms[SchoolYear])</f>
        <v>2 Semester S.Y. 2018-2019</v>
      </c>
      <c r="W2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2">
        <f t="array" ref="Y262">INDEX(tblEnrolledStuds[EStudID],MATCH(tblEnrolledSubjs[[#This Row],[EStudID]]&amp;S262,tblEnrolledStuds[AdmissionStatusID]&amp;tblEnrolledStuds[StudID],0))</f>
        <v>140</v>
      </c>
    </row>
    <row r="263" spans="2:25" x14ac:dyDescent="0.25">
      <c r="B263">
        <v>261</v>
      </c>
      <c r="C263">
        <v>26</v>
      </c>
      <c r="D263">
        <v>6</v>
      </c>
      <c r="P263" t="str">
        <f t="shared" si="4"/>
        <v>(NULL,"26","6"),</v>
      </c>
      <c r="Q263" t="str">
        <f>TextJoin(tblEnrolledSubjs[[#This Row],[CSubjID]:[EStudID]],"Value")</f>
        <v>"26","6"</v>
      </c>
      <c r="S263">
        <f>LOOKUP(LOOKUP(tblEnrolledSubjs[[#This Row],[CSubjID]], tblClassSubjs[CSubjID],tblClassSubjs[ClassID]),tblClasses[ClassID],tblClasses[STermID])</f>
        <v>1</v>
      </c>
      <c r="T263" t="str">
        <f>LOOKUP(S263,tblSchoolTerms[STermID],tblSchoolTerms[SemesterID]&amp;" Semester "&amp;tblSchoolTerms[SchoolYear])</f>
        <v>2 Semester S.Y. 2018-2019</v>
      </c>
      <c r="W2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3" t="e">
        <f t="array" ref="Y263">INDEX(tblEnrolledStuds[EStudID],MATCH(tblEnrolledSubjs[[#This Row],[EStudID]]&amp;S263,tblEnrolledStuds[AdmissionStatusID]&amp;tblEnrolledStuds[StudID],0))</f>
        <v>#N/A</v>
      </c>
    </row>
    <row r="264" spans="2:25" x14ac:dyDescent="0.25">
      <c r="B264">
        <v>262</v>
      </c>
      <c r="C264">
        <v>26</v>
      </c>
      <c r="D264">
        <v>8</v>
      </c>
      <c r="P264" t="str">
        <f t="shared" si="4"/>
        <v>(NULL,"26","8"),</v>
      </c>
      <c r="Q264" t="str">
        <f>TextJoin(tblEnrolledSubjs[[#This Row],[CSubjID]:[EStudID]],"Value")</f>
        <v>"26","8"</v>
      </c>
      <c r="S264">
        <f>LOOKUP(LOOKUP(tblEnrolledSubjs[[#This Row],[CSubjID]], tblClassSubjs[CSubjID],tblClassSubjs[ClassID]),tblClasses[ClassID],tblClasses[STermID])</f>
        <v>1</v>
      </c>
      <c r="T264" t="str">
        <f>LOOKUP(S264,tblSchoolTerms[STermID],tblSchoolTerms[SemesterID]&amp;" Semester "&amp;tblSchoolTerms[SchoolYear])</f>
        <v>2 Semester S.Y. 2018-2019</v>
      </c>
      <c r="W2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4" t="e">
        <f t="array" ref="Y264">INDEX(tblEnrolledStuds[EStudID],MATCH(tblEnrolledSubjs[[#This Row],[EStudID]]&amp;S264,tblEnrolledStuds[AdmissionStatusID]&amp;tblEnrolledStuds[StudID],0))</f>
        <v>#N/A</v>
      </c>
    </row>
    <row r="265" spans="2:25" x14ac:dyDescent="0.25">
      <c r="B265">
        <v>263</v>
      </c>
      <c r="C265">
        <v>26</v>
      </c>
      <c r="D265">
        <v>9</v>
      </c>
      <c r="P265" t="str">
        <f t="shared" si="4"/>
        <v>(NULL,"26","9"),</v>
      </c>
      <c r="Q265" t="str">
        <f>TextJoin(tblEnrolledSubjs[[#This Row],[CSubjID]:[EStudID]],"Value")</f>
        <v>"26","9"</v>
      </c>
      <c r="S265">
        <f>LOOKUP(LOOKUP(tblEnrolledSubjs[[#This Row],[CSubjID]], tblClassSubjs[CSubjID],tblClassSubjs[ClassID]),tblClasses[ClassID],tblClasses[STermID])</f>
        <v>1</v>
      </c>
      <c r="T265" t="str">
        <f>LOOKUP(S265,tblSchoolTerms[STermID],tblSchoolTerms[SemesterID]&amp;" Semester "&amp;tblSchoolTerms[SchoolYear])</f>
        <v>2 Semester S.Y. 2018-2019</v>
      </c>
      <c r="W2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5" t="e">
        <f t="array" ref="Y265">INDEX(tblEnrolledStuds[EStudID],MATCH(tblEnrolledSubjs[[#This Row],[EStudID]]&amp;S265,tblEnrolledStuds[AdmissionStatusID]&amp;tblEnrolledStuds[StudID],0))</f>
        <v>#N/A</v>
      </c>
    </row>
    <row r="266" spans="2:25" x14ac:dyDescent="0.25">
      <c r="B266">
        <v>264</v>
      </c>
      <c r="C266">
        <v>26</v>
      </c>
      <c r="D266">
        <v>13</v>
      </c>
      <c r="P266" t="str">
        <f t="shared" si="4"/>
        <v>(NULL,"26","13"),</v>
      </c>
      <c r="Q266" t="str">
        <f>TextJoin(tblEnrolledSubjs[[#This Row],[CSubjID]:[EStudID]],"Value")</f>
        <v>"26","13"</v>
      </c>
      <c r="S266">
        <f>LOOKUP(LOOKUP(tblEnrolledSubjs[[#This Row],[CSubjID]], tblClassSubjs[CSubjID],tblClassSubjs[ClassID]),tblClasses[ClassID],tblClasses[STermID])</f>
        <v>1</v>
      </c>
      <c r="T266" t="str">
        <f>LOOKUP(S266,tblSchoolTerms[STermID],tblSchoolTerms[SemesterID]&amp;" Semester "&amp;tblSchoolTerms[SchoolYear])</f>
        <v>2 Semester S.Y. 2018-2019</v>
      </c>
      <c r="W2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6" t="e">
        <f t="array" ref="Y266">INDEX(tblEnrolledStuds[EStudID],MATCH(tblEnrolledSubjs[[#This Row],[EStudID]]&amp;S266,tblEnrolledStuds[AdmissionStatusID]&amp;tblEnrolledStuds[StudID],0))</f>
        <v>#N/A</v>
      </c>
    </row>
    <row r="267" spans="2:25" x14ac:dyDescent="0.25">
      <c r="B267">
        <v>265</v>
      </c>
      <c r="C267">
        <v>26</v>
      </c>
      <c r="D267">
        <v>14</v>
      </c>
      <c r="P267" t="str">
        <f t="shared" si="4"/>
        <v>(NULL,"26","14"),</v>
      </c>
      <c r="Q267" t="str">
        <f>TextJoin(tblEnrolledSubjs[[#This Row],[CSubjID]:[EStudID]],"Value")</f>
        <v>"26","14"</v>
      </c>
      <c r="S267">
        <f>LOOKUP(LOOKUP(tblEnrolledSubjs[[#This Row],[CSubjID]], tblClassSubjs[CSubjID],tblClassSubjs[ClassID]),tblClasses[ClassID],tblClasses[STermID])</f>
        <v>1</v>
      </c>
      <c r="T267" t="str">
        <f>LOOKUP(S267,tblSchoolTerms[STermID],tblSchoolTerms[SemesterID]&amp;" Semester "&amp;tblSchoolTerms[SchoolYear])</f>
        <v>2 Semester S.Y. 2018-2019</v>
      </c>
      <c r="W2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7" t="e">
        <f t="array" ref="Y267">INDEX(tblEnrolledStuds[EStudID],MATCH(tblEnrolledSubjs[[#This Row],[EStudID]]&amp;S267,tblEnrolledStuds[AdmissionStatusID]&amp;tblEnrolledStuds[StudID],0))</f>
        <v>#N/A</v>
      </c>
    </row>
    <row r="268" spans="2:25" x14ac:dyDescent="0.25">
      <c r="B268">
        <v>266</v>
      </c>
      <c r="C268">
        <v>26</v>
      </c>
      <c r="D268">
        <v>15</v>
      </c>
      <c r="P268" t="str">
        <f t="shared" si="4"/>
        <v>(NULL,"26","15"),</v>
      </c>
      <c r="Q268" t="str">
        <f>TextJoin(tblEnrolledSubjs[[#This Row],[CSubjID]:[EStudID]],"Value")</f>
        <v>"26","15"</v>
      </c>
      <c r="S268">
        <f>LOOKUP(LOOKUP(tblEnrolledSubjs[[#This Row],[CSubjID]], tblClassSubjs[CSubjID],tblClassSubjs[ClassID]),tblClasses[ClassID],tblClasses[STermID])</f>
        <v>1</v>
      </c>
      <c r="T268" t="str">
        <f>LOOKUP(S268,tblSchoolTerms[STermID],tblSchoolTerms[SemesterID]&amp;" Semester "&amp;tblSchoolTerms[SchoolYear])</f>
        <v>2 Semester S.Y. 2018-2019</v>
      </c>
      <c r="W2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8" t="e">
        <f t="array" ref="Y268">INDEX(tblEnrolledStuds[EStudID],MATCH(tblEnrolledSubjs[[#This Row],[EStudID]]&amp;S268,tblEnrolledStuds[AdmissionStatusID]&amp;tblEnrolledStuds[StudID],0))</f>
        <v>#N/A</v>
      </c>
    </row>
    <row r="269" spans="2:25" x14ac:dyDescent="0.25">
      <c r="B269">
        <v>267</v>
      </c>
      <c r="C269">
        <v>26</v>
      </c>
      <c r="D269">
        <v>21</v>
      </c>
      <c r="P269" t="str">
        <f t="shared" si="4"/>
        <v>(NULL,"26","21"),</v>
      </c>
      <c r="Q269" t="str">
        <f>TextJoin(tblEnrolledSubjs[[#This Row],[CSubjID]:[EStudID]],"Value")</f>
        <v>"26","21"</v>
      </c>
      <c r="S269">
        <f>LOOKUP(LOOKUP(tblEnrolledSubjs[[#This Row],[CSubjID]], tblClassSubjs[CSubjID],tblClassSubjs[ClassID]),tblClasses[ClassID],tblClasses[STermID])</f>
        <v>1</v>
      </c>
      <c r="T269" t="str">
        <f>LOOKUP(S269,tblSchoolTerms[STermID],tblSchoolTerms[SemesterID]&amp;" Semester "&amp;tblSchoolTerms[SchoolYear])</f>
        <v>2 Semester S.Y. 2018-2019</v>
      </c>
      <c r="W2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69" t="e">
        <f t="array" ref="Y269">INDEX(tblEnrolledStuds[EStudID],MATCH(tblEnrolledSubjs[[#This Row],[EStudID]]&amp;S269,tblEnrolledStuds[AdmissionStatusID]&amp;tblEnrolledStuds[StudID],0))</f>
        <v>#N/A</v>
      </c>
    </row>
    <row r="270" spans="2:25" x14ac:dyDescent="0.25">
      <c r="B270">
        <v>268</v>
      </c>
      <c r="C270">
        <v>26</v>
      </c>
      <c r="D270">
        <v>24</v>
      </c>
      <c r="P270" t="str">
        <f t="shared" si="4"/>
        <v>(NULL,"26","24"),</v>
      </c>
      <c r="Q270" t="str">
        <f>TextJoin(tblEnrolledSubjs[[#This Row],[CSubjID]:[EStudID]],"Value")</f>
        <v>"26","24"</v>
      </c>
      <c r="S270">
        <f>LOOKUP(LOOKUP(tblEnrolledSubjs[[#This Row],[CSubjID]], tblClassSubjs[CSubjID],tblClassSubjs[ClassID]),tblClasses[ClassID],tblClasses[STermID])</f>
        <v>1</v>
      </c>
      <c r="T270" t="str">
        <f>LOOKUP(S270,tblSchoolTerms[STermID],tblSchoolTerms[SemesterID]&amp;" Semester "&amp;tblSchoolTerms[SchoolYear])</f>
        <v>2 Semester S.Y. 2018-2019</v>
      </c>
      <c r="W2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0" t="e">
        <f t="array" ref="Y270">INDEX(tblEnrolledStuds[EStudID],MATCH(tblEnrolledSubjs[[#This Row],[EStudID]]&amp;S270,tblEnrolledStuds[AdmissionStatusID]&amp;tblEnrolledStuds[StudID],0))</f>
        <v>#N/A</v>
      </c>
    </row>
    <row r="271" spans="2:25" x14ac:dyDescent="0.25">
      <c r="B271">
        <v>269</v>
      </c>
      <c r="C271">
        <v>26</v>
      </c>
      <c r="D271">
        <v>36</v>
      </c>
      <c r="P271" t="str">
        <f t="shared" si="4"/>
        <v>(NULL,"26","36"),</v>
      </c>
      <c r="Q271" t="str">
        <f>TextJoin(tblEnrolledSubjs[[#This Row],[CSubjID]:[EStudID]],"Value")</f>
        <v>"26","36"</v>
      </c>
      <c r="S271">
        <f>LOOKUP(LOOKUP(tblEnrolledSubjs[[#This Row],[CSubjID]], tblClassSubjs[CSubjID],tblClassSubjs[ClassID]),tblClasses[ClassID],tblClasses[STermID])</f>
        <v>1</v>
      </c>
      <c r="T271" t="str">
        <f>LOOKUP(S271,tblSchoolTerms[STermID],tblSchoolTerms[SemesterID]&amp;" Semester "&amp;tblSchoolTerms[SchoolYear])</f>
        <v>2 Semester S.Y. 2018-2019</v>
      </c>
      <c r="W2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1">
        <f t="array" ref="Y271">INDEX(tblEnrolledStuds[EStudID],MATCH(tblEnrolledSubjs[[#This Row],[EStudID]]&amp;S271,tblEnrolledStuds[AdmissionStatusID]&amp;tblEnrolledStuds[StudID],0))</f>
        <v>61</v>
      </c>
    </row>
    <row r="272" spans="2:25" x14ac:dyDescent="0.25">
      <c r="B272">
        <v>270</v>
      </c>
      <c r="C272">
        <v>26</v>
      </c>
      <c r="D272">
        <v>44</v>
      </c>
      <c r="P272" t="str">
        <f t="shared" si="4"/>
        <v>(NULL,"26","44"),</v>
      </c>
      <c r="Q272" t="str">
        <f>TextJoin(tblEnrolledSubjs[[#This Row],[CSubjID]:[EStudID]],"Value")</f>
        <v>"26","44"</v>
      </c>
      <c r="S272">
        <f>LOOKUP(LOOKUP(tblEnrolledSubjs[[#This Row],[CSubjID]], tblClassSubjs[CSubjID],tblClassSubjs[ClassID]),tblClasses[ClassID],tblClasses[STermID])</f>
        <v>1</v>
      </c>
      <c r="T272" t="str">
        <f>LOOKUP(S272,tblSchoolTerms[STermID],tblSchoolTerms[SemesterID]&amp;" Semester "&amp;tblSchoolTerms[SchoolYear])</f>
        <v>2 Semester S.Y. 2018-2019</v>
      </c>
      <c r="W2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2" t="e">
        <f t="array" ref="Y272">INDEX(tblEnrolledStuds[EStudID],MATCH(tblEnrolledSubjs[[#This Row],[EStudID]]&amp;S272,tblEnrolledStuds[AdmissionStatusID]&amp;tblEnrolledStuds[StudID],0))</f>
        <v>#N/A</v>
      </c>
    </row>
    <row r="273" spans="2:25" x14ac:dyDescent="0.25">
      <c r="B273">
        <v>271</v>
      </c>
      <c r="C273">
        <v>26</v>
      </c>
      <c r="D273">
        <v>45</v>
      </c>
      <c r="P273" t="str">
        <f t="shared" si="4"/>
        <v>(NULL,"26","45"),</v>
      </c>
      <c r="Q273" t="str">
        <f>TextJoin(tblEnrolledSubjs[[#This Row],[CSubjID]:[EStudID]],"Value")</f>
        <v>"26","45"</v>
      </c>
      <c r="S273">
        <f>LOOKUP(LOOKUP(tblEnrolledSubjs[[#This Row],[CSubjID]], tblClassSubjs[CSubjID],tblClassSubjs[ClassID]),tblClasses[ClassID],tblClasses[STermID])</f>
        <v>1</v>
      </c>
      <c r="T273" t="str">
        <f>LOOKUP(S273,tblSchoolTerms[STermID],tblSchoolTerms[SemesterID]&amp;" Semester "&amp;tblSchoolTerms[SchoolYear])</f>
        <v>2 Semester S.Y. 2018-2019</v>
      </c>
      <c r="W2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3" t="e">
        <f t="array" ref="Y273">INDEX(tblEnrolledStuds[EStudID],MATCH(tblEnrolledSubjs[[#This Row],[EStudID]]&amp;S273,tblEnrolledStuds[AdmissionStatusID]&amp;tblEnrolledStuds[StudID],0))</f>
        <v>#N/A</v>
      </c>
    </row>
    <row r="274" spans="2:25" x14ac:dyDescent="0.25">
      <c r="B274">
        <v>272</v>
      </c>
      <c r="C274">
        <v>26</v>
      </c>
      <c r="D274">
        <v>49</v>
      </c>
      <c r="P274" t="str">
        <f t="shared" si="4"/>
        <v>(NULL,"26","49"),</v>
      </c>
      <c r="Q274" t="str">
        <f>TextJoin(tblEnrolledSubjs[[#This Row],[CSubjID]:[EStudID]],"Value")</f>
        <v>"26","49"</v>
      </c>
      <c r="S274">
        <f>LOOKUP(LOOKUP(tblEnrolledSubjs[[#This Row],[CSubjID]], tblClassSubjs[CSubjID],tblClassSubjs[ClassID]),tblClasses[ClassID],tblClasses[STermID])</f>
        <v>1</v>
      </c>
      <c r="T274" t="str">
        <f>LOOKUP(S274,tblSchoolTerms[STermID],tblSchoolTerms[SemesterID]&amp;" Semester "&amp;tblSchoolTerms[SchoolYear])</f>
        <v>2 Semester S.Y. 2018-2019</v>
      </c>
      <c r="W2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4" t="e">
        <f t="array" ref="Y274">INDEX(tblEnrolledStuds[EStudID],MATCH(tblEnrolledSubjs[[#This Row],[EStudID]]&amp;S274,tblEnrolledStuds[AdmissionStatusID]&amp;tblEnrolledStuds[StudID],0))</f>
        <v>#N/A</v>
      </c>
    </row>
    <row r="275" spans="2:25" x14ac:dyDescent="0.25">
      <c r="B275">
        <v>273</v>
      </c>
      <c r="C275">
        <v>26</v>
      </c>
      <c r="D275">
        <v>55</v>
      </c>
      <c r="P275" t="str">
        <f t="shared" si="4"/>
        <v>(NULL,"26","55"),</v>
      </c>
      <c r="Q275" t="str">
        <f>TextJoin(tblEnrolledSubjs[[#This Row],[CSubjID]:[EStudID]],"Value")</f>
        <v>"26","55"</v>
      </c>
      <c r="S275">
        <f>LOOKUP(LOOKUP(tblEnrolledSubjs[[#This Row],[CSubjID]], tblClassSubjs[CSubjID],tblClassSubjs[ClassID]),tblClasses[ClassID],tblClasses[STermID])</f>
        <v>1</v>
      </c>
      <c r="T275" t="str">
        <f>LOOKUP(S275,tblSchoolTerms[STermID],tblSchoolTerms[SemesterID]&amp;" Semester "&amp;tblSchoolTerms[SchoolYear])</f>
        <v>2 Semester S.Y. 2018-2019</v>
      </c>
      <c r="W2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5" t="e">
        <f t="array" ref="Y275">INDEX(tblEnrolledStuds[EStudID],MATCH(tblEnrolledSubjs[[#This Row],[EStudID]]&amp;S275,tblEnrolledStuds[AdmissionStatusID]&amp;tblEnrolledStuds[StudID],0))</f>
        <v>#N/A</v>
      </c>
    </row>
    <row r="276" spans="2:25" x14ac:dyDescent="0.25">
      <c r="B276">
        <v>274</v>
      </c>
      <c r="C276">
        <v>26</v>
      </c>
      <c r="D276">
        <v>60</v>
      </c>
      <c r="P276" t="str">
        <f t="shared" si="4"/>
        <v>(NULL,"26","60"),</v>
      </c>
      <c r="Q276" t="str">
        <f>TextJoin(tblEnrolledSubjs[[#This Row],[CSubjID]:[EStudID]],"Value")</f>
        <v>"26","60"</v>
      </c>
      <c r="S276">
        <f>LOOKUP(LOOKUP(tblEnrolledSubjs[[#This Row],[CSubjID]], tblClassSubjs[CSubjID],tblClassSubjs[ClassID]),tblClasses[ClassID],tblClasses[STermID])</f>
        <v>1</v>
      </c>
      <c r="T276" t="str">
        <f>LOOKUP(S276,tblSchoolTerms[STermID],tblSchoolTerms[SemesterID]&amp;" Semester "&amp;tblSchoolTerms[SchoolYear])</f>
        <v>2 Semester S.Y. 2018-2019</v>
      </c>
      <c r="W2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6" t="e">
        <f t="array" ref="Y276">INDEX(tblEnrolledStuds[EStudID],MATCH(tblEnrolledSubjs[[#This Row],[EStudID]]&amp;S276,tblEnrolledStuds[AdmissionStatusID]&amp;tblEnrolledStuds[StudID],0))</f>
        <v>#N/A</v>
      </c>
    </row>
    <row r="277" spans="2:25" x14ac:dyDescent="0.25">
      <c r="B277">
        <v>275</v>
      </c>
      <c r="C277">
        <v>26</v>
      </c>
      <c r="D277">
        <v>61</v>
      </c>
      <c r="P277" t="str">
        <f t="shared" si="4"/>
        <v>(NULL,"26","61"),</v>
      </c>
      <c r="Q277" t="str">
        <f>TextJoin(tblEnrolledSubjs[[#This Row],[CSubjID]:[EStudID]],"Value")</f>
        <v>"26","61"</v>
      </c>
      <c r="S277">
        <f>LOOKUP(LOOKUP(tblEnrolledSubjs[[#This Row],[CSubjID]], tblClassSubjs[CSubjID],tblClassSubjs[ClassID]),tblClasses[ClassID],tblClasses[STermID])</f>
        <v>1</v>
      </c>
      <c r="T277" t="str">
        <f>LOOKUP(S277,tblSchoolTerms[STermID],tblSchoolTerms[SemesterID]&amp;" Semester "&amp;tblSchoolTerms[SchoolYear])</f>
        <v>2 Semester S.Y. 2018-2019</v>
      </c>
      <c r="W2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7" t="e">
        <f t="array" ref="Y277">INDEX(tblEnrolledStuds[EStudID],MATCH(tblEnrolledSubjs[[#This Row],[EStudID]]&amp;S277,tblEnrolledStuds[AdmissionStatusID]&amp;tblEnrolledStuds[StudID],0))</f>
        <v>#N/A</v>
      </c>
    </row>
    <row r="278" spans="2:25" x14ac:dyDescent="0.25">
      <c r="B278">
        <v>276</v>
      </c>
      <c r="C278">
        <v>26</v>
      </c>
      <c r="D278">
        <v>62</v>
      </c>
      <c r="P278" t="str">
        <f t="shared" si="4"/>
        <v>(NULL,"26","62"),</v>
      </c>
      <c r="Q278" t="str">
        <f>TextJoin(tblEnrolledSubjs[[#This Row],[CSubjID]:[EStudID]],"Value")</f>
        <v>"26","62"</v>
      </c>
      <c r="S278">
        <f>LOOKUP(LOOKUP(tblEnrolledSubjs[[#This Row],[CSubjID]], tblClassSubjs[CSubjID],tblClassSubjs[ClassID]),tblClasses[ClassID],tblClasses[STermID])</f>
        <v>1</v>
      </c>
      <c r="T278" t="str">
        <f>LOOKUP(S278,tblSchoolTerms[STermID],tblSchoolTerms[SemesterID]&amp;" Semester "&amp;tblSchoolTerms[SchoolYear])</f>
        <v>2 Semester S.Y. 2018-2019</v>
      </c>
      <c r="W2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8" t="e">
        <f t="array" ref="Y278">INDEX(tblEnrolledStuds[EStudID],MATCH(tblEnrolledSubjs[[#This Row],[EStudID]]&amp;S278,tblEnrolledStuds[AdmissionStatusID]&amp;tblEnrolledStuds[StudID],0))</f>
        <v>#N/A</v>
      </c>
    </row>
    <row r="279" spans="2:25" x14ac:dyDescent="0.25">
      <c r="B279">
        <v>277</v>
      </c>
      <c r="C279">
        <v>26</v>
      </c>
      <c r="D279">
        <v>64</v>
      </c>
      <c r="P279" t="str">
        <f t="shared" si="4"/>
        <v>(NULL,"26","64"),</v>
      </c>
      <c r="Q279" t="str">
        <f>TextJoin(tblEnrolledSubjs[[#This Row],[CSubjID]:[EStudID]],"Value")</f>
        <v>"26","64"</v>
      </c>
      <c r="S279">
        <f>LOOKUP(LOOKUP(tblEnrolledSubjs[[#This Row],[CSubjID]], tblClassSubjs[CSubjID],tblClassSubjs[ClassID]),tblClasses[ClassID],tblClasses[STermID])</f>
        <v>1</v>
      </c>
      <c r="T279" t="str">
        <f>LOOKUP(S279,tblSchoolTerms[STermID],tblSchoolTerms[SemesterID]&amp;" Semester "&amp;tblSchoolTerms[SchoolYear])</f>
        <v>2 Semester S.Y. 2018-2019</v>
      </c>
      <c r="W2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79" t="e">
        <f t="array" ref="Y279">INDEX(tblEnrolledStuds[EStudID],MATCH(tblEnrolledSubjs[[#This Row],[EStudID]]&amp;S279,tblEnrolledStuds[AdmissionStatusID]&amp;tblEnrolledStuds[StudID],0))</f>
        <v>#N/A</v>
      </c>
    </row>
    <row r="280" spans="2:25" x14ac:dyDescent="0.25">
      <c r="B280">
        <v>278</v>
      </c>
      <c r="C280">
        <v>27</v>
      </c>
      <c r="D280">
        <v>17</v>
      </c>
      <c r="P280" t="str">
        <f t="shared" si="4"/>
        <v>(NULL,"27","17"),</v>
      </c>
      <c r="Q280" t="str">
        <f>TextJoin(tblEnrolledSubjs[[#This Row],[CSubjID]:[EStudID]],"Value")</f>
        <v>"27","17"</v>
      </c>
      <c r="S280">
        <f>LOOKUP(LOOKUP(tblEnrolledSubjs[[#This Row],[CSubjID]], tblClassSubjs[CSubjID],tblClassSubjs[ClassID]),tblClasses[ClassID],tblClasses[STermID])</f>
        <v>1</v>
      </c>
      <c r="T280" t="str">
        <f>LOOKUP(S280,tblSchoolTerms[STermID],tblSchoolTerms[SemesterID]&amp;" Semester "&amp;tblSchoolTerms[SchoolYear])</f>
        <v>2 Semester S.Y. 2018-2019</v>
      </c>
      <c r="W2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0" t="e">
        <f t="array" ref="Y280">INDEX(tblEnrolledStuds[EStudID],MATCH(tblEnrolledSubjs[[#This Row],[EStudID]]&amp;S280,tblEnrolledStuds[AdmissionStatusID]&amp;tblEnrolledStuds[StudID],0))</f>
        <v>#N/A</v>
      </c>
    </row>
    <row r="281" spans="2:25" x14ac:dyDescent="0.25">
      <c r="B281">
        <v>279</v>
      </c>
      <c r="C281">
        <v>27</v>
      </c>
      <c r="D281">
        <v>52</v>
      </c>
      <c r="P281" t="str">
        <f t="shared" si="4"/>
        <v>(NULL,"27","52"),</v>
      </c>
      <c r="Q281" t="str">
        <f>TextJoin(tblEnrolledSubjs[[#This Row],[CSubjID]:[EStudID]],"Value")</f>
        <v>"27","52"</v>
      </c>
      <c r="S281">
        <f>LOOKUP(LOOKUP(tblEnrolledSubjs[[#This Row],[CSubjID]], tblClassSubjs[CSubjID],tblClassSubjs[ClassID]),tblClasses[ClassID],tblClasses[STermID])</f>
        <v>1</v>
      </c>
      <c r="T281" t="str">
        <f>LOOKUP(S281,tblSchoolTerms[STermID],tblSchoolTerms[SemesterID]&amp;" Semester "&amp;tblSchoolTerms[SchoolYear])</f>
        <v>2 Semester S.Y. 2018-2019</v>
      </c>
      <c r="W2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1" t="e">
        <f t="array" ref="Y281">INDEX(tblEnrolledStuds[EStudID],MATCH(tblEnrolledSubjs[[#This Row],[EStudID]]&amp;S281,tblEnrolledStuds[AdmissionStatusID]&amp;tblEnrolledStuds[StudID],0))</f>
        <v>#N/A</v>
      </c>
    </row>
    <row r="282" spans="2:25" x14ac:dyDescent="0.25">
      <c r="B282">
        <v>280</v>
      </c>
      <c r="C282">
        <v>27</v>
      </c>
      <c r="D282">
        <v>53</v>
      </c>
      <c r="P282" t="str">
        <f t="shared" si="4"/>
        <v>(NULL,"27","53"),</v>
      </c>
      <c r="Q282" t="str">
        <f>TextJoin(tblEnrolledSubjs[[#This Row],[CSubjID]:[EStudID]],"Value")</f>
        <v>"27","53"</v>
      </c>
      <c r="S282">
        <f>LOOKUP(LOOKUP(tblEnrolledSubjs[[#This Row],[CSubjID]], tblClassSubjs[CSubjID],tblClassSubjs[ClassID]),tblClasses[ClassID],tblClasses[STermID])</f>
        <v>1</v>
      </c>
      <c r="T282" t="str">
        <f>LOOKUP(S282,tblSchoolTerms[STermID],tblSchoolTerms[SemesterID]&amp;" Semester "&amp;tblSchoolTerms[SchoolYear])</f>
        <v>2 Semester S.Y. 2018-2019</v>
      </c>
      <c r="W2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2" t="e">
        <f t="array" ref="Y282">INDEX(tblEnrolledStuds[EStudID],MATCH(tblEnrolledSubjs[[#This Row],[EStudID]]&amp;S282,tblEnrolledStuds[AdmissionStatusID]&amp;tblEnrolledStuds[StudID],0))</f>
        <v>#N/A</v>
      </c>
    </row>
    <row r="283" spans="2:25" x14ac:dyDescent="0.25">
      <c r="B283">
        <v>281</v>
      </c>
      <c r="C283">
        <v>27</v>
      </c>
      <c r="D283">
        <v>58</v>
      </c>
      <c r="P283" t="str">
        <f t="shared" si="4"/>
        <v>(NULL,"27","58"),</v>
      </c>
      <c r="Q283" t="str">
        <f>TextJoin(tblEnrolledSubjs[[#This Row],[CSubjID]:[EStudID]],"Value")</f>
        <v>"27","58"</v>
      </c>
      <c r="S283">
        <f>LOOKUP(LOOKUP(tblEnrolledSubjs[[#This Row],[CSubjID]], tblClassSubjs[CSubjID],tblClassSubjs[ClassID]),tblClasses[ClassID],tblClasses[STermID])</f>
        <v>1</v>
      </c>
      <c r="T283" t="str">
        <f>LOOKUP(S283,tblSchoolTerms[STermID],tblSchoolTerms[SemesterID]&amp;" Semester "&amp;tblSchoolTerms[SchoolYear])</f>
        <v>2 Semester S.Y. 2018-2019</v>
      </c>
      <c r="W2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3" t="e">
        <f t="array" ref="Y283">INDEX(tblEnrolledStuds[EStudID],MATCH(tblEnrolledSubjs[[#This Row],[EStudID]]&amp;S283,tblEnrolledStuds[AdmissionStatusID]&amp;tblEnrolledStuds[StudID],0))</f>
        <v>#N/A</v>
      </c>
    </row>
    <row r="284" spans="2:25" x14ac:dyDescent="0.25">
      <c r="B284">
        <v>282</v>
      </c>
      <c r="C284">
        <v>27</v>
      </c>
      <c r="D284">
        <v>66</v>
      </c>
      <c r="K284" t="e">
        <f>LOOKUP(tblEnrolledSubjs[[#This Row],[EStudID]],#REF!,#REF!)</f>
        <v>#REF!</v>
      </c>
      <c r="L284" t="e">
        <f>LOOKUP(K284,tblStudents[StudID],tblStudents[SchoolIDNo])</f>
        <v>#REF!</v>
      </c>
      <c r="M284" t="e">
        <f>LOWER(MD5_string((L284)))</f>
        <v>#VALUE!</v>
      </c>
      <c r="N284" t="e">
        <f>LOOKUP(K284,tblStudents[StudID],tblStudents[PersonID])</f>
        <v>#REF!</v>
      </c>
      <c r="O284" t="e">
        <f>LOOKUP(N284,tblPersons[PersonID],tblPersons[LastName])</f>
        <v>#REF!</v>
      </c>
      <c r="P284" t="str">
        <f t="shared" si="4"/>
        <v>(NULL,"27","66"),</v>
      </c>
      <c r="Q284" t="str">
        <f>TextJoin(tblEnrolledSubjs[[#This Row],[CSubjID]:[EStudID]],"Value")</f>
        <v>"27","66"</v>
      </c>
      <c r="S284">
        <f>LOOKUP(LOOKUP(tblEnrolledSubjs[[#This Row],[CSubjID]], tblClassSubjs[CSubjID],tblClassSubjs[ClassID]),tblClasses[ClassID],tblClasses[STermID])</f>
        <v>1</v>
      </c>
      <c r="T284" t="str">
        <f>LOOKUP(S284,tblSchoolTerms[STermID],tblSchoolTerms[SemesterID]&amp;" Semester "&amp;tblSchoolTerms[SchoolYear])</f>
        <v>2 Semester S.Y. 2018-2019</v>
      </c>
      <c r="W2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4" t="e">
        <f t="array" ref="Y284">INDEX(tblEnrolledStuds[EStudID],MATCH(tblEnrolledSubjs[[#This Row],[EStudID]]&amp;S284,tblEnrolledStuds[AdmissionStatusID]&amp;tblEnrolledStuds[StudID],0))</f>
        <v>#N/A</v>
      </c>
    </row>
    <row r="285" spans="2:25" x14ac:dyDescent="0.25">
      <c r="B285">
        <v>283</v>
      </c>
      <c r="C285">
        <v>28</v>
      </c>
      <c r="D285">
        <v>17</v>
      </c>
      <c r="K285" t="e">
        <f>LOOKUP(tblEnrolledSubjs[[#This Row],[EStudID]],#REF!,#REF!)</f>
        <v>#REF!</v>
      </c>
      <c r="L285" t="e">
        <f>LOOKUP(K285,tblStudents[StudID],tblStudents[SchoolIDNo])</f>
        <v>#REF!</v>
      </c>
      <c r="M285" t="e">
        <f t="shared" ref="M285:M354" si="5">LOWER(MD5_string((L285)))</f>
        <v>#VALUE!</v>
      </c>
      <c r="N285" t="e">
        <f>LOOKUP(K285,tblStudents[StudID],tblStudents[PersonID])</f>
        <v>#REF!</v>
      </c>
      <c r="O285" t="e">
        <f>LOOKUP(N285,tblPersons[PersonID],tblPersons[LastName])</f>
        <v>#REF!</v>
      </c>
      <c r="P285" t="str">
        <f t="shared" si="4"/>
        <v>(NULL,"28","17"),</v>
      </c>
      <c r="Q285" t="str">
        <f>TextJoin(tblEnrolledSubjs[[#This Row],[CSubjID]:[EStudID]],"Value")</f>
        <v>"28","17"</v>
      </c>
      <c r="S285">
        <f>LOOKUP(LOOKUP(tblEnrolledSubjs[[#This Row],[CSubjID]], tblClassSubjs[CSubjID],tblClassSubjs[ClassID]),tblClasses[ClassID],tblClasses[STermID])</f>
        <v>1</v>
      </c>
      <c r="T285" t="str">
        <f>LOOKUP(S285,tblSchoolTerms[STermID],tblSchoolTerms[SemesterID]&amp;" Semester "&amp;tblSchoolTerms[SchoolYear])</f>
        <v>2 Semester S.Y. 2018-2019</v>
      </c>
      <c r="W2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5" t="e">
        <f t="array" ref="Y285">INDEX(tblEnrolledStuds[EStudID],MATCH(tblEnrolledSubjs[[#This Row],[EStudID]]&amp;S285,tblEnrolledStuds[AdmissionStatusID]&amp;tblEnrolledStuds[StudID],0))</f>
        <v>#N/A</v>
      </c>
    </row>
    <row r="286" spans="2:25" x14ac:dyDescent="0.25">
      <c r="B286">
        <v>284</v>
      </c>
      <c r="C286">
        <v>28</v>
      </c>
      <c r="D286">
        <v>52</v>
      </c>
      <c r="F286">
        <v>12</v>
      </c>
      <c r="G286" t="s">
        <v>61</v>
      </c>
      <c r="H286" t="s">
        <v>62</v>
      </c>
      <c r="K286" t="e">
        <f>LOOKUP(tblEnrolledSubjs[[#This Row],[EStudID]],#REF!,#REF!)</f>
        <v>#REF!</v>
      </c>
      <c r="L286" t="e">
        <f>LOOKUP(K286,tblStudents[StudID],tblStudents[SchoolIDNo])</f>
        <v>#REF!</v>
      </c>
      <c r="M286" t="e">
        <f t="shared" si="5"/>
        <v>#VALUE!</v>
      </c>
      <c r="N286" t="e">
        <f>LOOKUP(K286,tblStudents[StudID],tblStudents[PersonID])</f>
        <v>#REF!</v>
      </c>
      <c r="O286" t="e">
        <f>LOOKUP(N286,tblPersons[PersonID],tblPersons[LastName])</f>
        <v>#REF!</v>
      </c>
      <c r="P286" t="str">
        <f t="shared" si="4"/>
        <v>(NULL,"28","52"),</v>
      </c>
      <c r="Q286" t="str">
        <f>TextJoin(tblEnrolledSubjs[[#This Row],[CSubjID]:[EStudID]],"Value")</f>
        <v>"28","52"</v>
      </c>
      <c r="S286">
        <f>LOOKUP(LOOKUP(tblEnrolledSubjs[[#This Row],[CSubjID]], tblClassSubjs[CSubjID],tblClassSubjs[ClassID]),tblClasses[ClassID],tblClasses[STermID])</f>
        <v>1</v>
      </c>
      <c r="T286" t="str">
        <f>LOOKUP(S286,tblSchoolTerms[STermID],tblSchoolTerms[SemesterID]&amp;" Semester "&amp;tblSchoolTerms[SchoolYear])</f>
        <v>2 Semester S.Y. 2018-2019</v>
      </c>
      <c r="W2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6" t="e">
        <f t="array" ref="Y286">INDEX(tblEnrolledStuds[EStudID],MATCH(tblEnrolledSubjs[[#This Row],[EStudID]]&amp;S286,tblEnrolledStuds[AdmissionStatusID]&amp;tblEnrolledStuds[StudID],0))</f>
        <v>#N/A</v>
      </c>
    </row>
    <row r="287" spans="2:25" x14ac:dyDescent="0.25">
      <c r="B287">
        <v>285</v>
      </c>
      <c r="C287">
        <v>28</v>
      </c>
      <c r="D287">
        <v>53</v>
      </c>
      <c r="F287">
        <v>37</v>
      </c>
      <c r="G287" t="s">
        <v>121</v>
      </c>
      <c r="H287" t="s">
        <v>122</v>
      </c>
      <c r="K287" t="e">
        <f>LOOKUP(tblEnrolledSubjs[[#This Row],[EStudID]],#REF!,#REF!)</f>
        <v>#REF!</v>
      </c>
      <c r="L287" t="e">
        <f>LOOKUP(K287,tblStudents[StudID],tblStudents[SchoolIDNo])</f>
        <v>#REF!</v>
      </c>
      <c r="M287" t="e">
        <f t="shared" si="5"/>
        <v>#VALUE!</v>
      </c>
      <c r="N287" t="e">
        <f>LOOKUP(K287,tblStudents[StudID],tblStudents[PersonID])</f>
        <v>#REF!</v>
      </c>
      <c r="O287" t="e">
        <f>LOOKUP(N287,tblPersons[PersonID],tblPersons[LastName])</f>
        <v>#REF!</v>
      </c>
      <c r="P287" t="str">
        <f t="shared" si="4"/>
        <v>(NULL,"28","53"),</v>
      </c>
      <c r="Q287" t="str">
        <f>TextJoin(tblEnrolledSubjs[[#This Row],[CSubjID]:[EStudID]],"Value")</f>
        <v>"28","53"</v>
      </c>
      <c r="S287">
        <f>LOOKUP(LOOKUP(tblEnrolledSubjs[[#This Row],[CSubjID]], tblClassSubjs[CSubjID],tblClassSubjs[ClassID]),tblClasses[ClassID],tblClasses[STermID])</f>
        <v>1</v>
      </c>
      <c r="T287" t="str">
        <f>LOOKUP(S287,tblSchoolTerms[STermID],tblSchoolTerms[SemesterID]&amp;" Semester "&amp;tblSchoolTerms[SchoolYear])</f>
        <v>2 Semester S.Y. 2018-2019</v>
      </c>
      <c r="W2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7" t="e">
        <f t="array" ref="Y287">INDEX(tblEnrolledStuds[EStudID],MATCH(tblEnrolledSubjs[[#This Row],[EStudID]]&amp;S287,tblEnrolledStuds[AdmissionStatusID]&amp;tblEnrolledStuds[StudID],0))</f>
        <v>#N/A</v>
      </c>
    </row>
    <row r="288" spans="2:25" x14ac:dyDescent="0.25">
      <c r="B288">
        <v>286</v>
      </c>
      <c r="C288">
        <v>28</v>
      </c>
      <c r="D288">
        <v>58</v>
      </c>
      <c r="F288">
        <v>47</v>
      </c>
      <c r="G288" t="s">
        <v>143</v>
      </c>
      <c r="H288" t="s">
        <v>144</v>
      </c>
      <c r="K288" t="e">
        <f>LOOKUP(tblEnrolledSubjs[[#This Row],[EStudID]],#REF!,#REF!)</f>
        <v>#REF!</v>
      </c>
      <c r="L288" t="e">
        <f>LOOKUP(K288,tblStudents[StudID],tblStudents[SchoolIDNo])</f>
        <v>#REF!</v>
      </c>
      <c r="M288" t="e">
        <f t="shared" si="5"/>
        <v>#VALUE!</v>
      </c>
      <c r="N288" t="e">
        <f>LOOKUP(K288,tblStudents[StudID],tblStudents[PersonID])</f>
        <v>#REF!</v>
      </c>
      <c r="O288" t="e">
        <f>LOOKUP(N288,tblPersons[PersonID],tblPersons[LastName])</f>
        <v>#REF!</v>
      </c>
      <c r="P288" t="str">
        <f t="shared" si="4"/>
        <v>(NULL,"28","58"),</v>
      </c>
      <c r="Q288" t="str">
        <f>TextJoin(tblEnrolledSubjs[[#This Row],[CSubjID]:[EStudID]],"Value")</f>
        <v>"28","58"</v>
      </c>
      <c r="S288">
        <f>LOOKUP(LOOKUP(tblEnrolledSubjs[[#This Row],[CSubjID]], tblClassSubjs[CSubjID],tblClassSubjs[ClassID]),tblClasses[ClassID],tblClasses[STermID])</f>
        <v>1</v>
      </c>
      <c r="T288" t="str">
        <f>LOOKUP(S288,tblSchoolTerms[STermID],tblSchoolTerms[SemesterID]&amp;" Semester "&amp;tblSchoolTerms[SchoolYear])</f>
        <v>2 Semester S.Y. 2018-2019</v>
      </c>
      <c r="W2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8" t="e">
        <f t="array" ref="Y288">INDEX(tblEnrolledStuds[EStudID],MATCH(tblEnrolledSubjs[[#This Row],[EStudID]]&amp;S288,tblEnrolledStuds[AdmissionStatusID]&amp;tblEnrolledStuds[StudID],0))</f>
        <v>#N/A</v>
      </c>
    </row>
    <row r="289" spans="2:25" x14ac:dyDescent="0.25">
      <c r="B289">
        <v>287</v>
      </c>
      <c r="C289">
        <v>28</v>
      </c>
      <c r="D289">
        <v>66</v>
      </c>
      <c r="F289">
        <v>67</v>
      </c>
      <c r="G289" t="s">
        <v>183</v>
      </c>
      <c r="H289" t="s">
        <v>184</v>
      </c>
      <c r="K289" t="e">
        <f>LOOKUP(tblEnrolledSubjs[[#This Row],[EStudID]],#REF!,#REF!)</f>
        <v>#REF!</v>
      </c>
      <c r="L289" t="e">
        <f>LOOKUP(K289,tblStudents[StudID],tblStudents[SchoolIDNo])</f>
        <v>#REF!</v>
      </c>
      <c r="M289" t="e">
        <f t="shared" si="5"/>
        <v>#VALUE!</v>
      </c>
      <c r="N289" t="e">
        <f>LOOKUP(K289,tblStudents[StudID],tblStudents[PersonID])</f>
        <v>#REF!</v>
      </c>
      <c r="O289" t="e">
        <f>LOOKUP(N289,tblPersons[PersonID],tblPersons[LastName])</f>
        <v>#REF!</v>
      </c>
      <c r="P289" t="str">
        <f t="shared" si="4"/>
        <v>(NULL,"28","66"),</v>
      </c>
      <c r="Q289" t="str">
        <f>TextJoin(tblEnrolledSubjs[[#This Row],[CSubjID]:[EStudID]],"Value")</f>
        <v>"28","66"</v>
      </c>
      <c r="S289">
        <f>LOOKUP(LOOKUP(tblEnrolledSubjs[[#This Row],[CSubjID]], tblClassSubjs[CSubjID],tblClassSubjs[ClassID]),tblClasses[ClassID],tblClasses[STermID])</f>
        <v>1</v>
      </c>
      <c r="T289" t="str">
        <f>LOOKUP(S289,tblSchoolTerms[STermID],tblSchoolTerms[SemesterID]&amp;" Semester "&amp;tblSchoolTerms[SchoolYear])</f>
        <v>2 Semester S.Y. 2018-2019</v>
      </c>
      <c r="W2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89" t="e">
        <f t="array" ref="Y289">INDEX(tblEnrolledStuds[EStudID],MATCH(tblEnrolledSubjs[[#This Row],[EStudID]]&amp;S289,tblEnrolledStuds[AdmissionStatusID]&amp;tblEnrolledStuds[StudID],0))</f>
        <v>#N/A</v>
      </c>
    </row>
    <row r="290" spans="2:25" x14ac:dyDescent="0.25">
      <c r="B290">
        <v>288</v>
      </c>
      <c r="C290">
        <v>29</v>
      </c>
      <c r="D290">
        <v>17</v>
      </c>
      <c r="F290">
        <v>70</v>
      </c>
      <c r="G290" t="s">
        <v>189</v>
      </c>
      <c r="H290" t="s">
        <v>190</v>
      </c>
      <c r="K290" t="e">
        <f>LOOKUP(tblEnrolledSubjs[[#This Row],[EStudID]],#REF!,#REF!)</f>
        <v>#REF!</v>
      </c>
      <c r="L290" t="e">
        <f>LOOKUP(K290,tblStudents[StudID],tblStudents[SchoolIDNo])</f>
        <v>#REF!</v>
      </c>
      <c r="M290" t="e">
        <f t="shared" si="5"/>
        <v>#VALUE!</v>
      </c>
      <c r="N290" t="e">
        <f>LOOKUP(K290,tblStudents[StudID],tblStudents[PersonID])</f>
        <v>#REF!</v>
      </c>
      <c r="O290" t="e">
        <f>LOOKUP(N290,tblPersons[PersonID],tblPersons[LastName])</f>
        <v>#REF!</v>
      </c>
      <c r="P290" t="str">
        <f t="shared" si="4"/>
        <v>(NULL,"29","17"),</v>
      </c>
      <c r="Q290" t="str">
        <f>TextJoin(tblEnrolledSubjs[[#This Row],[CSubjID]:[EStudID]],"Value")</f>
        <v>"29","17"</v>
      </c>
      <c r="S290">
        <f>LOOKUP(LOOKUP(tblEnrolledSubjs[[#This Row],[CSubjID]], tblClassSubjs[CSubjID],tblClassSubjs[ClassID]),tblClasses[ClassID],tblClasses[STermID])</f>
        <v>1</v>
      </c>
      <c r="T290" t="str">
        <f>LOOKUP(S290,tblSchoolTerms[STermID],tblSchoolTerms[SemesterID]&amp;" Semester "&amp;tblSchoolTerms[SchoolYear])</f>
        <v>2 Semester S.Y. 2018-2019</v>
      </c>
      <c r="W2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0" t="e">
        <f t="array" ref="Y290">INDEX(tblEnrolledStuds[EStudID],MATCH(tblEnrolledSubjs[[#This Row],[EStudID]]&amp;S290,tblEnrolledStuds[AdmissionStatusID]&amp;tblEnrolledStuds[StudID],0))</f>
        <v>#N/A</v>
      </c>
    </row>
    <row r="291" spans="2:25" x14ac:dyDescent="0.25">
      <c r="B291">
        <v>289</v>
      </c>
      <c r="C291">
        <v>29</v>
      </c>
      <c r="D291">
        <v>52</v>
      </c>
      <c r="F291">
        <v>71</v>
      </c>
      <c r="G291" t="s">
        <v>191</v>
      </c>
      <c r="H291" t="s">
        <v>192</v>
      </c>
      <c r="K291" t="e">
        <f>LOOKUP(tblEnrolledSubjs[[#This Row],[EStudID]],#REF!,#REF!)</f>
        <v>#REF!</v>
      </c>
      <c r="L291" t="e">
        <f>LOOKUP(K291,tblStudents[StudID],tblStudents[SchoolIDNo])</f>
        <v>#REF!</v>
      </c>
      <c r="M291" t="e">
        <f t="shared" si="5"/>
        <v>#VALUE!</v>
      </c>
      <c r="N291" t="e">
        <f>LOOKUP(K291,tblStudents[StudID],tblStudents[PersonID])</f>
        <v>#REF!</v>
      </c>
      <c r="O291" t="e">
        <f>LOOKUP(N291,tblPersons[PersonID],tblPersons[LastName])</f>
        <v>#REF!</v>
      </c>
      <c r="P291" t="str">
        <f t="shared" si="4"/>
        <v>(NULL,"29","52"),</v>
      </c>
      <c r="Q291" t="str">
        <f>TextJoin(tblEnrolledSubjs[[#This Row],[CSubjID]:[EStudID]],"Value")</f>
        <v>"29","52"</v>
      </c>
      <c r="S291">
        <f>LOOKUP(LOOKUP(tblEnrolledSubjs[[#This Row],[CSubjID]], tblClassSubjs[CSubjID],tblClassSubjs[ClassID]),tblClasses[ClassID],tblClasses[STermID])</f>
        <v>1</v>
      </c>
      <c r="T291" t="str">
        <f>LOOKUP(S291,tblSchoolTerms[STermID],tblSchoolTerms[SemesterID]&amp;" Semester "&amp;tblSchoolTerms[SchoolYear])</f>
        <v>2 Semester S.Y. 2018-2019</v>
      </c>
      <c r="W2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1" t="e">
        <f t="array" ref="Y291">INDEX(tblEnrolledStuds[EStudID],MATCH(tblEnrolledSubjs[[#This Row],[EStudID]]&amp;S291,tblEnrolledStuds[AdmissionStatusID]&amp;tblEnrolledStuds[StudID],0))</f>
        <v>#N/A</v>
      </c>
    </row>
    <row r="292" spans="2:25" x14ac:dyDescent="0.25">
      <c r="B292">
        <v>290</v>
      </c>
      <c r="C292">
        <v>29</v>
      </c>
      <c r="D292">
        <v>53</v>
      </c>
      <c r="F292">
        <v>1</v>
      </c>
      <c r="G292" t="s">
        <v>36</v>
      </c>
      <c r="H292" t="s">
        <v>37</v>
      </c>
      <c r="K292" t="e">
        <f>LOOKUP(tblEnrolledSubjs[[#This Row],[EStudID]],#REF!,#REF!)</f>
        <v>#REF!</v>
      </c>
      <c r="L292" t="e">
        <f>LOOKUP(K292,tblStudents[StudID],tblStudents[SchoolIDNo])</f>
        <v>#REF!</v>
      </c>
      <c r="M292" t="e">
        <f t="shared" si="5"/>
        <v>#VALUE!</v>
      </c>
      <c r="N292" t="e">
        <f>LOOKUP(K292,tblStudents[StudID],tblStudents[PersonID])</f>
        <v>#REF!</v>
      </c>
      <c r="O292" t="e">
        <f>LOOKUP(N292,tblPersons[PersonID],tblPersons[LastName])</f>
        <v>#REF!</v>
      </c>
      <c r="P292" t="str">
        <f t="shared" si="4"/>
        <v>(NULL,"29","53"),</v>
      </c>
      <c r="Q292" t="str">
        <f>TextJoin(tblEnrolledSubjs[[#This Row],[CSubjID]:[EStudID]],"Value")</f>
        <v>"29","53"</v>
      </c>
      <c r="S292">
        <f>LOOKUP(LOOKUP(tblEnrolledSubjs[[#This Row],[CSubjID]], tblClassSubjs[CSubjID],tblClassSubjs[ClassID]),tblClasses[ClassID],tblClasses[STermID])</f>
        <v>1</v>
      </c>
      <c r="T292" t="str">
        <f>LOOKUP(S292,tblSchoolTerms[STermID],tblSchoolTerms[SemesterID]&amp;" Semester "&amp;tblSchoolTerms[SchoolYear])</f>
        <v>2 Semester S.Y. 2018-2019</v>
      </c>
      <c r="W2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2" t="e">
        <f t="array" ref="Y292">INDEX(tblEnrolledStuds[EStudID],MATCH(tblEnrolledSubjs[[#This Row],[EStudID]]&amp;S292,tblEnrolledStuds[AdmissionStatusID]&amp;tblEnrolledStuds[StudID],0))</f>
        <v>#N/A</v>
      </c>
    </row>
    <row r="293" spans="2:25" x14ac:dyDescent="0.25">
      <c r="B293">
        <v>291</v>
      </c>
      <c r="C293">
        <v>29</v>
      </c>
      <c r="D293">
        <v>58</v>
      </c>
      <c r="F293">
        <v>3</v>
      </c>
      <c r="G293" t="s">
        <v>41</v>
      </c>
      <c r="H293" t="s">
        <v>42</v>
      </c>
      <c r="K293" t="e">
        <f>LOOKUP(tblEnrolledSubjs[[#This Row],[EStudID]],#REF!,#REF!)</f>
        <v>#REF!</v>
      </c>
      <c r="L293" t="e">
        <f>LOOKUP(K293,tblStudents[StudID],tblStudents[SchoolIDNo])</f>
        <v>#REF!</v>
      </c>
      <c r="M293" t="e">
        <f t="shared" si="5"/>
        <v>#VALUE!</v>
      </c>
      <c r="N293" t="e">
        <f>LOOKUP(K293,tblStudents[StudID],tblStudents[PersonID])</f>
        <v>#REF!</v>
      </c>
      <c r="O293" t="e">
        <f>LOOKUP(N293,tblPersons[PersonID],tblPersons[LastName])</f>
        <v>#REF!</v>
      </c>
      <c r="P293" t="str">
        <f t="shared" si="4"/>
        <v>(NULL,"29","58"),</v>
      </c>
      <c r="Q293" t="str">
        <f>TextJoin(tblEnrolledSubjs[[#This Row],[CSubjID]:[EStudID]],"Value")</f>
        <v>"29","58"</v>
      </c>
      <c r="S293">
        <f>LOOKUP(LOOKUP(tblEnrolledSubjs[[#This Row],[CSubjID]], tblClassSubjs[CSubjID],tblClassSubjs[ClassID]),tblClasses[ClassID],tblClasses[STermID])</f>
        <v>1</v>
      </c>
      <c r="T293" t="str">
        <f>LOOKUP(S293,tblSchoolTerms[STermID],tblSchoolTerms[SemesterID]&amp;" Semester "&amp;tblSchoolTerms[SchoolYear])</f>
        <v>2 Semester S.Y. 2018-2019</v>
      </c>
      <c r="W2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3" t="e">
        <f t="array" ref="Y293">INDEX(tblEnrolledStuds[EStudID],MATCH(tblEnrolledSubjs[[#This Row],[EStudID]]&amp;S293,tblEnrolledStuds[AdmissionStatusID]&amp;tblEnrolledStuds[StudID],0))</f>
        <v>#N/A</v>
      </c>
    </row>
    <row r="294" spans="2:25" x14ac:dyDescent="0.25">
      <c r="B294">
        <v>292</v>
      </c>
      <c r="C294">
        <v>29</v>
      </c>
      <c r="D294">
        <v>66</v>
      </c>
      <c r="F294">
        <v>7</v>
      </c>
      <c r="G294" t="s">
        <v>50</v>
      </c>
      <c r="H294" t="s">
        <v>51</v>
      </c>
      <c r="K294" t="e">
        <f>LOOKUP(tblEnrolledSubjs[[#This Row],[EStudID]],#REF!,#REF!)</f>
        <v>#REF!</v>
      </c>
      <c r="L294" t="e">
        <f>LOOKUP(K294,tblStudents[StudID],tblStudents[SchoolIDNo])</f>
        <v>#REF!</v>
      </c>
      <c r="M294" t="e">
        <f t="shared" si="5"/>
        <v>#VALUE!</v>
      </c>
      <c r="N294" t="e">
        <f>LOOKUP(K294,tblStudents[StudID],tblStudents[PersonID])</f>
        <v>#REF!</v>
      </c>
      <c r="O294" t="e">
        <f>LOOKUP(N294,tblPersons[PersonID],tblPersons[LastName])</f>
        <v>#REF!</v>
      </c>
      <c r="P294" t="str">
        <f t="shared" si="4"/>
        <v>(NULL,"29","66"),</v>
      </c>
      <c r="Q294" t="str">
        <f>TextJoin(tblEnrolledSubjs[[#This Row],[CSubjID]:[EStudID]],"Value")</f>
        <v>"29","66"</v>
      </c>
      <c r="S294">
        <f>LOOKUP(LOOKUP(tblEnrolledSubjs[[#This Row],[CSubjID]], tblClassSubjs[CSubjID],tblClassSubjs[ClassID]),tblClasses[ClassID],tblClasses[STermID])</f>
        <v>1</v>
      </c>
      <c r="T294" t="str">
        <f>LOOKUP(S294,tblSchoolTerms[STermID],tblSchoolTerms[SemesterID]&amp;" Semester "&amp;tblSchoolTerms[SchoolYear])</f>
        <v>2 Semester S.Y. 2018-2019</v>
      </c>
      <c r="W2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4" t="e">
        <f t="array" ref="Y294">INDEX(tblEnrolledStuds[EStudID],MATCH(tblEnrolledSubjs[[#This Row],[EStudID]]&amp;S294,tblEnrolledStuds[AdmissionStatusID]&amp;tblEnrolledStuds[StudID],0))</f>
        <v>#N/A</v>
      </c>
    </row>
    <row r="295" spans="2:25" x14ac:dyDescent="0.25">
      <c r="B295">
        <v>293</v>
      </c>
      <c r="C295">
        <v>30</v>
      </c>
      <c r="D295">
        <v>12</v>
      </c>
      <c r="F295">
        <v>16</v>
      </c>
      <c r="G295" t="s">
        <v>73</v>
      </c>
      <c r="H295" t="s">
        <v>74</v>
      </c>
      <c r="P295" t="str">
        <f t="shared" si="4"/>
        <v>(NULL,"30","12"),</v>
      </c>
      <c r="Q295" t="str">
        <f>TextJoin(tblEnrolledSubjs[[#This Row],[CSubjID]:[EStudID]],"Value")</f>
        <v>"30","12"</v>
      </c>
      <c r="S295">
        <f>LOOKUP(LOOKUP(tblEnrolledSubjs[[#This Row],[CSubjID]], tblClassSubjs[CSubjID],tblClassSubjs[ClassID]),tblClasses[ClassID],tblClasses[STermID])</f>
        <v>1</v>
      </c>
      <c r="T295" t="str">
        <f>LOOKUP(S295,tblSchoolTerms[STermID],tblSchoolTerms[SemesterID]&amp;" Semester "&amp;tblSchoolTerms[SchoolYear])</f>
        <v>2 Semester S.Y. 2018-2019</v>
      </c>
      <c r="W2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5" t="e">
        <f t="array" ref="Y295">INDEX(tblEnrolledStuds[EStudID],MATCH(tblEnrolledSubjs[[#This Row],[EStudID]]&amp;S295,tblEnrolledStuds[AdmissionStatusID]&amp;tblEnrolledStuds[StudID],0))</f>
        <v>#N/A</v>
      </c>
    </row>
    <row r="296" spans="2:25" x14ac:dyDescent="0.25">
      <c r="B296">
        <v>294</v>
      </c>
      <c r="C296">
        <v>30</v>
      </c>
      <c r="D296">
        <v>37</v>
      </c>
      <c r="F296">
        <v>19</v>
      </c>
      <c r="G296" t="s">
        <v>82</v>
      </c>
      <c r="H296" t="s">
        <v>83</v>
      </c>
      <c r="K296" t="e">
        <f>LOOKUP(tblEnrolledSubjs[[#This Row],[EStudID]],#REF!,#REF!)</f>
        <v>#REF!</v>
      </c>
      <c r="L296" t="e">
        <f>LOOKUP(K296,tblStudents[StudID],tblStudents[SchoolIDNo])</f>
        <v>#REF!</v>
      </c>
      <c r="M296" t="e">
        <f t="shared" si="5"/>
        <v>#VALUE!</v>
      </c>
      <c r="N296" t="e">
        <f>LOOKUP(K296,tblStudents[StudID],tblStudents[PersonID])</f>
        <v>#REF!</v>
      </c>
      <c r="O296" t="e">
        <f>LOOKUP(N296,tblPersons[PersonID],tblPersons[LastName])</f>
        <v>#REF!</v>
      </c>
      <c r="P296" t="str">
        <f t="shared" si="4"/>
        <v>(NULL,"30","37"),</v>
      </c>
      <c r="Q296" t="str">
        <f>TextJoin(tblEnrolledSubjs[[#This Row],[CSubjID]:[EStudID]],"Value")</f>
        <v>"30","37"</v>
      </c>
      <c r="S296">
        <f>LOOKUP(LOOKUP(tblEnrolledSubjs[[#This Row],[CSubjID]], tblClassSubjs[CSubjID],tblClassSubjs[ClassID]),tblClasses[ClassID],tblClasses[STermID])</f>
        <v>1</v>
      </c>
      <c r="T296" t="str">
        <f>LOOKUP(S296,tblSchoolTerms[STermID],tblSchoolTerms[SemesterID]&amp;" Semester "&amp;tblSchoolTerms[SchoolYear])</f>
        <v>2 Semester S.Y. 2018-2019</v>
      </c>
      <c r="W2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6">
        <f t="array" ref="Y296">INDEX(tblEnrolledStuds[EStudID],MATCH(tblEnrolledSubjs[[#This Row],[EStudID]]&amp;S296,tblEnrolledStuds[AdmissionStatusID]&amp;tblEnrolledStuds[StudID],0))</f>
        <v>71</v>
      </c>
    </row>
    <row r="297" spans="2:25" x14ac:dyDescent="0.25">
      <c r="B297">
        <v>295</v>
      </c>
      <c r="C297">
        <v>30</v>
      </c>
      <c r="D297">
        <v>47</v>
      </c>
      <c r="F297">
        <v>32</v>
      </c>
      <c r="G297" t="s">
        <v>110</v>
      </c>
      <c r="H297" t="s">
        <v>111</v>
      </c>
      <c r="K297" t="e">
        <f>LOOKUP(tblEnrolledSubjs[[#This Row],[EStudID]],#REF!,#REF!)</f>
        <v>#REF!</v>
      </c>
      <c r="L297" t="e">
        <f>LOOKUP(K297,tblStudents[StudID],tblStudents[SchoolIDNo])</f>
        <v>#REF!</v>
      </c>
      <c r="M297" t="e">
        <f t="shared" si="5"/>
        <v>#VALUE!</v>
      </c>
      <c r="N297" t="e">
        <f>LOOKUP(K297,tblStudents[StudID],tblStudents[PersonID])</f>
        <v>#REF!</v>
      </c>
      <c r="O297" t="e">
        <f>LOOKUP(N297,tblPersons[PersonID],tblPersons[LastName])</f>
        <v>#REF!</v>
      </c>
      <c r="P297" t="str">
        <f t="shared" si="4"/>
        <v>(NULL,"30","47"),</v>
      </c>
      <c r="Q297" t="str">
        <f>TextJoin(tblEnrolledSubjs[[#This Row],[CSubjID]:[EStudID]],"Value")</f>
        <v>"30","47"</v>
      </c>
      <c r="S297">
        <f>LOOKUP(LOOKUP(tblEnrolledSubjs[[#This Row],[CSubjID]], tblClassSubjs[CSubjID],tblClassSubjs[ClassID]),tblClasses[ClassID],tblClasses[STermID])</f>
        <v>1</v>
      </c>
      <c r="T297" t="str">
        <f>LOOKUP(S297,tblSchoolTerms[STermID],tblSchoolTerms[SemesterID]&amp;" Semester "&amp;tblSchoolTerms[SchoolYear])</f>
        <v>2 Semester S.Y. 2018-2019</v>
      </c>
      <c r="W2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7" t="e">
        <f t="array" ref="Y297">INDEX(tblEnrolledStuds[EStudID],MATCH(tblEnrolledSubjs[[#This Row],[EStudID]]&amp;S297,tblEnrolledStuds[AdmissionStatusID]&amp;tblEnrolledStuds[StudID],0))</f>
        <v>#N/A</v>
      </c>
    </row>
    <row r="298" spans="2:25" x14ac:dyDescent="0.25">
      <c r="B298">
        <v>296</v>
      </c>
      <c r="C298">
        <v>30</v>
      </c>
      <c r="D298">
        <v>67</v>
      </c>
      <c r="F298">
        <v>35</v>
      </c>
      <c r="G298" t="s">
        <v>117</v>
      </c>
      <c r="H298" t="s">
        <v>118</v>
      </c>
      <c r="K298" t="e">
        <f>LOOKUP(tblEnrolledSubjs[[#This Row],[EStudID]],#REF!,#REF!)</f>
        <v>#REF!</v>
      </c>
      <c r="L298" t="e">
        <f>LOOKUP(K298,tblStudents[StudID],tblStudents[SchoolIDNo])</f>
        <v>#REF!</v>
      </c>
      <c r="M298" t="e">
        <f t="shared" si="5"/>
        <v>#VALUE!</v>
      </c>
      <c r="N298" t="e">
        <f>LOOKUP(K298,tblStudents[StudID],tblStudents[PersonID])</f>
        <v>#REF!</v>
      </c>
      <c r="O298" t="e">
        <f>LOOKUP(N298,tblPersons[PersonID],tblPersons[LastName])</f>
        <v>#REF!</v>
      </c>
      <c r="P298" t="str">
        <f t="shared" si="4"/>
        <v>(NULL,"30","67"),</v>
      </c>
      <c r="Q298" t="str">
        <f>TextJoin(tblEnrolledSubjs[[#This Row],[CSubjID]:[EStudID]],"Value")</f>
        <v>"30","67"</v>
      </c>
      <c r="S298">
        <f>LOOKUP(LOOKUP(tblEnrolledSubjs[[#This Row],[CSubjID]], tblClassSubjs[CSubjID],tblClassSubjs[ClassID]),tblClasses[ClassID],tblClasses[STermID])</f>
        <v>1</v>
      </c>
      <c r="T298" t="str">
        <f>LOOKUP(S298,tblSchoolTerms[STermID],tblSchoolTerms[SemesterID]&amp;" Semester "&amp;tblSchoolTerms[SchoolYear])</f>
        <v>2 Semester S.Y. 2018-2019</v>
      </c>
      <c r="W2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8" t="e">
        <f t="array" ref="Y298">INDEX(tblEnrolledStuds[EStudID],MATCH(tblEnrolledSubjs[[#This Row],[EStudID]]&amp;S298,tblEnrolledStuds[AdmissionStatusID]&amp;tblEnrolledStuds[StudID],0))</f>
        <v>#N/A</v>
      </c>
    </row>
    <row r="299" spans="2:25" x14ac:dyDescent="0.25">
      <c r="B299">
        <v>297</v>
      </c>
      <c r="C299">
        <v>30</v>
      </c>
      <c r="D299">
        <v>70</v>
      </c>
      <c r="F299">
        <v>40</v>
      </c>
      <c r="G299" t="s">
        <v>128</v>
      </c>
      <c r="H299" t="s">
        <v>129</v>
      </c>
      <c r="K299" t="e">
        <f>LOOKUP(tblEnrolledSubjs[[#This Row],[EStudID]],#REF!,#REF!)</f>
        <v>#REF!</v>
      </c>
      <c r="L299" t="e">
        <f>LOOKUP(K299,tblStudents[StudID],tblStudents[SchoolIDNo])</f>
        <v>#REF!</v>
      </c>
      <c r="M299" t="e">
        <f t="shared" si="5"/>
        <v>#VALUE!</v>
      </c>
      <c r="N299" t="e">
        <f>LOOKUP(K299,tblStudents[StudID],tblStudents[PersonID])</f>
        <v>#REF!</v>
      </c>
      <c r="O299" t="e">
        <f>LOOKUP(N299,tblPersons[PersonID],tblPersons[LastName])</f>
        <v>#REF!</v>
      </c>
      <c r="P299" t="str">
        <f t="shared" si="4"/>
        <v>(NULL,"30","70"),</v>
      </c>
      <c r="Q299" t="str">
        <f>TextJoin(tblEnrolledSubjs[[#This Row],[CSubjID]:[EStudID]],"Value")</f>
        <v>"30","70"</v>
      </c>
      <c r="S299">
        <f>LOOKUP(LOOKUP(tblEnrolledSubjs[[#This Row],[CSubjID]], tblClassSubjs[CSubjID],tblClassSubjs[ClassID]),tblClasses[ClassID],tblClasses[STermID])</f>
        <v>1</v>
      </c>
      <c r="T299" t="str">
        <f>LOOKUP(S299,tblSchoolTerms[STermID],tblSchoolTerms[SemesterID]&amp;" Semester "&amp;tblSchoolTerms[SchoolYear])</f>
        <v>2 Semester S.Y. 2018-2019</v>
      </c>
      <c r="W2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299" t="e">
        <f t="array" ref="Y299">INDEX(tblEnrolledStuds[EStudID],MATCH(tblEnrolledSubjs[[#This Row],[EStudID]]&amp;S299,tblEnrolledStuds[AdmissionStatusID]&amp;tblEnrolledStuds[StudID],0))</f>
        <v>#N/A</v>
      </c>
    </row>
    <row r="300" spans="2:25" x14ac:dyDescent="0.25">
      <c r="B300">
        <v>298</v>
      </c>
      <c r="C300">
        <v>30</v>
      </c>
      <c r="D300">
        <v>71</v>
      </c>
      <c r="F300">
        <v>51</v>
      </c>
      <c r="G300" t="s">
        <v>151</v>
      </c>
      <c r="H300" t="s">
        <v>152</v>
      </c>
      <c r="K300" t="e">
        <f>LOOKUP(tblEnrolledSubjs[[#This Row],[EStudID]],#REF!,#REF!)</f>
        <v>#REF!</v>
      </c>
      <c r="L300" t="e">
        <f>LOOKUP(K300,tblStudents[StudID],tblStudents[SchoolIDNo])</f>
        <v>#REF!</v>
      </c>
      <c r="M300" t="e">
        <f t="shared" si="5"/>
        <v>#VALUE!</v>
      </c>
      <c r="N300" t="e">
        <f>LOOKUP(K300,tblStudents[StudID],tblStudents[PersonID])</f>
        <v>#REF!</v>
      </c>
      <c r="O300" t="e">
        <f>LOOKUP(N300,tblPersons[PersonID],tblPersons[LastName])</f>
        <v>#REF!</v>
      </c>
      <c r="P300" t="str">
        <f t="shared" si="4"/>
        <v>(NULL,"30","71"),</v>
      </c>
      <c r="Q300" t="str">
        <f>TextJoin(tblEnrolledSubjs[[#This Row],[CSubjID]:[EStudID]],"Value")</f>
        <v>"30","71"</v>
      </c>
      <c r="S300">
        <f>LOOKUP(LOOKUP(tblEnrolledSubjs[[#This Row],[CSubjID]], tblClassSubjs[CSubjID],tblClassSubjs[ClassID]),tblClasses[ClassID],tblClasses[STermID])</f>
        <v>1</v>
      </c>
      <c r="T300" t="str">
        <f>LOOKUP(S300,tblSchoolTerms[STermID],tblSchoolTerms[SemesterID]&amp;" Semester "&amp;tblSchoolTerms[SchoolYear])</f>
        <v>2 Semester S.Y. 2018-2019</v>
      </c>
      <c r="W3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0" t="e">
        <f t="array" ref="Y300">INDEX(tblEnrolledStuds[EStudID],MATCH(tblEnrolledSubjs[[#This Row],[EStudID]]&amp;S300,tblEnrolledStuds[AdmissionStatusID]&amp;tblEnrolledStuds[StudID],0))</f>
        <v>#N/A</v>
      </c>
    </row>
    <row r="301" spans="2:25" x14ac:dyDescent="0.25">
      <c r="B301">
        <v>299</v>
      </c>
      <c r="C301">
        <v>31</v>
      </c>
      <c r="D301">
        <v>1</v>
      </c>
      <c r="F301">
        <v>54</v>
      </c>
      <c r="G301" t="s">
        <v>157</v>
      </c>
      <c r="H301" t="s">
        <v>158</v>
      </c>
      <c r="K301" t="e">
        <f>LOOKUP(tblEnrolledSubjs[[#This Row],[EStudID]],#REF!,#REF!)</f>
        <v>#REF!</v>
      </c>
      <c r="L301" t="e">
        <f>LOOKUP(K301,tblStudents[StudID],tblStudents[SchoolIDNo])</f>
        <v>#REF!</v>
      </c>
      <c r="M301" t="e">
        <f t="shared" si="5"/>
        <v>#VALUE!</v>
      </c>
      <c r="P301" t="str">
        <f t="shared" si="4"/>
        <v>(NULL,"31","1"),</v>
      </c>
      <c r="Q301" t="str">
        <f>TextJoin(tblEnrolledSubjs[[#This Row],[CSubjID]:[EStudID]],"Value")</f>
        <v>"31","1"</v>
      </c>
      <c r="S301">
        <f>LOOKUP(LOOKUP(tblEnrolledSubjs[[#This Row],[CSubjID]], tblClassSubjs[CSubjID],tblClassSubjs[ClassID]),tblClasses[ClassID],tblClasses[STermID])</f>
        <v>1</v>
      </c>
      <c r="T301" t="str">
        <f>LOOKUP(S301,tblSchoolTerms[STermID],tblSchoolTerms[SemesterID]&amp;" Semester "&amp;tblSchoolTerms[SchoolYear])</f>
        <v>2 Semester S.Y. 2018-2019</v>
      </c>
      <c r="W3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1" t="e">
        <f t="array" ref="Y301">INDEX(tblEnrolledStuds[EStudID],MATCH(tblEnrolledSubjs[[#This Row],[EStudID]]&amp;S301,tblEnrolledStuds[AdmissionStatusID]&amp;tblEnrolledStuds[StudID],0))</f>
        <v>#N/A</v>
      </c>
    </row>
    <row r="302" spans="2:25" x14ac:dyDescent="0.25">
      <c r="B302">
        <v>300</v>
      </c>
      <c r="C302">
        <v>31</v>
      </c>
      <c r="D302">
        <v>3</v>
      </c>
      <c r="F302">
        <v>20</v>
      </c>
      <c r="G302" t="s">
        <v>85</v>
      </c>
      <c r="H302" t="s">
        <v>86</v>
      </c>
      <c r="K302" t="e">
        <f>LOOKUP(tblEnrolledSubjs[[#This Row],[EStudID]],#REF!,#REF!)</f>
        <v>#REF!</v>
      </c>
      <c r="L302" t="e">
        <f>LOOKUP(K302,tblStudents[StudID],tblStudents[SchoolIDNo])</f>
        <v>#REF!</v>
      </c>
      <c r="M302" t="e">
        <f t="shared" si="5"/>
        <v>#VALUE!</v>
      </c>
      <c r="P302" t="str">
        <f t="shared" si="4"/>
        <v>(NULL,"31","3"),</v>
      </c>
      <c r="Q302" t="str">
        <f>TextJoin(tblEnrolledSubjs[[#This Row],[CSubjID]:[EStudID]],"Value")</f>
        <v>"31","3"</v>
      </c>
      <c r="S302">
        <f>LOOKUP(LOOKUP(tblEnrolledSubjs[[#This Row],[CSubjID]], tblClassSubjs[CSubjID],tblClassSubjs[ClassID]),tblClasses[ClassID],tblClasses[STermID])</f>
        <v>1</v>
      </c>
      <c r="T302" t="str">
        <f>LOOKUP(S302,tblSchoolTerms[STermID],tblSchoolTerms[SemesterID]&amp;" Semester "&amp;tblSchoolTerms[SchoolYear])</f>
        <v>2 Semester S.Y. 2018-2019</v>
      </c>
      <c r="W3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2">
        <f t="array" ref="Y302">INDEX(tblEnrolledStuds[EStudID],MATCH(tblEnrolledSubjs[[#This Row],[EStudID]]&amp;S302,tblEnrolledStuds[AdmissionStatusID]&amp;tblEnrolledStuds[StudID],0))</f>
        <v>1</v>
      </c>
    </row>
    <row r="303" spans="2:25" x14ac:dyDescent="0.25">
      <c r="B303">
        <v>301</v>
      </c>
      <c r="C303">
        <v>31</v>
      </c>
      <c r="D303">
        <v>7</v>
      </c>
      <c r="K303" t="e">
        <f>LOOKUP(tblEnrolledSubjs[[#This Row],[EStudID]],#REF!,#REF!)</f>
        <v>#REF!</v>
      </c>
      <c r="L303" t="e">
        <f>LOOKUP(K303,tblStudents[StudID],tblStudents[SchoolIDNo])</f>
        <v>#REF!</v>
      </c>
      <c r="M303" t="e">
        <f t="shared" si="5"/>
        <v>#VALUE!</v>
      </c>
      <c r="P303" t="str">
        <f t="shared" si="4"/>
        <v>(NULL,"31","7"),</v>
      </c>
      <c r="Q303" t="str">
        <f>TextJoin(tblEnrolledSubjs[[#This Row],[CSubjID]:[EStudID]],"Value")</f>
        <v>"31","7"</v>
      </c>
      <c r="S303">
        <f>LOOKUP(LOOKUP(tblEnrolledSubjs[[#This Row],[CSubjID]], tblClassSubjs[CSubjID],tblClassSubjs[ClassID]),tblClasses[ClassID],tblClasses[STermID])</f>
        <v>1</v>
      </c>
      <c r="T303" t="str">
        <f>LOOKUP(S303,tblSchoolTerms[STermID],tblSchoolTerms[SemesterID]&amp;" Semester "&amp;tblSchoolTerms[SchoolYear])</f>
        <v>2 Semester S.Y. 2018-2019</v>
      </c>
      <c r="W3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3" t="e">
        <f t="array" ref="Y303">INDEX(tblEnrolledStuds[EStudID],MATCH(tblEnrolledSubjs[[#This Row],[EStudID]]&amp;S303,tblEnrolledStuds[AdmissionStatusID]&amp;tblEnrolledStuds[StudID],0))</f>
        <v>#N/A</v>
      </c>
    </row>
    <row r="304" spans="2:25" x14ac:dyDescent="0.25">
      <c r="B304">
        <v>302</v>
      </c>
      <c r="C304">
        <v>31</v>
      </c>
      <c r="D304">
        <v>16</v>
      </c>
      <c r="K304" t="e">
        <f>LOOKUP(tblEnrolledSubjs[[#This Row],[EStudID]],#REF!,#REF!)</f>
        <v>#REF!</v>
      </c>
      <c r="L304" t="e">
        <f>LOOKUP(K304,tblStudents[StudID],tblStudents[SchoolIDNo])</f>
        <v>#REF!</v>
      </c>
      <c r="M304" t="e">
        <f t="shared" si="5"/>
        <v>#VALUE!</v>
      </c>
      <c r="P304" t="str">
        <f t="shared" si="4"/>
        <v>(NULL,"31","16"),</v>
      </c>
      <c r="Q304" t="str">
        <f>TextJoin(tblEnrolledSubjs[[#This Row],[CSubjID]:[EStudID]],"Value")</f>
        <v>"31","16"</v>
      </c>
      <c r="S304">
        <f>LOOKUP(LOOKUP(tblEnrolledSubjs[[#This Row],[CSubjID]], tblClassSubjs[CSubjID],tblClassSubjs[ClassID]),tblClasses[ClassID],tblClasses[STermID])</f>
        <v>1</v>
      </c>
      <c r="T304" t="str">
        <f>LOOKUP(S304,tblSchoolTerms[STermID],tblSchoolTerms[SemesterID]&amp;" Semester "&amp;tblSchoolTerms[SchoolYear])</f>
        <v>2 Semester S.Y. 2018-2019</v>
      </c>
      <c r="W3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4" t="e">
        <f t="array" ref="Y304">INDEX(tblEnrolledStuds[EStudID],MATCH(tblEnrolledSubjs[[#This Row],[EStudID]]&amp;S304,tblEnrolledStuds[AdmissionStatusID]&amp;tblEnrolledStuds[StudID],0))</f>
        <v>#N/A</v>
      </c>
    </row>
    <row r="305" spans="2:25" x14ac:dyDescent="0.25">
      <c r="B305">
        <v>303</v>
      </c>
      <c r="C305">
        <v>31</v>
      </c>
      <c r="D305">
        <v>19</v>
      </c>
      <c r="K305" t="e">
        <f>LOOKUP(tblEnrolledSubjs[[#This Row],[EStudID]],#REF!,#REF!)</f>
        <v>#REF!</v>
      </c>
      <c r="L305" t="e">
        <f>LOOKUP(K305,tblStudents[StudID],tblStudents[SchoolIDNo])</f>
        <v>#REF!</v>
      </c>
      <c r="M305" t="e">
        <f t="shared" si="5"/>
        <v>#VALUE!</v>
      </c>
      <c r="P305" t="str">
        <f t="shared" si="4"/>
        <v>(NULL,"31","19"),</v>
      </c>
      <c r="Q305" t="str">
        <f>TextJoin(tblEnrolledSubjs[[#This Row],[CSubjID]:[EStudID]],"Value")</f>
        <v>"31","19"</v>
      </c>
      <c r="S305">
        <f>LOOKUP(LOOKUP(tblEnrolledSubjs[[#This Row],[CSubjID]], tblClassSubjs[CSubjID],tblClassSubjs[ClassID]),tblClasses[ClassID],tblClasses[STermID])</f>
        <v>1</v>
      </c>
      <c r="T305" t="str">
        <f>LOOKUP(S305,tblSchoolTerms[STermID],tblSchoolTerms[SemesterID]&amp;" Semester "&amp;tblSchoolTerms[SchoolYear])</f>
        <v>2 Semester S.Y. 2018-2019</v>
      </c>
      <c r="W3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5" t="e">
        <f t="array" ref="Y305">INDEX(tblEnrolledStuds[EStudID],MATCH(tblEnrolledSubjs[[#This Row],[EStudID]]&amp;S305,tblEnrolledStuds[AdmissionStatusID]&amp;tblEnrolledStuds[StudID],0))</f>
        <v>#N/A</v>
      </c>
    </row>
    <row r="306" spans="2:25" x14ac:dyDescent="0.25">
      <c r="B306">
        <v>304</v>
      </c>
      <c r="C306">
        <v>31</v>
      </c>
      <c r="D306">
        <v>32</v>
      </c>
      <c r="P306" t="str">
        <f t="shared" si="4"/>
        <v>(NULL,"31","32"),</v>
      </c>
      <c r="Q306" t="str">
        <f>TextJoin(tblEnrolledSubjs[[#This Row],[CSubjID]:[EStudID]],"Value")</f>
        <v>"31","32"</v>
      </c>
      <c r="S306">
        <f>LOOKUP(LOOKUP(tblEnrolledSubjs[[#This Row],[CSubjID]], tblClassSubjs[CSubjID],tblClassSubjs[ClassID]),tblClasses[ClassID],tblClasses[STermID])</f>
        <v>1</v>
      </c>
      <c r="T306" t="str">
        <f>LOOKUP(S306,tblSchoolTerms[STermID],tblSchoolTerms[SemesterID]&amp;" Semester "&amp;tblSchoolTerms[SchoolYear])</f>
        <v>2 Semester S.Y. 2018-2019</v>
      </c>
      <c r="W3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6">
        <f t="array" ref="Y306">INDEX(tblEnrolledStuds[EStudID],MATCH(tblEnrolledSubjs[[#This Row],[EStudID]]&amp;S306,tblEnrolledStuds[AdmissionStatusID]&amp;tblEnrolledStuds[StudID],0))</f>
        <v>21</v>
      </c>
    </row>
    <row r="307" spans="2:25" x14ac:dyDescent="0.25">
      <c r="B307">
        <v>305</v>
      </c>
      <c r="C307">
        <v>31</v>
      </c>
      <c r="D307">
        <v>35</v>
      </c>
      <c r="K307" t="e">
        <f>LOOKUP(tblEnrolledSubjs[[#This Row],[EStudID]],#REF!,#REF!)</f>
        <v>#REF!</v>
      </c>
      <c r="L307" t="e">
        <f>LOOKUP(K307,tblStudents[StudID],tblStudents[SchoolIDNo])</f>
        <v>#REF!</v>
      </c>
      <c r="M307" t="e">
        <f t="shared" si="5"/>
        <v>#VALUE!</v>
      </c>
      <c r="P307" t="str">
        <f t="shared" si="4"/>
        <v>(NULL,"31","35"),</v>
      </c>
      <c r="Q307" t="str">
        <f>TextJoin(tblEnrolledSubjs[[#This Row],[CSubjID]:[EStudID]],"Value")</f>
        <v>"31","35"</v>
      </c>
      <c r="S307">
        <f>LOOKUP(LOOKUP(tblEnrolledSubjs[[#This Row],[CSubjID]], tblClassSubjs[CSubjID],tblClassSubjs[ClassID]),tblClasses[ClassID],tblClasses[STermID])</f>
        <v>1</v>
      </c>
      <c r="T307" t="str">
        <f>LOOKUP(S307,tblSchoolTerms[STermID],tblSchoolTerms[SemesterID]&amp;" Semester "&amp;tblSchoolTerms[SchoolYear])</f>
        <v>2 Semester S.Y. 2018-2019</v>
      </c>
      <c r="W3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7">
        <f t="array" ref="Y307">INDEX(tblEnrolledStuds[EStudID],MATCH(tblEnrolledSubjs[[#This Row],[EStudID]]&amp;S307,tblEnrolledStuds[AdmissionStatusID]&amp;tblEnrolledStuds[StudID],0))</f>
        <v>51</v>
      </c>
    </row>
    <row r="308" spans="2:25" x14ac:dyDescent="0.25">
      <c r="B308">
        <v>306</v>
      </c>
      <c r="C308">
        <v>31</v>
      </c>
      <c r="D308">
        <v>40</v>
      </c>
      <c r="K308" t="e">
        <f>LOOKUP(tblEnrolledSubjs[[#This Row],[EStudID]],#REF!,#REF!)</f>
        <v>#REF!</v>
      </c>
      <c r="L308" t="e">
        <f>LOOKUP(K308,tblStudents[StudID],tblStudents[SchoolIDNo])</f>
        <v>#REF!</v>
      </c>
      <c r="M308" t="e">
        <f t="shared" si="5"/>
        <v>#VALUE!</v>
      </c>
      <c r="P308" t="str">
        <f t="shared" si="4"/>
        <v>(NULL,"31","40"),</v>
      </c>
      <c r="Q308" t="str">
        <f>TextJoin(tblEnrolledSubjs[[#This Row],[CSubjID]:[EStudID]],"Value")</f>
        <v>"31","40"</v>
      </c>
      <c r="S308">
        <f>LOOKUP(LOOKUP(tblEnrolledSubjs[[#This Row],[CSubjID]], tblClassSubjs[CSubjID],tblClassSubjs[ClassID]),tblClasses[ClassID],tblClasses[STermID])</f>
        <v>1</v>
      </c>
      <c r="T308" t="str">
        <f>LOOKUP(S308,tblSchoolTerms[STermID],tblSchoolTerms[SemesterID]&amp;" Semester "&amp;tblSchoolTerms[SchoolYear])</f>
        <v>2 Semester S.Y. 2018-2019</v>
      </c>
      <c r="W3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8" t="e">
        <f t="array" ref="Y308">INDEX(tblEnrolledStuds[EStudID],MATCH(tblEnrolledSubjs[[#This Row],[EStudID]]&amp;S308,tblEnrolledStuds[AdmissionStatusID]&amp;tblEnrolledStuds[StudID],0))</f>
        <v>#N/A</v>
      </c>
    </row>
    <row r="309" spans="2:25" x14ac:dyDescent="0.25">
      <c r="B309">
        <v>307</v>
      </c>
      <c r="C309">
        <v>31</v>
      </c>
      <c r="D309">
        <v>51</v>
      </c>
      <c r="K309" t="e">
        <f>LOOKUP(tblEnrolledSubjs[[#This Row],[EStudID]],#REF!,#REF!)</f>
        <v>#REF!</v>
      </c>
      <c r="L309" t="e">
        <f>LOOKUP(K309,tblStudents[StudID],tblStudents[SchoolIDNo])</f>
        <v>#REF!</v>
      </c>
      <c r="M309" t="e">
        <f t="shared" si="5"/>
        <v>#VALUE!</v>
      </c>
      <c r="P309" t="str">
        <f t="shared" si="4"/>
        <v>(NULL,"31","51"),</v>
      </c>
      <c r="Q309" t="str">
        <f>TextJoin(tblEnrolledSubjs[[#This Row],[CSubjID]:[EStudID]],"Value")</f>
        <v>"31","51"</v>
      </c>
      <c r="S309">
        <f>LOOKUP(LOOKUP(tblEnrolledSubjs[[#This Row],[CSubjID]], tblClassSubjs[CSubjID],tblClassSubjs[ClassID]),tblClasses[ClassID],tblClasses[STermID])</f>
        <v>1</v>
      </c>
      <c r="T309" t="str">
        <f>LOOKUP(S309,tblSchoolTerms[STermID],tblSchoolTerms[SemesterID]&amp;" Semester "&amp;tblSchoolTerms[SchoolYear])</f>
        <v>2 Semester S.Y. 2018-2019</v>
      </c>
      <c r="W3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09" t="e">
        <f t="array" ref="Y309">INDEX(tblEnrolledStuds[EStudID],MATCH(tblEnrolledSubjs[[#This Row],[EStudID]]&amp;S309,tblEnrolledStuds[AdmissionStatusID]&amp;tblEnrolledStuds[StudID],0))</f>
        <v>#N/A</v>
      </c>
    </row>
    <row r="310" spans="2:25" x14ac:dyDescent="0.25">
      <c r="B310">
        <v>308</v>
      </c>
      <c r="C310">
        <v>31</v>
      </c>
      <c r="D310">
        <v>54</v>
      </c>
      <c r="K310" t="e">
        <f>LOOKUP(tblEnrolledSubjs[[#This Row],[EStudID]],#REF!,#REF!)</f>
        <v>#REF!</v>
      </c>
      <c r="L310" t="e">
        <f>LOOKUP(K310,tblStudents[StudID],tblStudents[SchoolIDNo])</f>
        <v>#REF!</v>
      </c>
      <c r="M310" t="e">
        <f t="shared" si="5"/>
        <v>#VALUE!</v>
      </c>
      <c r="P310" t="str">
        <f t="shared" si="4"/>
        <v>(NULL,"31","54"),</v>
      </c>
      <c r="Q310" t="str">
        <f>TextJoin(tblEnrolledSubjs[[#This Row],[CSubjID]:[EStudID]],"Value")</f>
        <v>"31","54"</v>
      </c>
      <c r="S310">
        <f>LOOKUP(LOOKUP(tblEnrolledSubjs[[#This Row],[CSubjID]], tblClassSubjs[CSubjID],tblClassSubjs[ClassID]),tblClasses[ClassID],tblClasses[STermID])</f>
        <v>1</v>
      </c>
      <c r="T310" t="str">
        <f>LOOKUP(S310,tblSchoolTerms[STermID],tblSchoolTerms[SemesterID]&amp;" Semester "&amp;tblSchoolTerms[SchoolYear])</f>
        <v>2 Semester S.Y. 2018-2019</v>
      </c>
      <c r="W3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0" t="e">
        <f t="array" ref="Y310">INDEX(tblEnrolledStuds[EStudID],MATCH(tblEnrolledSubjs[[#This Row],[EStudID]]&amp;S310,tblEnrolledStuds[AdmissionStatusID]&amp;tblEnrolledStuds[StudID],0))</f>
        <v>#N/A</v>
      </c>
    </row>
    <row r="311" spans="2:25" x14ac:dyDescent="0.25">
      <c r="B311">
        <v>309</v>
      </c>
      <c r="C311">
        <v>31</v>
      </c>
      <c r="D311">
        <v>20</v>
      </c>
      <c r="K311" t="e">
        <f>LOOKUP(tblEnrolledSubjs[[#This Row],[EStudID]],#REF!,#REF!)</f>
        <v>#REF!</v>
      </c>
      <c r="L311" t="e">
        <f>LOOKUP(K311,tblStudents[StudID],tblStudents[SchoolIDNo])</f>
        <v>#REF!</v>
      </c>
      <c r="M311" t="e">
        <f t="shared" si="5"/>
        <v>#VALUE!</v>
      </c>
      <c r="P311" t="str">
        <f t="shared" si="4"/>
        <v>(NULL,"31","20"),</v>
      </c>
      <c r="Q311" t="str">
        <f>TextJoin(tblEnrolledSubjs[[#This Row],[CSubjID]:[EStudID]],"Value")</f>
        <v>"31","20"</v>
      </c>
      <c r="S311">
        <f>LOOKUP(LOOKUP(tblEnrolledSubjs[[#This Row],[CSubjID]], tblClassSubjs[CSubjID],tblClassSubjs[ClassID]),tblClasses[ClassID],tblClasses[STermID])</f>
        <v>1</v>
      </c>
      <c r="T311" t="str">
        <f>LOOKUP(S311,tblSchoolTerms[STermID],tblSchoolTerms[SemesterID]&amp;" Semester "&amp;tblSchoolTerms[SchoolYear])</f>
        <v>2 Semester S.Y. 2018-2019</v>
      </c>
      <c r="W3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1" t="e">
        <f t="array" ref="Y311">INDEX(tblEnrolledStuds[EStudID],MATCH(tblEnrolledSubjs[[#This Row],[EStudID]]&amp;S311,tblEnrolledStuds[AdmissionStatusID]&amp;tblEnrolledStuds[StudID],0))</f>
        <v>#N/A</v>
      </c>
    </row>
    <row r="312" spans="2:25" x14ac:dyDescent="0.25">
      <c r="B312">
        <v>310</v>
      </c>
      <c r="C312">
        <v>32</v>
      </c>
      <c r="D312">
        <v>1</v>
      </c>
      <c r="K312" t="e">
        <f>LOOKUP(tblEnrolledSubjs[[#This Row],[EStudID]],#REF!,#REF!)</f>
        <v>#REF!</v>
      </c>
      <c r="L312" t="e">
        <f>LOOKUP(K312,tblStudents[StudID],tblStudents[SchoolIDNo])</f>
        <v>#REF!</v>
      </c>
      <c r="M312" t="e">
        <f t="shared" si="5"/>
        <v>#VALUE!</v>
      </c>
      <c r="P312" t="str">
        <f t="shared" si="4"/>
        <v>(NULL,"32","1"),</v>
      </c>
      <c r="Q312" t="str">
        <f>TextJoin(tblEnrolledSubjs[[#This Row],[CSubjID]:[EStudID]],"Value")</f>
        <v>"32","1"</v>
      </c>
      <c r="S312">
        <f>LOOKUP(LOOKUP(tblEnrolledSubjs[[#This Row],[CSubjID]], tblClassSubjs[CSubjID],tblClassSubjs[ClassID]),tblClasses[ClassID],tblClasses[STermID])</f>
        <v>1</v>
      </c>
      <c r="T312" t="str">
        <f>LOOKUP(S312,tblSchoolTerms[STermID],tblSchoolTerms[SemesterID]&amp;" Semester "&amp;tblSchoolTerms[SchoolYear])</f>
        <v>2 Semester S.Y. 2018-2019</v>
      </c>
      <c r="W3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2" t="e">
        <f t="array" ref="Y312">INDEX(tblEnrolledStuds[EStudID],MATCH(tblEnrolledSubjs[[#This Row],[EStudID]]&amp;S312,tblEnrolledStuds[AdmissionStatusID]&amp;tblEnrolledStuds[StudID],0))</f>
        <v>#N/A</v>
      </c>
    </row>
    <row r="313" spans="2:25" x14ac:dyDescent="0.25">
      <c r="B313">
        <v>311</v>
      </c>
      <c r="C313">
        <v>32</v>
      </c>
      <c r="D313">
        <v>3</v>
      </c>
      <c r="K313" t="e">
        <f>LOOKUP(tblEnrolledSubjs[[#This Row],[EStudID]],#REF!,#REF!)</f>
        <v>#REF!</v>
      </c>
      <c r="L313" t="e">
        <f>LOOKUP(K313,tblStudents[StudID],tblStudents[SchoolIDNo])</f>
        <v>#REF!</v>
      </c>
      <c r="M313" t="e">
        <f t="shared" si="5"/>
        <v>#VALUE!</v>
      </c>
      <c r="P313" t="str">
        <f t="shared" si="4"/>
        <v>(NULL,"32","3"),</v>
      </c>
      <c r="Q313" t="str">
        <f>TextJoin(tblEnrolledSubjs[[#This Row],[CSubjID]:[EStudID]],"Value")</f>
        <v>"32","3"</v>
      </c>
      <c r="S313">
        <f>LOOKUP(LOOKUP(tblEnrolledSubjs[[#This Row],[CSubjID]], tblClassSubjs[CSubjID],tblClassSubjs[ClassID]),tblClasses[ClassID],tblClasses[STermID])</f>
        <v>1</v>
      </c>
      <c r="T313" t="str">
        <f>LOOKUP(S313,tblSchoolTerms[STermID],tblSchoolTerms[SemesterID]&amp;" Semester "&amp;tblSchoolTerms[SchoolYear])</f>
        <v>2 Semester S.Y. 2018-2019</v>
      </c>
      <c r="W3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3">
        <f t="array" ref="Y313">INDEX(tblEnrolledStuds[EStudID],MATCH(tblEnrolledSubjs[[#This Row],[EStudID]]&amp;S313,tblEnrolledStuds[AdmissionStatusID]&amp;tblEnrolledStuds[StudID],0))</f>
        <v>1</v>
      </c>
    </row>
    <row r="314" spans="2:25" x14ac:dyDescent="0.25">
      <c r="B314">
        <v>312</v>
      </c>
      <c r="C314">
        <v>32</v>
      </c>
      <c r="D314">
        <v>7</v>
      </c>
      <c r="K314" t="e">
        <f>LOOKUP(tblEnrolledSubjs[[#This Row],[EStudID]],#REF!,#REF!)</f>
        <v>#REF!</v>
      </c>
      <c r="L314" t="e">
        <f>LOOKUP(K314,tblStudents[StudID],tblStudents[SchoolIDNo])</f>
        <v>#REF!</v>
      </c>
      <c r="M314" t="e">
        <f t="shared" si="5"/>
        <v>#VALUE!</v>
      </c>
      <c r="P314" t="str">
        <f t="shared" si="4"/>
        <v>(NULL,"32","7"),</v>
      </c>
      <c r="Q314" t="str">
        <f>TextJoin(tblEnrolledSubjs[[#This Row],[CSubjID]:[EStudID]],"Value")</f>
        <v>"32","7"</v>
      </c>
      <c r="S314">
        <f>LOOKUP(LOOKUP(tblEnrolledSubjs[[#This Row],[CSubjID]], tblClassSubjs[CSubjID],tblClassSubjs[ClassID]),tblClasses[ClassID],tblClasses[STermID])</f>
        <v>1</v>
      </c>
      <c r="T314" t="str">
        <f>LOOKUP(S314,tblSchoolTerms[STermID],tblSchoolTerms[SemesterID]&amp;" Semester "&amp;tblSchoolTerms[SchoolYear])</f>
        <v>2 Semester S.Y. 2018-2019</v>
      </c>
      <c r="W3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4" t="e">
        <f t="array" ref="Y314">INDEX(tblEnrolledStuds[EStudID],MATCH(tblEnrolledSubjs[[#This Row],[EStudID]]&amp;S314,tblEnrolledStuds[AdmissionStatusID]&amp;tblEnrolledStuds[StudID],0))</f>
        <v>#N/A</v>
      </c>
    </row>
    <row r="315" spans="2:25" x14ac:dyDescent="0.25">
      <c r="B315">
        <v>313</v>
      </c>
      <c r="C315">
        <v>32</v>
      </c>
      <c r="D315">
        <v>16</v>
      </c>
      <c r="K315" t="e">
        <f>LOOKUP(tblEnrolledSubjs[[#This Row],[EStudID]],#REF!,#REF!)</f>
        <v>#REF!</v>
      </c>
      <c r="L315" t="e">
        <f>LOOKUP(K315,tblStudents[StudID],tblStudents[SchoolIDNo])</f>
        <v>#REF!</v>
      </c>
      <c r="M315" t="e">
        <f t="shared" si="5"/>
        <v>#VALUE!</v>
      </c>
      <c r="P315" t="str">
        <f t="shared" si="4"/>
        <v>(NULL,"32","16"),</v>
      </c>
      <c r="Q315" t="str">
        <f>TextJoin(tblEnrolledSubjs[[#This Row],[CSubjID]:[EStudID]],"Value")</f>
        <v>"32","16"</v>
      </c>
      <c r="S315">
        <f>LOOKUP(LOOKUP(tblEnrolledSubjs[[#This Row],[CSubjID]], tblClassSubjs[CSubjID],tblClassSubjs[ClassID]),tblClasses[ClassID],tblClasses[STermID])</f>
        <v>1</v>
      </c>
      <c r="T315" t="str">
        <f>LOOKUP(S315,tblSchoolTerms[STermID],tblSchoolTerms[SemesterID]&amp;" Semester "&amp;tblSchoolTerms[SchoolYear])</f>
        <v>2 Semester S.Y. 2018-2019</v>
      </c>
      <c r="W3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5" t="e">
        <f t="array" ref="Y315">INDEX(tblEnrolledStuds[EStudID],MATCH(tblEnrolledSubjs[[#This Row],[EStudID]]&amp;S315,tblEnrolledStuds[AdmissionStatusID]&amp;tblEnrolledStuds[StudID],0))</f>
        <v>#N/A</v>
      </c>
    </row>
    <row r="316" spans="2:25" x14ac:dyDescent="0.25">
      <c r="B316">
        <v>314</v>
      </c>
      <c r="C316">
        <v>32</v>
      </c>
      <c r="D316">
        <v>19</v>
      </c>
      <c r="K316" t="e">
        <f>LOOKUP(tblEnrolledSubjs[[#This Row],[EStudID]],#REF!,#REF!)</f>
        <v>#REF!</v>
      </c>
      <c r="L316" t="e">
        <f>LOOKUP(K316,tblStudents[StudID],tblStudents[SchoolIDNo])</f>
        <v>#REF!</v>
      </c>
      <c r="M316" t="e">
        <f t="shared" si="5"/>
        <v>#VALUE!</v>
      </c>
      <c r="P316" t="str">
        <f t="shared" si="4"/>
        <v>(NULL,"32","19"),</v>
      </c>
      <c r="Q316" t="str">
        <f>TextJoin(tblEnrolledSubjs[[#This Row],[CSubjID]:[EStudID]],"Value")</f>
        <v>"32","19"</v>
      </c>
      <c r="S316">
        <f>LOOKUP(LOOKUP(tblEnrolledSubjs[[#This Row],[CSubjID]], tblClassSubjs[CSubjID],tblClassSubjs[ClassID]),tblClasses[ClassID],tblClasses[STermID])</f>
        <v>1</v>
      </c>
      <c r="T316" t="str">
        <f>LOOKUP(S316,tblSchoolTerms[STermID],tblSchoolTerms[SemesterID]&amp;" Semester "&amp;tblSchoolTerms[SchoolYear])</f>
        <v>2 Semester S.Y. 2018-2019</v>
      </c>
      <c r="W3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6" t="e">
        <f t="array" ref="Y316">INDEX(tblEnrolledStuds[EStudID],MATCH(tblEnrolledSubjs[[#This Row],[EStudID]]&amp;S316,tblEnrolledStuds[AdmissionStatusID]&amp;tblEnrolledStuds[StudID],0))</f>
        <v>#N/A</v>
      </c>
    </row>
    <row r="317" spans="2:25" x14ac:dyDescent="0.25">
      <c r="B317">
        <v>315</v>
      </c>
      <c r="C317">
        <v>32</v>
      </c>
      <c r="D317">
        <v>32</v>
      </c>
      <c r="P317" t="str">
        <f t="shared" si="4"/>
        <v>(NULL,"32","32"),</v>
      </c>
      <c r="Q317" t="str">
        <f>TextJoin(tblEnrolledSubjs[[#This Row],[CSubjID]:[EStudID]],"Value")</f>
        <v>"32","32"</v>
      </c>
      <c r="S317">
        <f>LOOKUP(LOOKUP(tblEnrolledSubjs[[#This Row],[CSubjID]], tblClassSubjs[CSubjID],tblClassSubjs[ClassID]),tblClasses[ClassID],tblClasses[STermID])</f>
        <v>1</v>
      </c>
      <c r="T317" t="str">
        <f>LOOKUP(S317,tblSchoolTerms[STermID],tblSchoolTerms[SemesterID]&amp;" Semester "&amp;tblSchoolTerms[SchoolYear])</f>
        <v>2 Semester S.Y. 2018-2019</v>
      </c>
      <c r="W3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7">
        <f t="array" ref="Y317">INDEX(tblEnrolledStuds[EStudID],MATCH(tblEnrolledSubjs[[#This Row],[EStudID]]&amp;S317,tblEnrolledStuds[AdmissionStatusID]&amp;tblEnrolledStuds[StudID],0))</f>
        <v>21</v>
      </c>
    </row>
    <row r="318" spans="2:25" x14ac:dyDescent="0.25">
      <c r="B318">
        <v>316</v>
      </c>
      <c r="C318">
        <v>32</v>
      </c>
      <c r="D318">
        <v>40</v>
      </c>
      <c r="K318" t="e">
        <f>LOOKUP(tblEnrolledSubjs[[#This Row],[EStudID]],#REF!,#REF!)</f>
        <v>#REF!</v>
      </c>
      <c r="L318" t="e">
        <f>LOOKUP(K318,tblStudents[StudID],tblStudents[SchoolIDNo])</f>
        <v>#REF!</v>
      </c>
      <c r="M318" t="e">
        <f t="shared" si="5"/>
        <v>#VALUE!</v>
      </c>
      <c r="P318" t="str">
        <f t="shared" si="4"/>
        <v>(NULL,"32","40"),</v>
      </c>
      <c r="Q318" t="str">
        <f>TextJoin(tblEnrolledSubjs[[#This Row],[CSubjID]:[EStudID]],"Value")</f>
        <v>"32","40"</v>
      </c>
      <c r="S318">
        <f>LOOKUP(LOOKUP(tblEnrolledSubjs[[#This Row],[CSubjID]], tblClassSubjs[CSubjID],tblClassSubjs[ClassID]),tblClasses[ClassID],tblClasses[STermID])</f>
        <v>1</v>
      </c>
      <c r="T318" t="str">
        <f>LOOKUP(S318,tblSchoolTerms[STermID],tblSchoolTerms[SemesterID]&amp;" Semester "&amp;tblSchoolTerms[SchoolYear])</f>
        <v>2 Semester S.Y. 2018-2019</v>
      </c>
      <c r="W3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8" t="e">
        <f t="array" ref="Y318">INDEX(tblEnrolledStuds[EStudID],MATCH(tblEnrolledSubjs[[#This Row],[EStudID]]&amp;S318,tblEnrolledStuds[AdmissionStatusID]&amp;tblEnrolledStuds[StudID],0))</f>
        <v>#N/A</v>
      </c>
    </row>
    <row r="319" spans="2:25" x14ac:dyDescent="0.25">
      <c r="B319">
        <v>317</v>
      </c>
      <c r="C319">
        <v>32</v>
      </c>
      <c r="D319">
        <v>51</v>
      </c>
      <c r="K319" t="e">
        <f>LOOKUP(tblEnrolledSubjs[[#This Row],[EStudID]],#REF!,#REF!)</f>
        <v>#REF!</v>
      </c>
      <c r="L319" t="e">
        <f>LOOKUP(K319,tblStudents[StudID],tblStudents[SchoolIDNo])</f>
        <v>#REF!</v>
      </c>
      <c r="M319" t="e">
        <f t="shared" si="5"/>
        <v>#VALUE!</v>
      </c>
      <c r="P319" t="str">
        <f t="shared" si="4"/>
        <v>(NULL,"32","51"),</v>
      </c>
      <c r="Q319" t="str">
        <f>TextJoin(tblEnrolledSubjs[[#This Row],[CSubjID]:[EStudID]],"Value")</f>
        <v>"32","51"</v>
      </c>
      <c r="S319">
        <f>LOOKUP(LOOKUP(tblEnrolledSubjs[[#This Row],[CSubjID]], tblClassSubjs[CSubjID],tblClassSubjs[ClassID]),tblClasses[ClassID],tblClasses[STermID])</f>
        <v>1</v>
      </c>
      <c r="T319" t="str">
        <f>LOOKUP(S319,tblSchoolTerms[STermID],tblSchoolTerms[SemesterID]&amp;" Semester "&amp;tblSchoolTerms[SchoolYear])</f>
        <v>2 Semester S.Y. 2018-2019</v>
      </c>
      <c r="W3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19" t="e">
        <f t="array" ref="Y319">INDEX(tblEnrolledStuds[EStudID],MATCH(tblEnrolledSubjs[[#This Row],[EStudID]]&amp;S319,tblEnrolledStuds[AdmissionStatusID]&amp;tblEnrolledStuds[StudID],0))</f>
        <v>#N/A</v>
      </c>
    </row>
    <row r="320" spans="2:25" x14ac:dyDescent="0.25">
      <c r="B320">
        <v>318</v>
      </c>
      <c r="C320">
        <v>32</v>
      </c>
      <c r="D320">
        <v>54</v>
      </c>
      <c r="K320" t="e">
        <f>LOOKUP(tblEnrolledSubjs[[#This Row],[EStudID]],#REF!,#REF!)</f>
        <v>#REF!</v>
      </c>
      <c r="L320" t="e">
        <f>LOOKUP(K320,tblStudents[StudID],tblStudents[SchoolIDNo])</f>
        <v>#REF!</v>
      </c>
      <c r="M320" t="e">
        <f t="shared" si="5"/>
        <v>#VALUE!</v>
      </c>
      <c r="P320" t="str">
        <f t="shared" si="4"/>
        <v>(NULL,"32","54"),</v>
      </c>
      <c r="Q320" t="str">
        <f>TextJoin(tblEnrolledSubjs[[#This Row],[CSubjID]:[EStudID]],"Value")</f>
        <v>"32","54"</v>
      </c>
      <c r="S320">
        <f>LOOKUP(LOOKUP(tblEnrolledSubjs[[#This Row],[CSubjID]], tblClassSubjs[CSubjID],tblClassSubjs[ClassID]),tblClasses[ClassID],tblClasses[STermID])</f>
        <v>1</v>
      </c>
      <c r="T320" t="str">
        <f>LOOKUP(S320,tblSchoolTerms[STermID],tblSchoolTerms[SemesterID]&amp;" Semester "&amp;tblSchoolTerms[SchoolYear])</f>
        <v>2 Semester S.Y. 2018-2019</v>
      </c>
      <c r="W3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0" t="e">
        <f t="array" ref="Y320">INDEX(tblEnrolledStuds[EStudID],MATCH(tblEnrolledSubjs[[#This Row],[EStudID]]&amp;S320,tblEnrolledStuds[AdmissionStatusID]&amp;tblEnrolledStuds[StudID],0))</f>
        <v>#N/A</v>
      </c>
    </row>
    <row r="321" spans="2:25" x14ac:dyDescent="0.25">
      <c r="B321">
        <v>319</v>
      </c>
      <c r="C321">
        <v>33</v>
      </c>
      <c r="D321">
        <v>1</v>
      </c>
      <c r="K321" t="e">
        <f>LOOKUP(tblEnrolledSubjs[[#This Row],[EStudID]],#REF!,#REF!)</f>
        <v>#REF!</v>
      </c>
      <c r="L321" t="e">
        <f>LOOKUP(K321,tblStudents[StudID],tblStudents[SchoolIDNo])</f>
        <v>#REF!</v>
      </c>
      <c r="M321" t="e">
        <f t="shared" si="5"/>
        <v>#VALUE!</v>
      </c>
      <c r="P321" t="str">
        <f t="shared" si="4"/>
        <v>(NULL,"33","1"),</v>
      </c>
      <c r="Q321" t="str">
        <f>TextJoin(tblEnrolledSubjs[[#This Row],[CSubjID]:[EStudID]],"Value")</f>
        <v>"33","1"</v>
      </c>
      <c r="S321">
        <f>LOOKUP(LOOKUP(tblEnrolledSubjs[[#This Row],[CSubjID]], tblClassSubjs[CSubjID],tblClassSubjs[ClassID]),tblClasses[ClassID],tblClasses[STermID])</f>
        <v>1</v>
      </c>
      <c r="T321" t="str">
        <f>LOOKUP(S321,tblSchoolTerms[STermID],tblSchoolTerms[SemesterID]&amp;" Semester "&amp;tblSchoolTerms[SchoolYear])</f>
        <v>2 Semester S.Y. 2018-2019</v>
      </c>
      <c r="W3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1" t="e">
        <f t="array" ref="Y321">INDEX(tblEnrolledStuds[EStudID],MATCH(tblEnrolledSubjs[[#This Row],[EStudID]]&amp;S321,tblEnrolledStuds[AdmissionStatusID]&amp;tblEnrolledStuds[StudID],0))</f>
        <v>#N/A</v>
      </c>
    </row>
    <row r="322" spans="2:25" x14ac:dyDescent="0.25">
      <c r="B322">
        <v>320</v>
      </c>
      <c r="C322">
        <v>33</v>
      </c>
      <c r="D322">
        <v>3</v>
      </c>
      <c r="K322" t="e">
        <f>LOOKUP(tblEnrolledSubjs[[#This Row],[EStudID]],#REF!,#REF!)</f>
        <v>#REF!</v>
      </c>
      <c r="L322" t="e">
        <f>LOOKUP(K322,tblStudents[StudID],tblStudents[SchoolIDNo])</f>
        <v>#REF!</v>
      </c>
      <c r="M322" t="e">
        <f t="shared" si="5"/>
        <v>#VALUE!</v>
      </c>
      <c r="P322" t="str">
        <f t="shared" si="4"/>
        <v>(NULL,"33","3"),</v>
      </c>
      <c r="Q322" t="str">
        <f>TextJoin(tblEnrolledSubjs[[#This Row],[CSubjID]:[EStudID]],"Value")</f>
        <v>"33","3"</v>
      </c>
      <c r="S322">
        <f>LOOKUP(LOOKUP(tblEnrolledSubjs[[#This Row],[CSubjID]], tblClassSubjs[CSubjID],tblClassSubjs[ClassID]),tblClasses[ClassID],tblClasses[STermID])</f>
        <v>1</v>
      </c>
      <c r="T322" t="str">
        <f>LOOKUP(S322,tblSchoolTerms[STermID],tblSchoolTerms[SemesterID]&amp;" Semester "&amp;tblSchoolTerms[SchoolYear])</f>
        <v>2 Semester S.Y. 2018-2019</v>
      </c>
      <c r="W3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2">
        <f t="array" ref="Y322">INDEX(tblEnrolledStuds[EStudID],MATCH(tblEnrolledSubjs[[#This Row],[EStudID]]&amp;S322,tblEnrolledStuds[AdmissionStatusID]&amp;tblEnrolledStuds[StudID],0))</f>
        <v>1</v>
      </c>
    </row>
    <row r="323" spans="2:25" x14ac:dyDescent="0.25">
      <c r="B323">
        <v>321</v>
      </c>
      <c r="C323">
        <v>33</v>
      </c>
      <c r="D323">
        <v>7</v>
      </c>
      <c r="K323" t="e">
        <f>LOOKUP(tblEnrolledSubjs[[#This Row],[EStudID]],#REF!,#REF!)</f>
        <v>#REF!</v>
      </c>
      <c r="L323" t="e">
        <f>LOOKUP(K323,tblStudents[StudID],tblStudents[SchoolIDNo])</f>
        <v>#REF!</v>
      </c>
      <c r="M323" t="e">
        <f t="shared" si="5"/>
        <v>#VALUE!</v>
      </c>
      <c r="P323" t="str">
        <f t="shared" si="4"/>
        <v>(NULL,"33","7"),</v>
      </c>
      <c r="Q323" t="str">
        <f>TextJoin(tblEnrolledSubjs[[#This Row],[CSubjID]:[EStudID]],"Value")</f>
        <v>"33","7"</v>
      </c>
      <c r="S323">
        <f>LOOKUP(LOOKUP(tblEnrolledSubjs[[#This Row],[CSubjID]], tblClassSubjs[CSubjID],tblClassSubjs[ClassID]),tblClasses[ClassID],tblClasses[STermID])</f>
        <v>1</v>
      </c>
      <c r="T323" t="str">
        <f>LOOKUP(S323,tblSchoolTerms[STermID],tblSchoolTerms[SemesterID]&amp;" Semester "&amp;tblSchoolTerms[SchoolYear])</f>
        <v>2 Semester S.Y. 2018-2019</v>
      </c>
      <c r="W3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3" t="e">
        <f t="array" ref="Y323">INDEX(tblEnrolledStuds[EStudID],MATCH(tblEnrolledSubjs[[#This Row],[EStudID]]&amp;S323,tblEnrolledStuds[AdmissionStatusID]&amp;tblEnrolledStuds[StudID],0))</f>
        <v>#N/A</v>
      </c>
    </row>
    <row r="324" spans="2:25" x14ac:dyDescent="0.25">
      <c r="B324">
        <v>322</v>
      </c>
      <c r="C324">
        <v>33</v>
      </c>
      <c r="D324">
        <v>16</v>
      </c>
      <c r="K324" t="e">
        <f>LOOKUP(tblEnrolledSubjs[[#This Row],[EStudID]],#REF!,#REF!)</f>
        <v>#REF!</v>
      </c>
      <c r="L324" t="e">
        <f>LOOKUP(K324,tblStudents[StudID],tblStudents[SchoolIDNo])</f>
        <v>#REF!</v>
      </c>
      <c r="M324" t="e">
        <f t="shared" si="5"/>
        <v>#VALUE!</v>
      </c>
      <c r="P324" t="str">
        <f t="shared" ref="P324:P387" si="6">"(NULL,"&amp;Q324&amp;")"&amp;IF(P325&lt;&gt;"",",",";")</f>
        <v>(NULL,"33","16"),</v>
      </c>
      <c r="Q324" t="str">
        <f>TextJoin(tblEnrolledSubjs[[#This Row],[CSubjID]:[EStudID]],"Value")</f>
        <v>"33","16"</v>
      </c>
      <c r="S324">
        <f>LOOKUP(LOOKUP(tblEnrolledSubjs[[#This Row],[CSubjID]], tblClassSubjs[CSubjID],tblClassSubjs[ClassID]),tblClasses[ClassID],tblClasses[STermID])</f>
        <v>1</v>
      </c>
      <c r="T324" t="str">
        <f>LOOKUP(S324,tblSchoolTerms[STermID],tblSchoolTerms[SemesterID]&amp;" Semester "&amp;tblSchoolTerms[SchoolYear])</f>
        <v>2 Semester S.Y. 2018-2019</v>
      </c>
      <c r="W3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4" t="e">
        <f t="array" ref="Y324">INDEX(tblEnrolledStuds[EStudID],MATCH(tblEnrolledSubjs[[#This Row],[EStudID]]&amp;S324,tblEnrolledStuds[AdmissionStatusID]&amp;tblEnrolledStuds[StudID],0))</f>
        <v>#N/A</v>
      </c>
    </row>
    <row r="325" spans="2:25" x14ac:dyDescent="0.25">
      <c r="B325">
        <v>323</v>
      </c>
      <c r="C325">
        <v>33</v>
      </c>
      <c r="D325">
        <v>19</v>
      </c>
      <c r="K325" t="e">
        <f>LOOKUP(tblEnrolledSubjs[[#This Row],[EStudID]],#REF!,#REF!)</f>
        <v>#REF!</v>
      </c>
      <c r="L325" t="e">
        <f>LOOKUP(K325,tblStudents[StudID],tblStudents[SchoolIDNo])</f>
        <v>#REF!</v>
      </c>
      <c r="M325" t="e">
        <f t="shared" si="5"/>
        <v>#VALUE!</v>
      </c>
      <c r="P325" t="str">
        <f t="shared" si="6"/>
        <v>(NULL,"33","19"),</v>
      </c>
      <c r="Q325" t="str">
        <f>TextJoin(tblEnrolledSubjs[[#This Row],[CSubjID]:[EStudID]],"Value")</f>
        <v>"33","19"</v>
      </c>
      <c r="S325">
        <f>LOOKUP(LOOKUP(tblEnrolledSubjs[[#This Row],[CSubjID]], tblClassSubjs[CSubjID],tblClassSubjs[ClassID]),tblClasses[ClassID],tblClasses[STermID])</f>
        <v>1</v>
      </c>
      <c r="T325" t="str">
        <f>LOOKUP(S325,tblSchoolTerms[STermID],tblSchoolTerms[SemesterID]&amp;" Semester "&amp;tblSchoolTerms[SchoolYear])</f>
        <v>2 Semester S.Y. 2018-2019</v>
      </c>
      <c r="W3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5" t="e">
        <f t="array" ref="Y325">INDEX(tblEnrolledStuds[EStudID],MATCH(tblEnrolledSubjs[[#This Row],[EStudID]]&amp;S325,tblEnrolledStuds[AdmissionStatusID]&amp;tblEnrolledStuds[StudID],0))</f>
        <v>#N/A</v>
      </c>
    </row>
    <row r="326" spans="2:25" x14ac:dyDescent="0.25">
      <c r="B326">
        <v>324</v>
      </c>
      <c r="C326">
        <v>33</v>
      </c>
      <c r="D326">
        <v>32</v>
      </c>
      <c r="P326" t="str">
        <f t="shared" si="6"/>
        <v>(NULL,"33","32"),</v>
      </c>
      <c r="Q326" t="str">
        <f>TextJoin(tblEnrolledSubjs[[#This Row],[CSubjID]:[EStudID]],"Value")</f>
        <v>"33","32"</v>
      </c>
      <c r="S326">
        <f>LOOKUP(LOOKUP(tblEnrolledSubjs[[#This Row],[CSubjID]], tblClassSubjs[CSubjID],tblClassSubjs[ClassID]),tblClasses[ClassID],tblClasses[STermID])</f>
        <v>1</v>
      </c>
      <c r="T326" t="str">
        <f>LOOKUP(S326,tblSchoolTerms[STermID],tblSchoolTerms[SemesterID]&amp;" Semester "&amp;tblSchoolTerms[SchoolYear])</f>
        <v>2 Semester S.Y. 2018-2019</v>
      </c>
      <c r="W3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6">
        <f t="array" ref="Y326">INDEX(tblEnrolledStuds[EStudID],MATCH(tblEnrolledSubjs[[#This Row],[EStudID]]&amp;S326,tblEnrolledStuds[AdmissionStatusID]&amp;tblEnrolledStuds[StudID],0))</f>
        <v>21</v>
      </c>
    </row>
    <row r="327" spans="2:25" x14ac:dyDescent="0.25">
      <c r="B327">
        <v>325</v>
      </c>
      <c r="C327">
        <v>33</v>
      </c>
      <c r="D327">
        <v>40</v>
      </c>
      <c r="P327" t="str">
        <f t="shared" si="6"/>
        <v>(NULL,"33","40"),</v>
      </c>
      <c r="Q327" t="str">
        <f>TextJoin(tblEnrolledSubjs[[#This Row],[CSubjID]:[EStudID]],"Value")</f>
        <v>"33","40"</v>
      </c>
      <c r="S327">
        <f>LOOKUP(LOOKUP(tblEnrolledSubjs[[#This Row],[CSubjID]], tblClassSubjs[CSubjID],tblClassSubjs[ClassID]),tblClasses[ClassID],tblClasses[STermID])</f>
        <v>1</v>
      </c>
      <c r="T327" t="str">
        <f>LOOKUP(S327,tblSchoolTerms[STermID],tblSchoolTerms[SemesterID]&amp;" Semester "&amp;tblSchoolTerms[SchoolYear])</f>
        <v>2 Semester S.Y. 2018-2019</v>
      </c>
      <c r="W3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7" t="e">
        <f t="array" ref="Y327">INDEX(tblEnrolledStuds[EStudID],MATCH(tblEnrolledSubjs[[#This Row],[EStudID]]&amp;S327,tblEnrolledStuds[AdmissionStatusID]&amp;tblEnrolledStuds[StudID],0))</f>
        <v>#N/A</v>
      </c>
    </row>
    <row r="328" spans="2:25" x14ac:dyDescent="0.25">
      <c r="B328">
        <v>326</v>
      </c>
      <c r="C328">
        <v>33</v>
      </c>
      <c r="D328">
        <v>51</v>
      </c>
      <c r="K328" t="e">
        <f>LOOKUP(tblEnrolledSubjs[[#This Row],[EStudID]],#REF!,#REF!)</f>
        <v>#REF!</v>
      </c>
      <c r="L328" t="e">
        <f>LOOKUP(K328,tblStudents[StudID],tblStudents[SchoolIDNo])</f>
        <v>#REF!</v>
      </c>
      <c r="M328" t="e">
        <f t="shared" si="5"/>
        <v>#VALUE!</v>
      </c>
      <c r="P328" t="str">
        <f t="shared" si="6"/>
        <v>(NULL,"33","51"),</v>
      </c>
      <c r="Q328" t="str">
        <f>TextJoin(tblEnrolledSubjs[[#This Row],[CSubjID]:[EStudID]],"Value")</f>
        <v>"33","51"</v>
      </c>
      <c r="S328">
        <f>LOOKUP(LOOKUP(tblEnrolledSubjs[[#This Row],[CSubjID]], tblClassSubjs[CSubjID],tblClassSubjs[ClassID]),tblClasses[ClassID],tblClasses[STermID])</f>
        <v>1</v>
      </c>
      <c r="T328" t="str">
        <f>LOOKUP(S328,tblSchoolTerms[STermID],tblSchoolTerms[SemesterID]&amp;" Semester "&amp;tblSchoolTerms[SchoolYear])</f>
        <v>2 Semester S.Y. 2018-2019</v>
      </c>
      <c r="W3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8" t="e">
        <f t="array" ref="Y328">INDEX(tblEnrolledStuds[EStudID],MATCH(tblEnrolledSubjs[[#This Row],[EStudID]]&amp;S328,tblEnrolledStuds[AdmissionStatusID]&amp;tblEnrolledStuds[StudID],0))</f>
        <v>#N/A</v>
      </c>
    </row>
    <row r="329" spans="2:25" x14ac:dyDescent="0.25">
      <c r="B329">
        <v>327</v>
      </c>
      <c r="C329">
        <v>33</v>
      </c>
      <c r="D329">
        <v>54</v>
      </c>
      <c r="K329" t="e">
        <f>LOOKUP(tblEnrolledSubjs[[#This Row],[EStudID]],#REF!,#REF!)</f>
        <v>#REF!</v>
      </c>
      <c r="L329" t="e">
        <f>LOOKUP(K329,tblStudents[StudID],tblStudents[SchoolIDNo])</f>
        <v>#REF!</v>
      </c>
      <c r="M329" t="e">
        <f t="shared" si="5"/>
        <v>#VALUE!</v>
      </c>
      <c r="P329" t="str">
        <f t="shared" si="6"/>
        <v>(NULL,"33","54"),</v>
      </c>
      <c r="Q329" t="str">
        <f>TextJoin(tblEnrolledSubjs[[#This Row],[CSubjID]:[EStudID]],"Value")</f>
        <v>"33","54"</v>
      </c>
      <c r="S329">
        <f>LOOKUP(LOOKUP(tblEnrolledSubjs[[#This Row],[CSubjID]], tblClassSubjs[CSubjID],tblClassSubjs[ClassID]),tblClasses[ClassID],tblClasses[STermID])</f>
        <v>1</v>
      </c>
      <c r="T329" t="str">
        <f>LOOKUP(S329,tblSchoolTerms[STermID],tblSchoolTerms[SemesterID]&amp;" Semester "&amp;tblSchoolTerms[SchoolYear])</f>
        <v>2 Semester S.Y. 2018-2019</v>
      </c>
      <c r="W3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29" t="e">
        <f t="array" ref="Y329">INDEX(tblEnrolledStuds[EStudID],MATCH(tblEnrolledSubjs[[#This Row],[EStudID]]&amp;S329,tblEnrolledStuds[AdmissionStatusID]&amp;tblEnrolledStuds[StudID],0))</f>
        <v>#N/A</v>
      </c>
    </row>
    <row r="330" spans="2:25" x14ac:dyDescent="0.25">
      <c r="B330">
        <v>328</v>
      </c>
      <c r="C330">
        <v>33</v>
      </c>
      <c r="D330">
        <v>5</v>
      </c>
      <c r="K330" t="e">
        <f>LOOKUP(tblEnrolledSubjs[[#This Row],[EStudID]],#REF!,#REF!)</f>
        <v>#REF!</v>
      </c>
      <c r="L330" t="e">
        <f>LOOKUP(K330,tblStudents[StudID],tblStudents[SchoolIDNo])</f>
        <v>#REF!</v>
      </c>
      <c r="M330" t="e">
        <f t="shared" si="5"/>
        <v>#VALUE!</v>
      </c>
      <c r="P330" t="str">
        <f t="shared" si="6"/>
        <v>(NULL,"33","5"),</v>
      </c>
      <c r="Q330" t="str">
        <f>TextJoin(tblEnrolledSubjs[[#This Row],[CSubjID]:[EStudID]],"Value")</f>
        <v>"33","5"</v>
      </c>
      <c r="S330">
        <f>LOOKUP(LOOKUP(tblEnrolledSubjs[[#This Row],[CSubjID]], tblClassSubjs[CSubjID],tblClassSubjs[ClassID]),tblClasses[ClassID],tblClasses[STermID])</f>
        <v>1</v>
      </c>
      <c r="T330" t="str">
        <f>LOOKUP(S330,tblSchoolTerms[STermID],tblSchoolTerms[SemesterID]&amp;" Semester "&amp;tblSchoolTerms[SchoolYear])</f>
        <v>2 Semester S.Y. 2018-2019</v>
      </c>
      <c r="W3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0" t="e">
        <f t="array" ref="Y330">INDEX(tblEnrolledStuds[EStudID],MATCH(tblEnrolledSubjs[[#This Row],[EStudID]]&amp;S330,tblEnrolledStuds[AdmissionStatusID]&amp;tblEnrolledStuds[StudID],0))</f>
        <v>#N/A</v>
      </c>
    </row>
    <row r="331" spans="2:25" x14ac:dyDescent="0.25">
      <c r="B331">
        <v>329</v>
      </c>
      <c r="C331">
        <v>33</v>
      </c>
      <c r="D331">
        <v>18</v>
      </c>
      <c r="K331" t="e">
        <f>LOOKUP(tblEnrolledSubjs[[#This Row],[EStudID]],#REF!,#REF!)</f>
        <v>#REF!</v>
      </c>
      <c r="L331" t="e">
        <f>LOOKUP(K331,tblStudents[StudID],tblStudents[SchoolIDNo])</f>
        <v>#REF!</v>
      </c>
      <c r="M331" t="e">
        <f t="shared" si="5"/>
        <v>#VALUE!</v>
      </c>
      <c r="P331" t="str">
        <f t="shared" si="6"/>
        <v>(NULL,"33","18"),</v>
      </c>
      <c r="Q331" t="str">
        <f>TextJoin(tblEnrolledSubjs[[#This Row],[CSubjID]:[EStudID]],"Value")</f>
        <v>"33","18"</v>
      </c>
      <c r="S331">
        <f>LOOKUP(LOOKUP(tblEnrolledSubjs[[#This Row],[CSubjID]], tblClassSubjs[CSubjID],tblClassSubjs[ClassID]),tblClasses[ClassID],tblClasses[STermID])</f>
        <v>1</v>
      </c>
      <c r="T331" t="str">
        <f>LOOKUP(S331,tblSchoolTerms[STermID],tblSchoolTerms[SemesterID]&amp;" Semester "&amp;tblSchoolTerms[SchoolYear])</f>
        <v>2 Semester S.Y. 2018-2019</v>
      </c>
      <c r="W3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1" t="e">
        <f t="array" ref="Y331">INDEX(tblEnrolledStuds[EStudID],MATCH(tblEnrolledSubjs[[#This Row],[EStudID]]&amp;S331,tblEnrolledStuds[AdmissionStatusID]&amp;tblEnrolledStuds[StudID],0))</f>
        <v>#N/A</v>
      </c>
    </row>
    <row r="332" spans="2:25" x14ac:dyDescent="0.25">
      <c r="B332">
        <v>330</v>
      </c>
      <c r="C332">
        <v>33</v>
      </c>
      <c r="D332">
        <v>22</v>
      </c>
      <c r="K332" t="e">
        <f>LOOKUP(tblEnrolledSubjs[[#This Row],[EStudID]],#REF!,#REF!)</f>
        <v>#REF!</v>
      </c>
      <c r="L332" t="e">
        <f>LOOKUP(K332,tblStudents[StudID],tblStudents[SchoolIDNo])</f>
        <v>#REF!</v>
      </c>
      <c r="M332" t="e">
        <f t="shared" si="5"/>
        <v>#VALUE!</v>
      </c>
      <c r="P332" t="str">
        <f t="shared" si="6"/>
        <v>(NULL,"33","22"),</v>
      </c>
      <c r="Q332" t="str">
        <f>TextJoin(tblEnrolledSubjs[[#This Row],[CSubjID]:[EStudID]],"Value")</f>
        <v>"33","22"</v>
      </c>
      <c r="S332">
        <f>LOOKUP(LOOKUP(tblEnrolledSubjs[[#This Row],[CSubjID]], tblClassSubjs[CSubjID],tblClassSubjs[ClassID]),tblClasses[ClassID],tblClasses[STermID])</f>
        <v>1</v>
      </c>
      <c r="T332" t="str">
        <f>LOOKUP(S332,tblSchoolTerms[STermID],tblSchoolTerms[SemesterID]&amp;" Semester "&amp;tblSchoolTerms[SchoolYear])</f>
        <v>2 Semester S.Y. 2018-2019</v>
      </c>
      <c r="W3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2" t="e">
        <f t="array" ref="Y332">INDEX(tblEnrolledStuds[EStudID],MATCH(tblEnrolledSubjs[[#This Row],[EStudID]]&amp;S332,tblEnrolledStuds[AdmissionStatusID]&amp;tblEnrolledStuds[StudID],0))</f>
        <v>#N/A</v>
      </c>
    </row>
    <row r="333" spans="2:25" x14ac:dyDescent="0.25">
      <c r="B333">
        <v>331</v>
      </c>
      <c r="C333">
        <v>33</v>
      </c>
      <c r="D333">
        <v>27</v>
      </c>
      <c r="P333" t="str">
        <f t="shared" si="6"/>
        <v>(NULL,"33","27"),</v>
      </c>
      <c r="Q333" t="str">
        <f>TextJoin(tblEnrolledSubjs[[#This Row],[CSubjID]:[EStudID]],"Value")</f>
        <v>"33","27"</v>
      </c>
      <c r="S333">
        <f>LOOKUP(LOOKUP(tblEnrolledSubjs[[#This Row],[CSubjID]], tblClassSubjs[CSubjID],tblClassSubjs[ClassID]),tblClasses[ClassID],tblClasses[STermID])</f>
        <v>1</v>
      </c>
      <c r="T333" t="str">
        <f>LOOKUP(S333,tblSchoolTerms[STermID],tblSchoolTerms[SemesterID]&amp;" Semester "&amp;tblSchoolTerms[SchoolYear])</f>
        <v>2 Semester S.Y. 2018-2019</v>
      </c>
      <c r="W3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3">
        <f t="array" ref="Y333">INDEX(tblEnrolledStuds[EStudID],MATCH(tblEnrolledSubjs[[#This Row],[EStudID]]&amp;S333,tblEnrolledStuds[AdmissionStatusID]&amp;tblEnrolledStuds[StudID],0))</f>
        <v>190</v>
      </c>
    </row>
    <row r="334" spans="2:25" x14ac:dyDescent="0.25">
      <c r="B334">
        <v>332</v>
      </c>
      <c r="C334">
        <v>33</v>
      </c>
      <c r="D334">
        <v>63</v>
      </c>
      <c r="K334" t="e">
        <f>LOOKUP(tblEnrolledSubjs[[#This Row],[EStudID]],#REF!,#REF!)</f>
        <v>#REF!</v>
      </c>
      <c r="L334" t="e">
        <f>LOOKUP(K334,tblStudents[StudID],tblStudents[SchoolIDNo])</f>
        <v>#REF!</v>
      </c>
      <c r="M334" t="e">
        <f t="shared" si="5"/>
        <v>#VALUE!</v>
      </c>
      <c r="P334" t="str">
        <f t="shared" si="6"/>
        <v>(NULL,"33","63"),</v>
      </c>
      <c r="Q334" t="str">
        <f>TextJoin(tblEnrolledSubjs[[#This Row],[CSubjID]:[EStudID]],"Value")</f>
        <v>"33","63"</v>
      </c>
      <c r="S334">
        <f>LOOKUP(LOOKUP(tblEnrolledSubjs[[#This Row],[CSubjID]], tblClassSubjs[CSubjID],tblClassSubjs[ClassID]),tblClasses[ClassID],tblClasses[STermID])</f>
        <v>1</v>
      </c>
      <c r="T334" t="str">
        <f>LOOKUP(S334,tblSchoolTerms[STermID],tblSchoolTerms[SemesterID]&amp;" Semester "&amp;tblSchoolTerms[SchoolYear])</f>
        <v>2 Semester S.Y. 2018-2019</v>
      </c>
      <c r="W3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4" t="e">
        <f t="array" ref="Y334">INDEX(tblEnrolledStuds[EStudID],MATCH(tblEnrolledSubjs[[#This Row],[EStudID]]&amp;S334,tblEnrolledStuds[AdmissionStatusID]&amp;tblEnrolledStuds[StudID],0))</f>
        <v>#N/A</v>
      </c>
    </row>
    <row r="335" spans="2:25" x14ac:dyDescent="0.25">
      <c r="B335">
        <v>333</v>
      </c>
      <c r="C335">
        <v>33</v>
      </c>
      <c r="D335">
        <v>29</v>
      </c>
      <c r="K335" t="e">
        <f>LOOKUP(tblEnrolledSubjs[[#This Row],[EStudID]],#REF!,#REF!)</f>
        <v>#REF!</v>
      </c>
      <c r="L335" t="e">
        <f>LOOKUP(K335,tblStudents[StudID],tblStudents[SchoolIDNo])</f>
        <v>#REF!</v>
      </c>
      <c r="M335" t="e">
        <f t="shared" si="5"/>
        <v>#VALUE!</v>
      </c>
      <c r="P335" t="str">
        <f t="shared" si="6"/>
        <v>(NULL,"33","29"),</v>
      </c>
      <c r="Q335" t="str">
        <f>TextJoin(tblEnrolledSubjs[[#This Row],[CSubjID]:[EStudID]],"Value")</f>
        <v>"33","29"</v>
      </c>
      <c r="S335">
        <f>LOOKUP(LOOKUP(tblEnrolledSubjs[[#This Row],[CSubjID]], tblClassSubjs[CSubjID],tblClassSubjs[ClassID]),tblClasses[ClassID],tblClasses[STermID])</f>
        <v>1</v>
      </c>
      <c r="T335" t="str">
        <f>LOOKUP(S335,tblSchoolTerms[STermID],tblSchoolTerms[SemesterID]&amp;" Semester "&amp;tblSchoolTerms[SchoolYear])</f>
        <v>2 Semester S.Y. 2018-2019</v>
      </c>
      <c r="W3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5" t="e">
        <f t="array" ref="Y335">INDEX(tblEnrolledStuds[EStudID],MATCH(tblEnrolledSubjs[[#This Row],[EStudID]]&amp;S335,tblEnrolledStuds[AdmissionStatusID]&amp;tblEnrolledStuds[StudID],0))</f>
        <v>#N/A</v>
      </c>
    </row>
    <row r="336" spans="2:25" x14ac:dyDescent="0.25">
      <c r="B336">
        <v>334</v>
      </c>
      <c r="C336">
        <v>33</v>
      </c>
      <c r="D336">
        <v>34</v>
      </c>
      <c r="K336" t="e">
        <f>LOOKUP(tblEnrolledSubjs[[#This Row],[EStudID]],#REF!,#REF!)</f>
        <v>#REF!</v>
      </c>
      <c r="L336" t="e">
        <f>LOOKUP(K336,tblStudents[StudID],tblStudents[SchoolIDNo])</f>
        <v>#REF!</v>
      </c>
      <c r="M336" t="e">
        <f t="shared" si="5"/>
        <v>#VALUE!</v>
      </c>
      <c r="P336" t="str">
        <f t="shared" si="6"/>
        <v>(NULL,"33","34"),</v>
      </c>
      <c r="Q336" t="str">
        <f>TextJoin(tblEnrolledSubjs[[#This Row],[CSubjID]:[EStudID]],"Value")</f>
        <v>"33","34"</v>
      </c>
      <c r="S336">
        <f>LOOKUP(LOOKUP(tblEnrolledSubjs[[#This Row],[CSubjID]], tblClassSubjs[CSubjID],tblClassSubjs[ClassID]),tblClasses[ClassID],tblClasses[STermID])</f>
        <v>1</v>
      </c>
      <c r="T336" t="str">
        <f>LOOKUP(S336,tblSchoolTerms[STermID],tblSchoolTerms[SemesterID]&amp;" Semester "&amp;tblSchoolTerms[SchoolYear])</f>
        <v>2 Semester S.Y. 2018-2019</v>
      </c>
      <c r="W3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6">
        <f t="array" ref="Y336">INDEX(tblEnrolledStuds[EStudID],MATCH(tblEnrolledSubjs[[#This Row],[EStudID]]&amp;S336,tblEnrolledStuds[AdmissionStatusID]&amp;tblEnrolledStuds[StudID],0))</f>
        <v>41</v>
      </c>
    </row>
    <row r="337" spans="2:25" x14ac:dyDescent="0.25">
      <c r="B337">
        <v>335</v>
      </c>
      <c r="C337">
        <v>33</v>
      </c>
      <c r="D337">
        <v>20</v>
      </c>
      <c r="K337" t="e">
        <f>LOOKUP(tblEnrolledSubjs[[#This Row],[EStudID]],#REF!,#REF!)</f>
        <v>#REF!</v>
      </c>
      <c r="L337" t="e">
        <f>LOOKUP(K337,tblStudents[StudID],tblStudents[SchoolIDNo])</f>
        <v>#REF!</v>
      </c>
      <c r="M337" t="e">
        <f t="shared" si="5"/>
        <v>#VALUE!</v>
      </c>
      <c r="P337" t="str">
        <f t="shared" si="6"/>
        <v>(NULL,"33","20"),</v>
      </c>
      <c r="Q337" t="str">
        <f>TextJoin(tblEnrolledSubjs[[#This Row],[CSubjID]:[EStudID]],"Value")</f>
        <v>"33","20"</v>
      </c>
      <c r="S337">
        <f>LOOKUP(LOOKUP(tblEnrolledSubjs[[#This Row],[CSubjID]], tblClassSubjs[CSubjID],tblClassSubjs[ClassID]),tblClasses[ClassID],tblClasses[STermID])</f>
        <v>1</v>
      </c>
      <c r="T337" t="str">
        <f>LOOKUP(S337,tblSchoolTerms[STermID],tblSchoolTerms[SemesterID]&amp;" Semester "&amp;tblSchoolTerms[SchoolYear])</f>
        <v>2 Semester S.Y. 2018-2019</v>
      </c>
      <c r="W3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7" t="e">
        <f t="array" ref="Y337">INDEX(tblEnrolledStuds[EStudID],MATCH(tblEnrolledSubjs[[#This Row],[EStudID]]&amp;S337,tblEnrolledStuds[AdmissionStatusID]&amp;tblEnrolledStuds[StudID],0))</f>
        <v>#N/A</v>
      </c>
    </row>
    <row r="338" spans="2:25" x14ac:dyDescent="0.25">
      <c r="B338">
        <v>336</v>
      </c>
      <c r="C338">
        <v>34</v>
      </c>
      <c r="D338">
        <v>1</v>
      </c>
      <c r="K338" t="e">
        <f>LOOKUP(tblEnrolledSubjs[[#This Row],[EStudID]],#REF!,#REF!)</f>
        <v>#REF!</v>
      </c>
      <c r="L338" t="e">
        <f>LOOKUP(K338,tblStudents[StudID],tblStudents[SchoolIDNo])</f>
        <v>#REF!</v>
      </c>
      <c r="M338" t="e">
        <f t="shared" si="5"/>
        <v>#VALUE!</v>
      </c>
      <c r="P338" t="str">
        <f t="shared" si="6"/>
        <v>(NULL,"34","1"),</v>
      </c>
      <c r="Q338" t="str">
        <f>TextJoin(tblEnrolledSubjs[[#This Row],[CSubjID]:[EStudID]],"Value")</f>
        <v>"34","1"</v>
      </c>
      <c r="S338">
        <f>LOOKUP(LOOKUP(tblEnrolledSubjs[[#This Row],[CSubjID]], tblClassSubjs[CSubjID],tblClassSubjs[ClassID]),tblClasses[ClassID],tblClasses[STermID])</f>
        <v>1</v>
      </c>
      <c r="T338" t="str">
        <f>LOOKUP(S338,tblSchoolTerms[STermID],tblSchoolTerms[SemesterID]&amp;" Semester "&amp;tblSchoolTerms[SchoolYear])</f>
        <v>2 Semester S.Y. 2018-2019</v>
      </c>
      <c r="W3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8" t="e">
        <f t="array" ref="Y338">INDEX(tblEnrolledStuds[EStudID],MATCH(tblEnrolledSubjs[[#This Row],[EStudID]]&amp;S338,tblEnrolledStuds[AdmissionStatusID]&amp;tblEnrolledStuds[StudID],0))</f>
        <v>#N/A</v>
      </c>
    </row>
    <row r="339" spans="2:25" x14ac:dyDescent="0.25">
      <c r="B339">
        <v>337</v>
      </c>
      <c r="C339">
        <v>34</v>
      </c>
      <c r="D339">
        <v>3</v>
      </c>
      <c r="K339" t="e">
        <f>LOOKUP(tblEnrolledSubjs[[#This Row],[EStudID]],#REF!,#REF!)</f>
        <v>#REF!</v>
      </c>
      <c r="L339" t="e">
        <f>LOOKUP(K339,tblStudents[StudID],tblStudents[SchoolIDNo])</f>
        <v>#REF!</v>
      </c>
      <c r="M339" t="e">
        <f t="shared" si="5"/>
        <v>#VALUE!</v>
      </c>
      <c r="P339" t="str">
        <f t="shared" si="6"/>
        <v>(NULL,"34","3"),</v>
      </c>
      <c r="Q339" t="str">
        <f>TextJoin(tblEnrolledSubjs[[#This Row],[CSubjID]:[EStudID]],"Value")</f>
        <v>"34","3"</v>
      </c>
      <c r="S339">
        <f>LOOKUP(LOOKUP(tblEnrolledSubjs[[#This Row],[CSubjID]], tblClassSubjs[CSubjID],tblClassSubjs[ClassID]),tblClasses[ClassID],tblClasses[STermID])</f>
        <v>1</v>
      </c>
      <c r="T339" t="str">
        <f>LOOKUP(S339,tblSchoolTerms[STermID],tblSchoolTerms[SemesterID]&amp;" Semester "&amp;tblSchoolTerms[SchoolYear])</f>
        <v>2 Semester S.Y. 2018-2019</v>
      </c>
      <c r="W3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39">
        <f t="array" ref="Y339">INDEX(tblEnrolledStuds[EStudID],MATCH(tblEnrolledSubjs[[#This Row],[EStudID]]&amp;S339,tblEnrolledStuds[AdmissionStatusID]&amp;tblEnrolledStuds[StudID],0))</f>
        <v>1</v>
      </c>
    </row>
    <row r="340" spans="2:25" x14ac:dyDescent="0.25">
      <c r="B340">
        <v>338</v>
      </c>
      <c r="C340">
        <v>34</v>
      </c>
      <c r="D340">
        <v>7</v>
      </c>
      <c r="K340" t="e">
        <f>LOOKUP(tblEnrolledSubjs[[#This Row],[EStudID]],#REF!,#REF!)</f>
        <v>#REF!</v>
      </c>
      <c r="L340" t="e">
        <f>LOOKUP(K340,tblStudents[StudID],tblStudents[SchoolIDNo])</f>
        <v>#REF!</v>
      </c>
      <c r="M340" t="e">
        <f t="shared" si="5"/>
        <v>#VALUE!</v>
      </c>
      <c r="P340" t="str">
        <f t="shared" si="6"/>
        <v>(NULL,"34","7"),</v>
      </c>
      <c r="Q340" t="str">
        <f>TextJoin(tblEnrolledSubjs[[#This Row],[CSubjID]:[EStudID]],"Value")</f>
        <v>"34","7"</v>
      </c>
      <c r="S340">
        <f>LOOKUP(LOOKUP(tblEnrolledSubjs[[#This Row],[CSubjID]], tblClassSubjs[CSubjID],tblClassSubjs[ClassID]),tblClasses[ClassID],tblClasses[STermID])</f>
        <v>1</v>
      </c>
      <c r="T340" t="str">
        <f>LOOKUP(S340,tblSchoolTerms[STermID],tblSchoolTerms[SemesterID]&amp;" Semester "&amp;tblSchoolTerms[SchoolYear])</f>
        <v>2 Semester S.Y. 2018-2019</v>
      </c>
      <c r="W3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0" t="e">
        <f t="array" ref="Y340">INDEX(tblEnrolledStuds[EStudID],MATCH(tblEnrolledSubjs[[#This Row],[EStudID]]&amp;S340,tblEnrolledStuds[AdmissionStatusID]&amp;tblEnrolledStuds[StudID],0))</f>
        <v>#N/A</v>
      </c>
    </row>
    <row r="341" spans="2:25" x14ac:dyDescent="0.25">
      <c r="B341">
        <v>339</v>
      </c>
      <c r="C341">
        <v>34</v>
      </c>
      <c r="D341">
        <v>16</v>
      </c>
      <c r="K341" t="e">
        <f>LOOKUP(tblEnrolledSubjs[[#This Row],[EStudID]],#REF!,#REF!)</f>
        <v>#REF!</v>
      </c>
      <c r="L341" t="e">
        <f>LOOKUP(K341,tblStudents[StudID],tblStudents[SchoolIDNo])</f>
        <v>#REF!</v>
      </c>
      <c r="M341" t="e">
        <f t="shared" si="5"/>
        <v>#VALUE!</v>
      </c>
      <c r="P341" t="str">
        <f t="shared" si="6"/>
        <v>(NULL,"34","16"),</v>
      </c>
      <c r="Q341" t="str">
        <f>TextJoin(tblEnrolledSubjs[[#This Row],[CSubjID]:[EStudID]],"Value")</f>
        <v>"34","16"</v>
      </c>
      <c r="S341">
        <f>LOOKUP(LOOKUP(tblEnrolledSubjs[[#This Row],[CSubjID]], tblClassSubjs[CSubjID],tblClassSubjs[ClassID]),tblClasses[ClassID],tblClasses[STermID])</f>
        <v>1</v>
      </c>
      <c r="T341" t="str">
        <f>LOOKUP(S341,tblSchoolTerms[STermID],tblSchoolTerms[SemesterID]&amp;" Semester "&amp;tblSchoolTerms[SchoolYear])</f>
        <v>2 Semester S.Y. 2018-2019</v>
      </c>
      <c r="W3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1" t="e">
        <f t="array" ref="Y341">INDEX(tblEnrolledStuds[EStudID],MATCH(tblEnrolledSubjs[[#This Row],[EStudID]]&amp;S341,tblEnrolledStuds[AdmissionStatusID]&amp;tblEnrolledStuds[StudID],0))</f>
        <v>#N/A</v>
      </c>
    </row>
    <row r="342" spans="2:25" x14ac:dyDescent="0.25">
      <c r="B342">
        <v>340</v>
      </c>
      <c r="C342">
        <v>34</v>
      </c>
      <c r="D342">
        <v>19</v>
      </c>
      <c r="K342" t="e">
        <f>LOOKUP(tblEnrolledSubjs[[#This Row],[EStudID]],#REF!,#REF!)</f>
        <v>#REF!</v>
      </c>
      <c r="L342" t="e">
        <f>LOOKUP(K342,tblStudents[StudID],tblStudents[SchoolIDNo])</f>
        <v>#REF!</v>
      </c>
      <c r="M342" t="e">
        <f t="shared" si="5"/>
        <v>#VALUE!</v>
      </c>
      <c r="P342" t="str">
        <f t="shared" si="6"/>
        <v>(NULL,"34","19"),</v>
      </c>
      <c r="Q342" t="str">
        <f>TextJoin(tblEnrolledSubjs[[#This Row],[CSubjID]:[EStudID]],"Value")</f>
        <v>"34","19"</v>
      </c>
      <c r="S342">
        <f>LOOKUP(LOOKUP(tblEnrolledSubjs[[#This Row],[CSubjID]], tblClassSubjs[CSubjID],tblClassSubjs[ClassID]),tblClasses[ClassID],tblClasses[STermID])</f>
        <v>1</v>
      </c>
      <c r="T342" t="str">
        <f>LOOKUP(S342,tblSchoolTerms[STermID],tblSchoolTerms[SemesterID]&amp;" Semester "&amp;tblSchoolTerms[SchoolYear])</f>
        <v>2 Semester S.Y. 2018-2019</v>
      </c>
      <c r="W3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2" t="e">
        <f t="array" ref="Y342">INDEX(tblEnrolledStuds[EStudID],MATCH(tblEnrolledSubjs[[#This Row],[EStudID]]&amp;S342,tblEnrolledStuds[AdmissionStatusID]&amp;tblEnrolledStuds[StudID],0))</f>
        <v>#N/A</v>
      </c>
    </row>
    <row r="343" spans="2:25" x14ac:dyDescent="0.25">
      <c r="B343">
        <v>341</v>
      </c>
      <c r="C343">
        <v>34</v>
      </c>
      <c r="D343">
        <v>32</v>
      </c>
      <c r="K343" t="e">
        <f>LOOKUP(tblEnrolledSubjs[[#This Row],[EStudID]],#REF!,#REF!)</f>
        <v>#REF!</v>
      </c>
      <c r="L343" t="e">
        <f>LOOKUP(K343,tblStudents[StudID],tblStudents[SchoolIDNo])</f>
        <v>#REF!</v>
      </c>
      <c r="M343" t="e">
        <f t="shared" si="5"/>
        <v>#VALUE!</v>
      </c>
      <c r="P343" t="str">
        <f t="shared" si="6"/>
        <v>(NULL,"34","32"),</v>
      </c>
      <c r="Q343" t="str">
        <f>TextJoin(tblEnrolledSubjs[[#This Row],[CSubjID]:[EStudID]],"Value")</f>
        <v>"34","32"</v>
      </c>
      <c r="S343">
        <f>LOOKUP(LOOKUP(tblEnrolledSubjs[[#This Row],[CSubjID]], tblClassSubjs[CSubjID],tblClassSubjs[ClassID]),tblClasses[ClassID],tblClasses[STermID])</f>
        <v>1</v>
      </c>
      <c r="T343" t="str">
        <f>LOOKUP(S343,tblSchoolTerms[STermID],tblSchoolTerms[SemesterID]&amp;" Semester "&amp;tblSchoolTerms[SchoolYear])</f>
        <v>2 Semester S.Y. 2018-2019</v>
      </c>
      <c r="W3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3">
        <f t="array" ref="Y343">INDEX(tblEnrolledStuds[EStudID],MATCH(tblEnrolledSubjs[[#This Row],[EStudID]]&amp;S343,tblEnrolledStuds[AdmissionStatusID]&amp;tblEnrolledStuds[StudID],0))</f>
        <v>21</v>
      </c>
    </row>
    <row r="344" spans="2:25" x14ac:dyDescent="0.25">
      <c r="B344">
        <v>342</v>
      </c>
      <c r="C344">
        <v>34</v>
      </c>
      <c r="D344">
        <v>40</v>
      </c>
      <c r="K344" t="e">
        <f>LOOKUP(tblEnrolledSubjs[[#This Row],[EStudID]],#REF!,#REF!)</f>
        <v>#REF!</v>
      </c>
      <c r="L344" t="e">
        <f>LOOKUP(K344,tblStudents[StudID],tblStudents[SchoolIDNo])</f>
        <v>#REF!</v>
      </c>
      <c r="M344" t="e">
        <f t="shared" si="5"/>
        <v>#VALUE!</v>
      </c>
      <c r="P344" t="str">
        <f t="shared" si="6"/>
        <v>(NULL,"34","40"),</v>
      </c>
      <c r="Q344" t="str">
        <f>TextJoin(tblEnrolledSubjs[[#This Row],[CSubjID]:[EStudID]],"Value")</f>
        <v>"34","40"</v>
      </c>
      <c r="S344">
        <f>LOOKUP(LOOKUP(tblEnrolledSubjs[[#This Row],[CSubjID]], tblClassSubjs[CSubjID],tblClassSubjs[ClassID]),tblClasses[ClassID],tblClasses[STermID])</f>
        <v>1</v>
      </c>
      <c r="T344" t="str">
        <f>LOOKUP(S344,tblSchoolTerms[STermID],tblSchoolTerms[SemesterID]&amp;" Semester "&amp;tblSchoolTerms[SchoolYear])</f>
        <v>2 Semester S.Y. 2018-2019</v>
      </c>
      <c r="W3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4" t="e">
        <f t="array" ref="Y344">INDEX(tblEnrolledStuds[EStudID],MATCH(tblEnrolledSubjs[[#This Row],[EStudID]]&amp;S344,tblEnrolledStuds[AdmissionStatusID]&amp;tblEnrolledStuds[StudID],0))</f>
        <v>#N/A</v>
      </c>
    </row>
    <row r="345" spans="2:25" x14ac:dyDescent="0.25">
      <c r="B345">
        <v>343</v>
      </c>
      <c r="C345">
        <v>34</v>
      </c>
      <c r="D345">
        <v>51</v>
      </c>
      <c r="P345" t="str">
        <f t="shared" si="6"/>
        <v>(NULL,"34","51"),</v>
      </c>
      <c r="Q345" t="str">
        <f>TextJoin(tblEnrolledSubjs[[#This Row],[CSubjID]:[EStudID]],"Value")</f>
        <v>"34","51"</v>
      </c>
      <c r="S345">
        <f>LOOKUP(LOOKUP(tblEnrolledSubjs[[#This Row],[CSubjID]], tblClassSubjs[CSubjID],tblClassSubjs[ClassID]),tblClasses[ClassID],tblClasses[STermID])</f>
        <v>1</v>
      </c>
      <c r="T345" t="str">
        <f>LOOKUP(S345,tblSchoolTerms[STermID],tblSchoolTerms[SemesterID]&amp;" Semester "&amp;tblSchoolTerms[SchoolYear])</f>
        <v>2 Semester S.Y. 2018-2019</v>
      </c>
      <c r="W3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5" t="e">
        <f t="array" ref="Y345">INDEX(tblEnrolledStuds[EStudID],MATCH(tblEnrolledSubjs[[#This Row],[EStudID]]&amp;S345,tblEnrolledStuds[AdmissionStatusID]&amp;tblEnrolledStuds[StudID],0))</f>
        <v>#N/A</v>
      </c>
    </row>
    <row r="346" spans="2:25" x14ac:dyDescent="0.25">
      <c r="B346">
        <v>344</v>
      </c>
      <c r="C346">
        <v>34</v>
      </c>
      <c r="D346">
        <v>54</v>
      </c>
      <c r="P346" t="str">
        <f t="shared" si="6"/>
        <v>(NULL,"34","54"),</v>
      </c>
      <c r="Q346" t="str">
        <f>TextJoin(tblEnrolledSubjs[[#This Row],[CSubjID]:[EStudID]],"Value")</f>
        <v>"34","54"</v>
      </c>
      <c r="S346">
        <f>LOOKUP(LOOKUP(tblEnrolledSubjs[[#This Row],[CSubjID]], tblClassSubjs[CSubjID],tblClassSubjs[ClassID]),tblClasses[ClassID],tblClasses[STermID])</f>
        <v>1</v>
      </c>
      <c r="T346" t="str">
        <f>LOOKUP(S346,tblSchoolTerms[STermID],tblSchoolTerms[SemesterID]&amp;" Semester "&amp;tblSchoolTerms[SchoolYear])</f>
        <v>2 Semester S.Y. 2018-2019</v>
      </c>
      <c r="W3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6" t="e">
        <f t="array" ref="Y346">INDEX(tblEnrolledStuds[EStudID],MATCH(tblEnrolledSubjs[[#This Row],[EStudID]]&amp;S346,tblEnrolledStuds[AdmissionStatusID]&amp;tblEnrolledStuds[StudID],0))</f>
        <v>#N/A</v>
      </c>
    </row>
    <row r="347" spans="2:25" x14ac:dyDescent="0.25">
      <c r="B347">
        <v>345</v>
      </c>
      <c r="C347">
        <v>34</v>
      </c>
      <c r="D347">
        <v>20</v>
      </c>
      <c r="P347" t="str">
        <f t="shared" si="6"/>
        <v>(NULL,"34","20"),</v>
      </c>
      <c r="Q347" t="str">
        <f>TextJoin(tblEnrolledSubjs[[#This Row],[CSubjID]:[EStudID]],"Value")</f>
        <v>"34","20"</v>
      </c>
      <c r="S347">
        <f>LOOKUP(LOOKUP(tblEnrolledSubjs[[#This Row],[CSubjID]], tblClassSubjs[CSubjID],tblClassSubjs[ClassID]),tblClasses[ClassID],tblClasses[STermID])</f>
        <v>1</v>
      </c>
      <c r="T347" t="str">
        <f>LOOKUP(S347,tblSchoolTerms[STermID],tblSchoolTerms[SemesterID]&amp;" Semester "&amp;tblSchoolTerms[SchoolYear])</f>
        <v>2 Semester S.Y. 2018-2019</v>
      </c>
      <c r="W3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7" t="e">
        <f t="array" ref="Y347">INDEX(tblEnrolledStuds[EStudID],MATCH(tblEnrolledSubjs[[#This Row],[EStudID]]&amp;S347,tblEnrolledStuds[AdmissionStatusID]&amp;tblEnrolledStuds[StudID],0))</f>
        <v>#N/A</v>
      </c>
    </row>
    <row r="348" spans="2:25" x14ac:dyDescent="0.25">
      <c r="B348">
        <v>346</v>
      </c>
      <c r="C348">
        <v>35</v>
      </c>
      <c r="D348">
        <v>12</v>
      </c>
      <c r="P348" t="str">
        <f t="shared" si="6"/>
        <v>(NULL,"35","12"),</v>
      </c>
      <c r="Q348" t="str">
        <f>TextJoin(tblEnrolledSubjs[[#This Row],[CSubjID]:[EStudID]],"Value")</f>
        <v>"35","12"</v>
      </c>
      <c r="S348">
        <f>LOOKUP(LOOKUP(tblEnrolledSubjs[[#This Row],[CSubjID]], tblClassSubjs[CSubjID],tblClassSubjs[ClassID]),tblClasses[ClassID],tblClasses[STermID])</f>
        <v>1</v>
      </c>
      <c r="T348" t="str">
        <f>LOOKUP(S348,tblSchoolTerms[STermID],tblSchoolTerms[SemesterID]&amp;" Semester "&amp;tblSchoolTerms[SchoolYear])</f>
        <v>2 Semester S.Y. 2018-2019</v>
      </c>
      <c r="W3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8" t="e">
        <f t="array" ref="Y348">INDEX(tblEnrolledStuds[EStudID],MATCH(tblEnrolledSubjs[[#This Row],[EStudID]]&amp;S348,tblEnrolledStuds[AdmissionStatusID]&amp;tblEnrolledStuds[StudID],0))</f>
        <v>#N/A</v>
      </c>
    </row>
    <row r="349" spans="2:25" x14ac:dyDescent="0.25">
      <c r="B349">
        <v>347</v>
      </c>
      <c r="C349">
        <v>35</v>
      </c>
      <c r="D349">
        <v>37</v>
      </c>
      <c r="K349" t="e">
        <f>LOOKUP(tblEnrolledSubjs[[#This Row],[EStudID]],#REF!,#REF!)</f>
        <v>#REF!</v>
      </c>
      <c r="L349" t="e">
        <f>LOOKUP(K349,tblStudents[StudID],tblStudents[SchoolIDNo])</f>
        <v>#REF!</v>
      </c>
      <c r="M349" t="e">
        <f t="shared" si="5"/>
        <v>#VALUE!</v>
      </c>
      <c r="P349" t="str">
        <f t="shared" si="6"/>
        <v>(NULL,"35","37"),</v>
      </c>
      <c r="Q349" t="str">
        <f>TextJoin(tblEnrolledSubjs[[#This Row],[CSubjID]:[EStudID]],"Value")</f>
        <v>"35","37"</v>
      </c>
      <c r="S349">
        <f>LOOKUP(LOOKUP(tblEnrolledSubjs[[#This Row],[CSubjID]], tblClassSubjs[CSubjID],tblClassSubjs[ClassID]),tblClasses[ClassID],tblClasses[STermID])</f>
        <v>1</v>
      </c>
      <c r="T349" t="str">
        <f>LOOKUP(S349,tblSchoolTerms[STermID],tblSchoolTerms[SemesterID]&amp;" Semester "&amp;tblSchoolTerms[SchoolYear])</f>
        <v>2 Semester S.Y. 2018-2019</v>
      </c>
      <c r="W3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49">
        <f t="array" ref="Y349">INDEX(tblEnrolledStuds[EStudID],MATCH(tblEnrolledSubjs[[#This Row],[EStudID]]&amp;S349,tblEnrolledStuds[AdmissionStatusID]&amp;tblEnrolledStuds[StudID],0))</f>
        <v>71</v>
      </c>
    </row>
    <row r="350" spans="2:25" x14ac:dyDescent="0.25">
      <c r="B350">
        <v>348</v>
      </c>
      <c r="C350">
        <v>35</v>
      </c>
      <c r="D350">
        <v>47</v>
      </c>
      <c r="K350" t="e">
        <f>LOOKUP(tblEnrolledSubjs[[#This Row],[EStudID]],#REF!,#REF!)</f>
        <v>#REF!</v>
      </c>
      <c r="L350" t="e">
        <f>LOOKUP(K350,tblStudents[StudID],tblStudents[SchoolIDNo])</f>
        <v>#REF!</v>
      </c>
      <c r="M350" t="e">
        <f t="shared" si="5"/>
        <v>#VALUE!</v>
      </c>
      <c r="P350" t="str">
        <f t="shared" si="6"/>
        <v>(NULL,"35","47"),</v>
      </c>
      <c r="Q350" t="str">
        <f>TextJoin(tblEnrolledSubjs[[#This Row],[CSubjID]:[EStudID]],"Value")</f>
        <v>"35","47"</v>
      </c>
      <c r="S350">
        <f>LOOKUP(LOOKUP(tblEnrolledSubjs[[#This Row],[CSubjID]], tblClassSubjs[CSubjID],tblClassSubjs[ClassID]),tblClasses[ClassID],tblClasses[STermID])</f>
        <v>1</v>
      </c>
      <c r="T350" t="str">
        <f>LOOKUP(S350,tblSchoolTerms[STermID],tblSchoolTerms[SemesterID]&amp;" Semester "&amp;tblSchoolTerms[SchoolYear])</f>
        <v>2 Semester S.Y. 2018-2019</v>
      </c>
      <c r="W3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0" t="e">
        <f t="array" ref="Y350">INDEX(tblEnrolledStuds[EStudID],MATCH(tblEnrolledSubjs[[#This Row],[EStudID]]&amp;S350,tblEnrolledStuds[AdmissionStatusID]&amp;tblEnrolledStuds[StudID],0))</f>
        <v>#N/A</v>
      </c>
    </row>
    <row r="351" spans="2:25" x14ac:dyDescent="0.25">
      <c r="B351">
        <v>349</v>
      </c>
      <c r="C351">
        <v>35</v>
      </c>
      <c r="D351">
        <v>67</v>
      </c>
      <c r="K351" t="e">
        <f>LOOKUP(tblEnrolledSubjs[[#This Row],[EStudID]],#REF!,#REF!)</f>
        <v>#REF!</v>
      </c>
      <c r="L351" t="e">
        <f>LOOKUP(K351,tblStudents[StudID],tblStudents[SchoolIDNo])</f>
        <v>#REF!</v>
      </c>
      <c r="M351" t="e">
        <f t="shared" si="5"/>
        <v>#VALUE!</v>
      </c>
      <c r="P351" t="str">
        <f t="shared" si="6"/>
        <v>(NULL,"35","67"),</v>
      </c>
      <c r="Q351" t="str">
        <f>TextJoin(tblEnrolledSubjs[[#This Row],[CSubjID]:[EStudID]],"Value")</f>
        <v>"35","67"</v>
      </c>
      <c r="S351">
        <f>LOOKUP(LOOKUP(tblEnrolledSubjs[[#This Row],[CSubjID]], tblClassSubjs[CSubjID],tblClassSubjs[ClassID]),tblClasses[ClassID],tblClasses[STermID])</f>
        <v>1</v>
      </c>
      <c r="T351" t="str">
        <f>LOOKUP(S351,tblSchoolTerms[STermID],tblSchoolTerms[SemesterID]&amp;" Semester "&amp;tblSchoolTerms[SchoolYear])</f>
        <v>2 Semester S.Y. 2018-2019</v>
      </c>
      <c r="W3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1" t="e">
        <f t="array" ref="Y351">INDEX(tblEnrolledStuds[EStudID],MATCH(tblEnrolledSubjs[[#This Row],[EStudID]]&amp;S351,tblEnrolledStuds[AdmissionStatusID]&amp;tblEnrolledStuds[StudID],0))</f>
        <v>#N/A</v>
      </c>
    </row>
    <row r="352" spans="2:25" x14ac:dyDescent="0.25">
      <c r="B352">
        <v>350</v>
      </c>
      <c r="C352">
        <v>35</v>
      </c>
      <c r="D352">
        <v>70</v>
      </c>
      <c r="K352" t="e">
        <f>LOOKUP(tblEnrolledSubjs[[#This Row],[EStudID]],#REF!,#REF!)</f>
        <v>#REF!</v>
      </c>
      <c r="L352" t="e">
        <f>LOOKUP(K352,tblStudents[StudID],tblStudents[SchoolIDNo])</f>
        <v>#REF!</v>
      </c>
      <c r="M352" t="e">
        <f t="shared" si="5"/>
        <v>#VALUE!</v>
      </c>
      <c r="P352" t="str">
        <f t="shared" si="6"/>
        <v>(NULL,"35","70"),</v>
      </c>
      <c r="Q352" t="str">
        <f>TextJoin(tblEnrolledSubjs[[#This Row],[CSubjID]:[EStudID]],"Value")</f>
        <v>"35","70"</v>
      </c>
      <c r="S352">
        <f>LOOKUP(LOOKUP(tblEnrolledSubjs[[#This Row],[CSubjID]], tblClassSubjs[CSubjID],tblClassSubjs[ClassID]),tblClasses[ClassID],tblClasses[STermID])</f>
        <v>1</v>
      </c>
      <c r="T352" t="str">
        <f>LOOKUP(S352,tblSchoolTerms[STermID],tblSchoolTerms[SemesterID]&amp;" Semester "&amp;tblSchoolTerms[SchoolYear])</f>
        <v>2 Semester S.Y. 2018-2019</v>
      </c>
      <c r="W3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2" t="e">
        <f t="array" ref="Y352">INDEX(tblEnrolledStuds[EStudID],MATCH(tblEnrolledSubjs[[#This Row],[EStudID]]&amp;S352,tblEnrolledStuds[AdmissionStatusID]&amp;tblEnrolledStuds[StudID],0))</f>
        <v>#N/A</v>
      </c>
    </row>
    <row r="353" spans="2:25" x14ac:dyDescent="0.25">
      <c r="B353">
        <v>351</v>
      </c>
      <c r="C353">
        <v>35</v>
      </c>
      <c r="D353">
        <v>71</v>
      </c>
      <c r="K353" t="e">
        <f>LOOKUP(tblEnrolledSubjs[[#This Row],[EStudID]],#REF!,#REF!)</f>
        <v>#REF!</v>
      </c>
      <c r="L353" t="e">
        <f>LOOKUP(K353,tblStudents[StudID],tblStudents[SchoolIDNo])</f>
        <v>#REF!</v>
      </c>
      <c r="M353" t="e">
        <f t="shared" si="5"/>
        <v>#VALUE!</v>
      </c>
      <c r="P353" t="str">
        <f t="shared" si="6"/>
        <v>(NULL,"35","71"),</v>
      </c>
      <c r="Q353" t="str">
        <f>TextJoin(tblEnrolledSubjs[[#This Row],[CSubjID]:[EStudID]],"Value")</f>
        <v>"35","71"</v>
      </c>
      <c r="S353">
        <f>LOOKUP(LOOKUP(tblEnrolledSubjs[[#This Row],[CSubjID]], tblClassSubjs[CSubjID],tblClassSubjs[ClassID]),tblClasses[ClassID],tblClasses[STermID])</f>
        <v>1</v>
      </c>
      <c r="T353" t="str">
        <f>LOOKUP(S353,tblSchoolTerms[STermID],tblSchoolTerms[SemesterID]&amp;" Semester "&amp;tblSchoolTerms[SchoolYear])</f>
        <v>2 Semester S.Y. 2018-2019</v>
      </c>
      <c r="W3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3" t="e">
        <f t="array" ref="Y353">INDEX(tblEnrolledStuds[EStudID],MATCH(tblEnrolledSubjs[[#This Row],[EStudID]]&amp;S353,tblEnrolledStuds[AdmissionStatusID]&amp;tblEnrolledStuds[StudID],0))</f>
        <v>#N/A</v>
      </c>
    </row>
    <row r="354" spans="2:25" x14ac:dyDescent="0.25">
      <c r="B354">
        <v>352</v>
      </c>
      <c r="C354">
        <v>36</v>
      </c>
      <c r="D354">
        <v>12</v>
      </c>
      <c r="K354" t="e">
        <f>LOOKUP(tblEnrolledSubjs[[#This Row],[EStudID]],#REF!,#REF!)</f>
        <v>#REF!</v>
      </c>
      <c r="L354" t="e">
        <f>LOOKUP(K354,tblStudents[StudID],tblStudents[SchoolIDNo])</f>
        <v>#REF!</v>
      </c>
      <c r="M354" t="e">
        <f t="shared" si="5"/>
        <v>#VALUE!</v>
      </c>
      <c r="P354" t="str">
        <f t="shared" si="6"/>
        <v>(NULL,"36","12"),</v>
      </c>
      <c r="Q354" t="str">
        <f>TextJoin(tblEnrolledSubjs[[#This Row],[CSubjID]:[EStudID]],"Value")</f>
        <v>"36","12"</v>
      </c>
      <c r="S354">
        <f>LOOKUP(LOOKUP(tblEnrolledSubjs[[#This Row],[CSubjID]], tblClassSubjs[CSubjID],tblClassSubjs[ClassID]),tblClasses[ClassID],tblClasses[STermID])</f>
        <v>1</v>
      </c>
      <c r="T354" t="str">
        <f>LOOKUP(S354,tblSchoolTerms[STermID],tblSchoolTerms[SemesterID]&amp;" Semester "&amp;tblSchoolTerms[SchoolYear])</f>
        <v>2 Semester S.Y. 2018-2019</v>
      </c>
      <c r="W3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4" t="e">
        <f t="array" ref="Y354">INDEX(tblEnrolledStuds[EStudID],MATCH(tblEnrolledSubjs[[#This Row],[EStudID]]&amp;S354,tblEnrolledStuds[AdmissionStatusID]&amp;tblEnrolledStuds[StudID],0))</f>
        <v>#N/A</v>
      </c>
    </row>
    <row r="355" spans="2:25" x14ac:dyDescent="0.25">
      <c r="B355">
        <v>353</v>
      </c>
      <c r="C355">
        <v>36</v>
      </c>
      <c r="D355">
        <v>4</v>
      </c>
      <c r="P355" t="str">
        <f t="shared" si="6"/>
        <v>(NULL,"36","4"),</v>
      </c>
      <c r="Q355" t="str">
        <f>TextJoin(tblEnrolledSubjs[[#This Row],[CSubjID]:[EStudID]],"Value")</f>
        <v>"36","4"</v>
      </c>
      <c r="S355">
        <f>LOOKUP(LOOKUP(tblEnrolledSubjs[[#This Row],[CSubjID]], tblClassSubjs[CSubjID],tblClassSubjs[ClassID]),tblClasses[ClassID],tblClasses[STermID])</f>
        <v>1</v>
      </c>
      <c r="T355" t="str">
        <f>LOOKUP(S355,tblSchoolTerms[STermID],tblSchoolTerms[SemesterID]&amp;" Semester "&amp;tblSchoolTerms[SchoolYear])</f>
        <v>2 Semester S.Y. 2018-2019</v>
      </c>
      <c r="W3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5" t="e">
        <f t="array" ref="Y355">INDEX(tblEnrolledStuds[EStudID],MATCH(tblEnrolledSubjs[[#This Row],[EStudID]]&amp;S355,tblEnrolledStuds[AdmissionStatusID]&amp;tblEnrolledStuds[StudID],0))</f>
        <v>#N/A</v>
      </c>
    </row>
    <row r="356" spans="2:25" x14ac:dyDescent="0.25">
      <c r="B356">
        <v>354</v>
      </c>
      <c r="C356">
        <v>36</v>
      </c>
      <c r="D356">
        <v>30</v>
      </c>
      <c r="K356" t="e">
        <f>LOOKUP(tblEnrolledSubjs[[#This Row],[EStudID]],#REF!,#REF!)</f>
        <v>#REF!</v>
      </c>
      <c r="L356" t="e">
        <f>LOOKUP(K356,tblStudents[StudID],tblStudents[SchoolIDNo])</f>
        <v>#REF!</v>
      </c>
      <c r="M356" t="e">
        <f t="shared" ref="M356:M421" si="7">LOWER(MD5_string((L356)))</f>
        <v>#VALUE!</v>
      </c>
      <c r="P356" t="str">
        <f t="shared" si="6"/>
        <v>(NULL,"36","30"),</v>
      </c>
      <c r="Q356" t="str">
        <f>TextJoin(tblEnrolledSubjs[[#This Row],[CSubjID]:[EStudID]],"Value")</f>
        <v>"36","30"</v>
      </c>
      <c r="S356">
        <f>LOOKUP(LOOKUP(tblEnrolledSubjs[[#This Row],[CSubjID]], tblClassSubjs[CSubjID],tblClassSubjs[ClassID]),tblClasses[ClassID],tblClasses[STermID])</f>
        <v>1</v>
      </c>
      <c r="T356" t="str">
        <f>LOOKUP(S356,tblSchoolTerms[STermID],tblSchoolTerms[SemesterID]&amp;" Semester "&amp;tblSchoolTerms[SchoolYear])</f>
        <v>2 Semester S.Y. 2018-2019</v>
      </c>
      <c r="W3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6" t="e">
        <f t="array" ref="Y356">INDEX(tblEnrolledStuds[EStudID],MATCH(tblEnrolledSubjs[[#This Row],[EStudID]]&amp;S356,tblEnrolledStuds[AdmissionStatusID]&amp;tblEnrolledStuds[StudID],0))</f>
        <v>#N/A</v>
      </c>
    </row>
    <row r="357" spans="2:25" x14ac:dyDescent="0.25">
      <c r="B357">
        <v>355</v>
      </c>
      <c r="C357">
        <v>36</v>
      </c>
      <c r="D357">
        <v>38</v>
      </c>
      <c r="K357" t="e">
        <f>LOOKUP(tblEnrolledSubjs[[#This Row],[EStudID]],#REF!,#REF!)</f>
        <v>#REF!</v>
      </c>
      <c r="L357" t="e">
        <f>LOOKUP(K357,tblStudents[StudID],tblStudents[SchoolIDNo])</f>
        <v>#REF!</v>
      </c>
      <c r="M357" t="e">
        <f t="shared" si="7"/>
        <v>#VALUE!</v>
      </c>
      <c r="P357" t="str">
        <f t="shared" si="6"/>
        <v>(NULL,"36","38"),</v>
      </c>
      <c r="Q357" t="str">
        <f>TextJoin(tblEnrolledSubjs[[#This Row],[CSubjID]:[EStudID]],"Value")</f>
        <v>"36","38"</v>
      </c>
      <c r="S357">
        <f>LOOKUP(LOOKUP(tblEnrolledSubjs[[#This Row],[CSubjID]], tblClassSubjs[CSubjID],tblClassSubjs[ClassID]),tblClasses[ClassID],tblClasses[STermID])</f>
        <v>1</v>
      </c>
      <c r="T357" t="str">
        <f>LOOKUP(S357,tblSchoolTerms[STermID],tblSchoolTerms[SemesterID]&amp;" Semester "&amp;tblSchoolTerms[SchoolYear])</f>
        <v>2 Semester S.Y. 2018-2019</v>
      </c>
      <c r="W3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7" t="e">
        <f t="array" ref="Y357">INDEX(tblEnrolledStuds[EStudID],MATCH(tblEnrolledSubjs[[#This Row],[EStudID]]&amp;S357,tblEnrolledStuds[AdmissionStatusID]&amp;tblEnrolledStuds[StudID],0))</f>
        <v>#N/A</v>
      </c>
    </row>
    <row r="358" spans="2:25" x14ac:dyDescent="0.25">
      <c r="B358">
        <v>356</v>
      </c>
      <c r="C358">
        <v>36</v>
      </c>
      <c r="D358">
        <v>42</v>
      </c>
      <c r="K358" t="e">
        <f>LOOKUP(tblEnrolledSubjs[[#This Row],[EStudID]],#REF!,#REF!)</f>
        <v>#REF!</v>
      </c>
      <c r="L358" t="e">
        <f>LOOKUP(K358,tblStudents[StudID],tblStudents[SchoolIDNo])</f>
        <v>#REF!</v>
      </c>
      <c r="M358" t="e">
        <f t="shared" si="7"/>
        <v>#VALUE!</v>
      </c>
      <c r="P358" t="str">
        <f t="shared" si="6"/>
        <v>(NULL,"36","42"),</v>
      </c>
      <c r="Q358" t="str">
        <f>TextJoin(tblEnrolledSubjs[[#This Row],[CSubjID]:[EStudID]],"Value")</f>
        <v>"36","42"</v>
      </c>
      <c r="S358">
        <f>LOOKUP(LOOKUP(tblEnrolledSubjs[[#This Row],[CSubjID]], tblClassSubjs[CSubjID],tblClassSubjs[ClassID]),tblClasses[ClassID],tblClasses[STermID])</f>
        <v>1</v>
      </c>
      <c r="T358" t="str">
        <f>LOOKUP(S358,tblSchoolTerms[STermID],tblSchoolTerms[SemesterID]&amp;" Semester "&amp;tblSchoolTerms[SchoolYear])</f>
        <v>2 Semester S.Y. 2018-2019</v>
      </c>
      <c r="W3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8" t="e">
        <f t="array" ref="Y358">INDEX(tblEnrolledStuds[EStudID],MATCH(tblEnrolledSubjs[[#This Row],[EStudID]]&amp;S358,tblEnrolledStuds[AdmissionStatusID]&amp;tblEnrolledStuds[StudID],0))</f>
        <v>#N/A</v>
      </c>
    </row>
    <row r="359" spans="2:25" x14ac:dyDescent="0.25">
      <c r="B359">
        <v>357</v>
      </c>
      <c r="C359">
        <v>37</v>
      </c>
      <c r="D359">
        <v>1</v>
      </c>
      <c r="P359" t="str">
        <f t="shared" si="6"/>
        <v>(NULL,"37","1"),</v>
      </c>
      <c r="Q359" t="str">
        <f>TextJoin(tblEnrolledSubjs[[#This Row],[CSubjID]:[EStudID]],"Value")</f>
        <v>"37","1"</v>
      </c>
      <c r="S359">
        <f>LOOKUP(LOOKUP(tblEnrolledSubjs[[#This Row],[CSubjID]], tblClassSubjs[CSubjID],tblClassSubjs[ClassID]),tblClasses[ClassID],tblClasses[STermID])</f>
        <v>1</v>
      </c>
      <c r="T359" t="str">
        <f>LOOKUP(S359,tblSchoolTerms[STermID],tblSchoolTerms[SemesterID]&amp;" Semester "&amp;tblSchoolTerms[SchoolYear])</f>
        <v>2 Semester S.Y. 2018-2019</v>
      </c>
      <c r="W3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59" t="e">
        <f t="array" ref="Y359">INDEX(tblEnrolledStuds[EStudID],MATCH(tblEnrolledSubjs[[#This Row],[EStudID]]&amp;S359,tblEnrolledStuds[AdmissionStatusID]&amp;tblEnrolledStuds[StudID],0))</f>
        <v>#N/A</v>
      </c>
    </row>
    <row r="360" spans="2:25" x14ac:dyDescent="0.25">
      <c r="B360">
        <v>358</v>
      </c>
      <c r="C360">
        <v>37</v>
      </c>
      <c r="D360">
        <v>3</v>
      </c>
      <c r="P360" t="str">
        <f t="shared" si="6"/>
        <v>(NULL,"37","3"),</v>
      </c>
      <c r="Q360" t="str">
        <f>TextJoin(tblEnrolledSubjs[[#This Row],[CSubjID]:[EStudID]],"Value")</f>
        <v>"37","3"</v>
      </c>
      <c r="S360">
        <f>LOOKUP(LOOKUP(tblEnrolledSubjs[[#This Row],[CSubjID]], tblClassSubjs[CSubjID],tblClassSubjs[ClassID]),tblClasses[ClassID],tblClasses[STermID])</f>
        <v>1</v>
      </c>
      <c r="T360" t="str">
        <f>LOOKUP(S360,tblSchoolTerms[STermID],tblSchoolTerms[SemesterID]&amp;" Semester "&amp;tblSchoolTerms[SchoolYear])</f>
        <v>2 Semester S.Y. 2018-2019</v>
      </c>
      <c r="W3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0">
        <f t="array" ref="Y360">INDEX(tblEnrolledStuds[EStudID],MATCH(tblEnrolledSubjs[[#This Row],[EStudID]]&amp;S360,tblEnrolledStuds[AdmissionStatusID]&amp;tblEnrolledStuds[StudID],0))</f>
        <v>1</v>
      </c>
    </row>
    <row r="361" spans="2:25" x14ac:dyDescent="0.25">
      <c r="B361">
        <v>359</v>
      </c>
      <c r="C361">
        <v>37</v>
      </c>
      <c r="D361">
        <v>7</v>
      </c>
      <c r="K361" t="e">
        <f>LOOKUP(tblEnrolledSubjs[[#This Row],[EStudID]],#REF!,#REF!)</f>
        <v>#REF!</v>
      </c>
      <c r="L361" t="e">
        <f>LOOKUP(K361,tblStudents[StudID],tblStudents[SchoolIDNo])</f>
        <v>#REF!</v>
      </c>
      <c r="M361" t="e">
        <f t="shared" si="7"/>
        <v>#VALUE!</v>
      </c>
      <c r="P361" t="str">
        <f t="shared" si="6"/>
        <v>(NULL,"37","7"),</v>
      </c>
      <c r="Q361" t="str">
        <f>TextJoin(tblEnrolledSubjs[[#This Row],[CSubjID]:[EStudID]],"Value")</f>
        <v>"37","7"</v>
      </c>
      <c r="S361">
        <f>LOOKUP(LOOKUP(tblEnrolledSubjs[[#This Row],[CSubjID]], tblClassSubjs[CSubjID],tblClassSubjs[ClassID]),tblClasses[ClassID],tblClasses[STermID])</f>
        <v>1</v>
      </c>
      <c r="T361" t="str">
        <f>LOOKUP(S361,tblSchoolTerms[STermID],tblSchoolTerms[SemesterID]&amp;" Semester "&amp;tblSchoolTerms[SchoolYear])</f>
        <v>2 Semester S.Y. 2018-2019</v>
      </c>
      <c r="W3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1" t="e">
        <f t="array" ref="Y361">INDEX(tblEnrolledStuds[EStudID],MATCH(tblEnrolledSubjs[[#This Row],[EStudID]]&amp;S361,tblEnrolledStuds[AdmissionStatusID]&amp;tblEnrolledStuds[StudID],0))</f>
        <v>#N/A</v>
      </c>
    </row>
    <row r="362" spans="2:25" x14ac:dyDescent="0.25">
      <c r="B362">
        <v>360</v>
      </c>
      <c r="C362">
        <v>37</v>
      </c>
      <c r="D362">
        <v>16</v>
      </c>
      <c r="K362" t="e">
        <f>LOOKUP(tblEnrolledSubjs[[#This Row],[EStudID]],#REF!,#REF!)</f>
        <v>#REF!</v>
      </c>
      <c r="L362" t="e">
        <f>LOOKUP(K362,tblStudents[StudID],tblStudents[SchoolIDNo])</f>
        <v>#REF!</v>
      </c>
      <c r="M362" t="e">
        <f t="shared" si="7"/>
        <v>#VALUE!</v>
      </c>
      <c r="P362" t="str">
        <f t="shared" si="6"/>
        <v>(NULL,"37","16"),</v>
      </c>
      <c r="Q362" t="str">
        <f>TextJoin(tblEnrolledSubjs[[#This Row],[CSubjID]:[EStudID]],"Value")</f>
        <v>"37","16"</v>
      </c>
      <c r="S362">
        <f>LOOKUP(LOOKUP(tblEnrolledSubjs[[#This Row],[CSubjID]], tblClassSubjs[CSubjID],tblClassSubjs[ClassID]),tblClasses[ClassID],tblClasses[STermID])</f>
        <v>1</v>
      </c>
      <c r="T362" t="str">
        <f>LOOKUP(S362,tblSchoolTerms[STermID],tblSchoolTerms[SemesterID]&amp;" Semester "&amp;tblSchoolTerms[SchoolYear])</f>
        <v>2 Semester S.Y. 2018-2019</v>
      </c>
      <c r="W3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2" t="e">
        <f t="array" ref="Y362">INDEX(tblEnrolledStuds[EStudID],MATCH(tblEnrolledSubjs[[#This Row],[EStudID]]&amp;S362,tblEnrolledStuds[AdmissionStatusID]&amp;tblEnrolledStuds[StudID],0))</f>
        <v>#N/A</v>
      </c>
    </row>
    <row r="363" spans="2:25" x14ac:dyDescent="0.25">
      <c r="B363">
        <v>361</v>
      </c>
      <c r="C363">
        <v>37</v>
      </c>
      <c r="D363">
        <v>19</v>
      </c>
      <c r="K363" t="e">
        <f>LOOKUP(tblEnrolledSubjs[[#This Row],[EStudID]],#REF!,#REF!)</f>
        <v>#REF!</v>
      </c>
      <c r="L363" t="e">
        <f>LOOKUP(K363,tblStudents[StudID],tblStudents[SchoolIDNo])</f>
        <v>#REF!</v>
      </c>
      <c r="M363" t="e">
        <f t="shared" si="7"/>
        <v>#VALUE!</v>
      </c>
      <c r="P363" t="str">
        <f t="shared" si="6"/>
        <v>(NULL,"37","19"),</v>
      </c>
      <c r="Q363" t="str">
        <f>TextJoin(tblEnrolledSubjs[[#This Row],[CSubjID]:[EStudID]],"Value")</f>
        <v>"37","19"</v>
      </c>
      <c r="S363">
        <f>LOOKUP(LOOKUP(tblEnrolledSubjs[[#This Row],[CSubjID]], tblClassSubjs[CSubjID],tblClassSubjs[ClassID]),tblClasses[ClassID],tblClasses[STermID])</f>
        <v>1</v>
      </c>
      <c r="T363" t="str">
        <f>LOOKUP(S363,tblSchoolTerms[STermID],tblSchoolTerms[SemesterID]&amp;" Semester "&amp;tblSchoolTerms[SchoolYear])</f>
        <v>2 Semester S.Y. 2018-2019</v>
      </c>
      <c r="W3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3" t="e">
        <f t="array" ref="Y363">INDEX(tblEnrolledStuds[EStudID],MATCH(tblEnrolledSubjs[[#This Row],[EStudID]]&amp;S363,tblEnrolledStuds[AdmissionStatusID]&amp;tblEnrolledStuds[StudID],0))</f>
        <v>#N/A</v>
      </c>
    </row>
    <row r="364" spans="2:25" x14ac:dyDescent="0.25">
      <c r="B364">
        <v>362</v>
      </c>
      <c r="C364">
        <v>37</v>
      </c>
      <c r="D364">
        <v>32</v>
      </c>
      <c r="K364" t="e">
        <f>LOOKUP(tblEnrolledSubjs[[#This Row],[EStudID]],#REF!,#REF!)</f>
        <v>#REF!</v>
      </c>
      <c r="L364" t="e">
        <f>LOOKUP(K364,tblStudents[StudID],tblStudents[SchoolIDNo])</f>
        <v>#REF!</v>
      </c>
      <c r="M364" t="e">
        <f t="shared" si="7"/>
        <v>#VALUE!</v>
      </c>
      <c r="P364" t="str">
        <f t="shared" si="6"/>
        <v>(NULL,"37","32"),</v>
      </c>
      <c r="Q364" t="str">
        <f>TextJoin(tblEnrolledSubjs[[#This Row],[CSubjID]:[EStudID]],"Value")</f>
        <v>"37","32"</v>
      </c>
      <c r="S364">
        <f>LOOKUP(LOOKUP(tblEnrolledSubjs[[#This Row],[CSubjID]], tblClassSubjs[CSubjID],tblClassSubjs[ClassID]),tblClasses[ClassID],tblClasses[STermID])</f>
        <v>1</v>
      </c>
      <c r="T364" t="str">
        <f>LOOKUP(S364,tblSchoolTerms[STermID],tblSchoolTerms[SemesterID]&amp;" Semester "&amp;tblSchoolTerms[SchoolYear])</f>
        <v>2 Semester S.Y. 2018-2019</v>
      </c>
      <c r="W3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4">
        <f t="array" ref="Y364">INDEX(tblEnrolledStuds[EStudID],MATCH(tblEnrolledSubjs[[#This Row],[EStudID]]&amp;S364,tblEnrolledStuds[AdmissionStatusID]&amp;tblEnrolledStuds[StudID],0))</f>
        <v>21</v>
      </c>
    </row>
    <row r="365" spans="2:25" x14ac:dyDescent="0.25">
      <c r="B365">
        <v>363</v>
      </c>
      <c r="C365">
        <v>37</v>
      </c>
      <c r="D365">
        <v>40</v>
      </c>
      <c r="K365" t="e">
        <f>LOOKUP(tblEnrolledSubjs[[#This Row],[EStudID]],#REF!,#REF!)</f>
        <v>#REF!</v>
      </c>
      <c r="L365" t="e">
        <f>LOOKUP(K365,tblStudents[StudID],tblStudents[SchoolIDNo])</f>
        <v>#REF!</v>
      </c>
      <c r="M365" t="e">
        <f t="shared" si="7"/>
        <v>#VALUE!</v>
      </c>
      <c r="P365" t="str">
        <f t="shared" si="6"/>
        <v>(NULL,"37","40"),</v>
      </c>
      <c r="Q365" t="str">
        <f>TextJoin(tblEnrolledSubjs[[#This Row],[CSubjID]:[EStudID]],"Value")</f>
        <v>"37","40"</v>
      </c>
      <c r="S365">
        <f>LOOKUP(LOOKUP(tblEnrolledSubjs[[#This Row],[CSubjID]], tblClassSubjs[CSubjID],tblClassSubjs[ClassID]),tblClasses[ClassID],tblClasses[STermID])</f>
        <v>1</v>
      </c>
      <c r="T365" t="str">
        <f>LOOKUP(S365,tblSchoolTerms[STermID],tblSchoolTerms[SemesterID]&amp;" Semester "&amp;tblSchoolTerms[SchoolYear])</f>
        <v>2 Semester S.Y. 2018-2019</v>
      </c>
      <c r="W3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5" t="e">
        <f t="array" ref="Y365">INDEX(tblEnrolledStuds[EStudID],MATCH(tblEnrolledSubjs[[#This Row],[EStudID]]&amp;S365,tblEnrolledStuds[AdmissionStatusID]&amp;tblEnrolledStuds[StudID],0))</f>
        <v>#N/A</v>
      </c>
    </row>
    <row r="366" spans="2:25" x14ac:dyDescent="0.25">
      <c r="B366">
        <v>364</v>
      </c>
      <c r="C366">
        <v>37</v>
      </c>
      <c r="D366">
        <v>51</v>
      </c>
      <c r="P366" t="str">
        <f t="shared" si="6"/>
        <v>(NULL,"37","51"),</v>
      </c>
      <c r="Q366" t="str">
        <f>TextJoin(tblEnrolledSubjs[[#This Row],[CSubjID]:[EStudID]],"Value")</f>
        <v>"37","51"</v>
      </c>
      <c r="S366">
        <f>LOOKUP(LOOKUP(tblEnrolledSubjs[[#This Row],[CSubjID]], tblClassSubjs[CSubjID],tblClassSubjs[ClassID]),tblClasses[ClassID],tblClasses[STermID])</f>
        <v>1</v>
      </c>
      <c r="T366" t="str">
        <f>LOOKUP(S366,tblSchoolTerms[STermID],tblSchoolTerms[SemesterID]&amp;" Semester "&amp;tblSchoolTerms[SchoolYear])</f>
        <v>2 Semester S.Y. 2018-2019</v>
      </c>
      <c r="W3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6" t="e">
        <f t="array" ref="Y366">INDEX(tblEnrolledStuds[EStudID],MATCH(tblEnrolledSubjs[[#This Row],[EStudID]]&amp;S366,tblEnrolledStuds[AdmissionStatusID]&amp;tblEnrolledStuds[StudID],0))</f>
        <v>#N/A</v>
      </c>
    </row>
    <row r="367" spans="2:25" x14ac:dyDescent="0.25">
      <c r="B367">
        <v>365</v>
      </c>
      <c r="C367">
        <v>37</v>
      </c>
      <c r="D367">
        <v>54</v>
      </c>
      <c r="K367" t="e">
        <f>LOOKUP(tblEnrolledSubjs[[#This Row],[EStudID]],#REF!,#REF!)</f>
        <v>#REF!</v>
      </c>
      <c r="L367" t="e">
        <f>LOOKUP(K367,tblStudents[StudID],tblStudents[SchoolIDNo])</f>
        <v>#REF!</v>
      </c>
      <c r="M367" t="e">
        <f t="shared" si="7"/>
        <v>#VALUE!</v>
      </c>
      <c r="P367" t="str">
        <f t="shared" si="6"/>
        <v>(NULL,"37","54"),</v>
      </c>
      <c r="Q367" t="str">
        <f>TextJoin(tblEnrolledSubjs[[#This Row],[CSubjID]:[EStudID]],"Value")</f>
        <v>"37","54"</v>
      </c>
      <c r="S367">
        <f>LOOKUP(LOOKUP(tblEnrolledSubjs[[#This Row],[CSubjID]], tblClassSubjs[CSubjID],tblClassSubjs[ClassID]),tblClasses[ClassID],tblClasses[STermID])</f>
        <v>1</v>
      </c>
      <c r="T367" t="str">
        <f>LOOKUP(S367,tblSchoolTerms[STermID],tblSchoolTerms[SemesterID]&amp;" Semester "&amp;tblSchoolTerms[SchoolYear])</f>
        <v>2 Semester S.Y. 2018-2019</v>
      </c>
      <c r="W3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7" t="e">
        <f t="array" ref="Y367">INDEX(tblEnrolledStuds[EStudID],MATCH(tblEnrolledSubjs[[#This Row],[EStudID]]&amp;S367,tblEnrolledStuds[AdmissionStatusID]&amp;tblEnrolledStuds[StudID],0))</f>
        <v>#N/A</v>
      </c>
    </row>
    <row r="368" spans="2:25" x14ac:dyDescent="0.25">
      <c r="B368">
        <v>366</v>
      </c>
      <c r="C368">
        <v>37</v>
      </c>
      <c r="D368">
        <v>29</v>
      </c>
      <c r="K368" t="e">
        <f>LOOKUP(tblEnrolledSubjs[[#This Row],[EStudID]],#REF!,#REF!)</f>
        <v>#REF!</v>
      </c>
      <c r="L368" t="e">
        <f>LOOKUP(K368,tblStudents[StudID],tblStudents[SchoolIDNo])</f>
        <v>#REF!</v>
      </c>
      <c r="M368" t="e">
        <f t="shared" si="7"/>
        <v>#VALUE!</v>
      </c>
      <c r="P368" t="str">
        <f t="shared" si="6"/>
        <v>(NULL,"37","29"),</v>
      </c>
      <c r="Q368" t="str">
        <f>TextJoin(tblEnrolledSubjs[[#This Row],[CSubjID]:[EStudID]],"Value")</f>
        <v>"37","29"</v>
      </c>
      <c r="S368">
        <f>LOOKUP(LOOKUP(tblEnrolledSubjs[[#This Row],[CSubjID]], tblClassSubjs[CSubjID],tblClassSubjs[ClassID]),tblClasses[ClassID],tblClasses[STermID])</f>
        <v>1</v>
      </c>
      <c r="T368" t="str">
        <f>LOOKUP(S368,tblSchoolTerms[STermID],tblSchoolTerms[SemesterID]&amp;" Semester "&amp;tblSchoolTerms[SchoolYear])</f>
        <v>2 Semester S.Y. 2018-2019</v>
      </c>
      <c r="W3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8" t="e">
        <f t="array" ref="Y368">INDEX(tblEnrolledStuds[EStudID],MATCH(tblEnrolledSubjs[[#This Row],[EStudID]]&amp;S368,tblEnrolledStuds[AdmissionStatusID]&amp;tblEnrolledStuds[StudID],0))</f>
        <v>#N/A</v>
      </c>
    </row>
    <row r="369" spans="2:25" x14ac:dyDescent="0.25">
      <c r="B369">
        <v>367</v>
      </c>
      <c r="C369">
        <v>37</v>
      </c>
      <c r="D369">
        <v>34</v>
      </c>
      <c r="K369" t="e">
        <f>LOOKUP(tblEnrolledSubjs[[#This Row],[EStudID]],#REF!,#REF!)</f>
        <v>#REF!</v>
      </c>
      <c r="L369" t="e">
        <f>LOOKUP(K369,tblStudents[StudID],tblStudents[SchoolIDNo])</f>
        <v>#REF!</v>
      </c>
      <c r="M369" t="e">
        <f t="shared" si="7"/>
        <v>#VALUE!</v>
      </c>
      <c r="P369" t="str">
        <f t="shared" si="6"/>
        <v>(NULL,"37","34"),</v>
      </c>
      <c r="Q369" t="str">
        <f>TextJoin(tblEnrolledSubjs[[#This Row],[CSubjID]:[EStudID]],"Value")</f>
        <v>"37","34"</v>
      </c>
      <c r="S369">
        <f>LOOKUP(LOOKUP(tblEnrolledSubjs[[#This Row],[CSubjID]], tblClassSubjs[CSubjID],tblClassSubjs[ClassID]),tblClasses[ClassID],tblClasses[STermID])</f>
        <v>1</v>
      </c>
      <c r="T369" t="str">
        <f>LOOKUP(S369,tblSchoolTerms[STermID],tblSchoolTerms[SemesterID]&amp;" Semester "&amp;tblSchoolTerms[SchoolYear])</f>
        <v>2 Semester S.Y. 2018-2019</v>
      </c>
      <c r="W3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69">
        <f t="array" ref="Y369">INDEX(tblEnrolledStuds[EStudID],MATCH(tblEnrolledSubjs[[#This Row],[EStudID]]&amp;S369,tblEnrolledStuds[AdmissionStatusID]&amp;tblEnrolledStuds[StudID],0))</f>
        <v>41</v>
      </c>
    </row>
    <row r="370" spans="2:25" x14ac:dyDescent="0.25">
      <c r="B370">
        <v>368</v>
      </c>
      <c r="C370">
        <v>37</v>
      </c>
      <c r="D370">
        <v>20</v>
      </c>
      <c r="K370" t="e">
        <f>LOOKUP(tblEnrolledSubjs[[#This Row],[EStudID]],#REF!,#REF!)</f>
        <v>#REF!</v>
      </c>
      <c r="L370" t="e">
        <f>LOOKUP(K370,tblStudents[StudID],tblStudents[SchoolIDNo])</f>
        <v>#REF!</v>
      </c>
      <c r="M370" t="e">
        <f t="shared" si="7"/>
        <v>#VALUE!</v>
      </c>
      <c r="P370" t="str">
        <f t="shared" si="6"/>
        <v>(NULL,"37","20"),</v>
      </c>
      <c r="Q370" t="str">
        <f>TextJoin(tblEnrolledSubjs[[#This Row],[CSubjID]:[EStudID]],"Value")</f>
        <v>"37","20"</v>
      </c>
      <c r="S370">
        <f>LOOKUP(LOOKUP(tblEnrolledSubjs[[#This Row],[CSubjID]], tblClassSubjs[CSubjID],tblClassSubjs[ClassID]),tblClasses[ClassID],tblClasses[STermID])</f>
        <v>1</v>
      </c>
      <c r="T370" t="str">
        <f>LOOKUP(S370,tblSchoolTerms[STermID],tblSchoolTerms[SemesterID]&amp;" Semester "&amp;tblSchoolTerms[SchoolYear])</f>
        <v>2 Semester S.Y. 2018-2019</v>
      </c>
      <c r="W3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0" t="e">
        <f t="array" ref="Y370">INDEX(tblEnrolledStuds[EStudID],MATCH(tblEnrolledSubjs[[#This Row],[EStudID]]&amp;S370,tblEnrolledStuds[AdmissionStatusID]&amp;tblEnrolledStuds[StudID],0))</f>
        <v>#N/A</v>
      </c>
    </row>
    <row r="371" spans="2:25" x14ac:dyDescent="0.25">
      <c r="B371">
        <v>369</v>
      </c>
      <c r="C371">
        <v>38</v>
      </c>
      <c r="D371">
        <v>1</v>
      </c>
      <c r="K371" t="e">
        <f>LOOKUP(tblEnrolledSubjs[[#This Row],[EStudID]],#REF!,#REF!)</f>
        <v>#REF!</v>
      </c>
      <c r="L371" t="e">
        <f>LOOKUP(K371,tblStudents[StudID],tblStudents[SchoolIDNo])</f>
        <v>#REF!</v>
      </c>
      <c r="M371" t="e">
        <f t="shared" si="7"/>
        <v>#VALUE!</v>
      </c>
      <c r="P371" t="str">
        <f t="shared" si="6"/>
        <v>(NULL,"38","1"),</v>
      </c>
      <c r="Q371" t="str">
        <f>TextJoin(tblEnrolledSubjs[[#This Row],[CSubjID]:[EStudID]],"Value")</f>
        <v>"38","1"</v>
      </c>
      <c r="S371">
        <f>LOOKUP(LOOKUP(tblEnrolledSubjs[[#This Row],[CSubjID]], tblClassSubjs[CSubjID],tblClassSubjs[ClassID]),tblClasses[ClassID],tblClasses[STermID])</f>
        <v>1</v>
      </c>
      <c r="T371" t="str">
        <f>LOOKUP(S371,tblSchoolTerms[STermID],tblSchoolTerms[SemesterID]&amp;" Semester "&amp;tblSchoolTerms[SchoolYear])</f>
        <v>2 Semester S.Y. 2018-2019</v>
      </c>
      <c r="W3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1" t="e">
        <f t="array" ref="Y371">INDEX(tblEnrolledStuds[EStudID],MATCH(tblEnrolledSubjs[[#This Row],[EStudID]]&amp;S371,tblEnrolledStuds[AdmissionStatusID]&amp;tblEnrolledStuds[StudID],0))</f>
        <v>#N/A</v>
      </c>
    </row>
    <row r="372" spans="2:25" x14ac:dyDescent="0.25">
      <c r="B372">
        <v>370</v>
      </c>
      <c r="C372">
        <v>38</v>
      </c>
      <c r="D372">
        <v>3</v>
      </c>
      <c r="K372" t="e">
        <f>LOOKUP(tblEnrolledSubjs[[#This Row],[EStudID]],#REF!,#REF!)</f>
        <v>#REF!</v>
      </c>
      <c r="L372" t="e">
        <f>LOOKUP(K372,tblStudents[StudID],tblStudents[SchoolIDNo])</f>
        <v>#REF!</v>
      </c>
      <c r="M372" t="e">
        <f t="shared" si="7"/>
        <v>#VALUE!</v>
      </c>
      <c r="P372" t="str">
        <f t="shared" si="6"/>
        <v>(NULL,"38","3"),</v>
      </c>
      <c r="Q372" t="str">
        <f>TextJoin(tblEnrolledSubjs[[#This Row],[CSubjID]:[EStudID]],"Value")</f>
        <v>"38","3"</v>
      </c>
      <c r="S372">
        <f>LOOKUP(LOOKUP(tblEnrolledSubjs[[#This Row],[CSubjID]], tblClassSubjs[CSubjID],tblClassSubjs[ClassID]),tblClasses[ClassID],tblClasses[STermID])</f>
        <v>1</v>
      </c>
      <c r="T372" t="str">
        <f>LOOKUP(S372,tblSchoolTerms[STermID],tblSchoolTerms[SemesterID]&amp;" Semester "&amp;tblSchoolTerms[SchoolYear])</f>
        <v>2 Semester S.Y. 2018-2019</v>
      </c>
      <c r="W3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2">
        <f t="array" ref="Y372">INDEX(tblEnrolledStuds[EStudID],MATCH(tblEnrolledSubjs[[#This Row],[EStudID]]&amp;S372,tblEnrolledStuds[AdmissionStatusID]&amp;tblEnrolledStuds[StudID],0))</f>
        <v>1</v>
      </c>
    </row>
    <row r="373" spans="2:25" x14ac:dyDescent="0.25">
      <c r="B373">
        <v>371</v>
      </c>
      <c r="C373">
        <v>38</v>
      </c>
      <c r="D373">
        <v>7</v>
      </c>
      <c r="K373" t="e">
        <f>LOOKUP(tblEnrolledSubjs[[#This Row],[EStudID]],#REF!,#REF!)</f>
        <v>#REF!</v>
      </c>
      <c r="L373" t="e">
        <f>LOOKUP(K373,tblStudents[StudID],tblStudents[SchoolIDNo])</f>
        <v>#REF!</v>
      </c>
      <c r="M373" t="e">
        <f t="shared" si="7"/>
        <v>#VALUE!</v>
      </c>
      <c r="P373" t="str">
        <f t="shared" si="6"/>
        <v>(NULL,"38","7"),</v>
      </c>
      <c r="Q373" t="str">
        <f>TextJoin(tblEnrolledSubjs[[#This Row],[CSubjID]:[EStudID]],"Value")</f>
        <v>"38","7"</v>
      </c>
      <c r="S373">
        <f>LOOKUP(LOOKUP(tblEnrolledSubjs[[#This Row],[CSubjID]], tblClassSubjs[CSubjID],tblClassSubjs[ClassID]),tblClasses[ClassID],tblClasses[STermID])</f>
        <v>1</v>
      </c>
      <c r="T373" t="str">
        <f>LOOKUP(S373,tblSchoolTerms[STermID],tblSchoolTerms[SemesterID]&amp;" Semester "&amp;tblSchoolTerms[SchoolYear])</f>
        <v>2 Semester S.Y. 2018-2019</v>
      </c>
      <c r="W3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3" t="e">
        <f t="array" ref="Y373">INDEX(tblEnrolledStuds[EStudID],MATCH(tblEnrolledSubjs[[#This Row],[EStudID]]&amp;S373,tblEnrolledStuds[AdmissionStatusID]&amp;tblEnrolledStuds[StudID],0))</f>
        <v>#N/A</v>
      </c>
    </row>
    <row r="374" spans="2:25" x14ac:dyDescent="0.25">
      <c r="B374">
        <v>372</v>
      </c>
      <c r="C374">
        <v>38</v>
      </c>
      <c r="D374">
        <v>16</v>
      </c>
      <c r="K374" t="e">
        <f>LOOKUP(tblEnrolledSubjs[[#This Row],[EStudID]],#REF!,#REF!)</f>
        <v>#REF!</v>
      </c>
      <c r="L374" t="e">
        <f>LOOKUP(K374,tblStudents[StudID],tblStudents[SchoolIDNo])</f>
        <v>#REF!</v>
      </c>
      <c r="M374" t="e">
        <f t="shared" si="7"/>
        <v>#VALUE!</v>
      </c>
      <c r="P374" t="str">
        <f t="shared" si="6"/>
        <v>(NULL,"38","16"),</v>
      </c>
      <c r="Q374" t="str">
        <f>TextJoin(tblEnrolledSubjs[[#This Row],[CSubjID]:[EStudID]],"Value")</f>
        <v>"38","16"</v>
      </c>
      <c r="S374">
        <f>LOOKUP(LOOKUP(tblEnrolledSubjs[[#This Row],[CSubjID]], tblClassSubjs[CSubjID],tblClassSubjs[ClassID]),tblClasses[ClassID],tblClasses[STermID])</f>
        <v>1</v>
      </c>
      <c r="T374" t="str">
        <f>LOOKUP(S374,tblSchoolTerms[STermID],tblSchoolTerms[SemesterID]&amp;" Semester "&amp;tblSchoolTerms[SchoolYear])</f>
        <v>2 Semester S.Y. 2018-2019</v>
      </c>
      <c r="W3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4" t="e">
        <f t="array" ref="Y374">INDEX(tblEnrolledStuds[EStudID],MATCH(tblEnrolledSubjs[[#This Row],[EStudID]]&amp;S374,tblEnrolledStuds[AdmissionStatusID]&amp;tblEnrolledStuds[StudID],0))</f>
        <v>#N/A</v>
      </c>
    </row>
    <row r="375" spans="2:25" x14ac:dyDescent="0.25">
      <c r="B375">
        <v>373</v>
      </c>
      <c r="C375">
        <v>38</v>
      </c>
      <c r="D375">
        <v>19</v>
      </c>
      <c r="K375" t="e">
        <f>LOOKUP(tblEnrolledSubjs[[#This Row],[EStudID]],#REF!,#REF!)</f>
        <v>#REF!</v>
      </c>
      <c r="L375" t="e">
        <f>LOOKUP(K375,tblStudents[StudID],tblStudents[SchoolIDNo])</f>
        <v>#REF!</v>
      </c>
      <c r="M375" t="e">
        <f t="shared" si="7"/>
        <v>#VALUE!</v>
      </c>
      <c r="P375" t="str">
        <f t="shared" si="6"/>
        <v>(NULL,"38","19"),</v>
      </c>
      <c r="Q375" t="str">
        <f>TextJoin(tblEnrolledSubjs[[#This Row],[CSubjID]:[EStudID]],"Value")</f>
        <v>"38","19"</v>
      </c>
      <c r="S375">
        <f>LOOKUP(LOOKUP(tblEnrolledSubjs[[#This Row],[CSubjID]], tblClassSubjs[CSubjID],tblClassSubjs[ClassID]),tblClasses[ClassID],tblClasses[STermID])</f>
        <v>1</v>
      </c>
      <c r="T375" t="str">
        <f>LOOKUP(S375,tblSchoolTerms[STermID],tblSchoolTerms[SemesterID]&amp;" Semester "&amp;tblSchoolTerms[SchoolYear])</f>
        <v>2 Semester S.Y. 2018-2019</v>
      </c>
      <c r="W3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5" t="e">
        <f t="array" ref="Y375">INDEX(tblEnrolledStuds[EStudID],MATCH(tblEnrolledSubjs[[#This Row],[EStudID]]&amp;S375,tblEnrolledStuds[AdmissionStatusID]&amp;tblEnrolledStuds[StudID],0))</f>
        <v>#N/A</v>
      </c>
    </row>
    <row r="376" spans="2:25" x14ac:dyDescent="0.25">
      <c r="B376">
        <v>374</v>
      </c>
      <c r="C376">
        <v>38</v>
      </c>
      <c r="D376">
        <v>32</v>
      </c>
      <c r="K376" t="e">
        <f>LOOKUP(tblEnrolledSubjs[[#This Row],[EStudID]],#REF!,#REF!)</f>
        <v>#REF!</v>
      </c>
      <c r="L376" t="e">
        <f>LOOKUP(K376,tblStudents[StudID],tblStudents[SchoolIDNo])</f>
        <v>#REF!</v>
      </c>
      <c r="M376" t="e">
        <f t="shared" si="7"/>
        <v>#VALUE!</v>
      </c>
      <c r="P376" t="str">
        <f t="shared" si="6"/>
        <v>(NULL,"38","32"),</v>
      </c>
      <c r="Q376" t="str">
        <f>TextJoin(tblEnrolledSubjs[[#This Row],[CSubjID]:[EStudID]],"Value")</f>
        <v>"38","32"</v>
      </c>
      <c r="S376">
        <f>LOOKUP(LOOKUP(tblEnrolledSubjs[[#This Row],[CSubjID]], tblClassSubjs[CSubjID],tblClassSubjs[ClassID]),tblClasses[ClassID],tblClasses[STermID])</f>
        <v>1</v>
      </c>
      <c r="T376" t="str">
        <f>LOOKUP(S376,tblSchoolTerms[STermID],tblSchoolTerms[SemesterID]&amp;" Semester "&amp;tblSchoolTerms[SchoolYear])</f>
        <v>2 Semester S.Y. 2018-2019</v>
      </c>
      <c r="W3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6">
        <f t="array" ref="Y376">INDEX(tblEnrolledStuds[EStudID],MATCH(tblEnrolledSubjs[[#This Row],[EStudID]]&amp;S376,tblEnrolledStuds[AdmissionStatusID]&amp;tblEnrolledStuds[StudID],0))</f>
        <v>21</v>
      </c>
    </row>
    <row r="377" spans="2:25" x14ac:dyDescent="0.25">
      <c r="B377">
        <v>375</v>
      </c>
      <c r="C377">
        <v>38</v>
      </c>
      <c r="D377">
        <v>40</v>
      </c>
      <c r="K377" t="e">
        <f>LOOKUP(tblEnrolledSubjs[[#This Row],[EStudID]],#REF!,#REF!)</f>
        <v>#REF!</v>
      </c>
      <c r="L377" t="e">
        <f>LOOKUP(K377,tblStudents[StudID],tblStudents[SchoolIDNo])</f>
        <v>#REF!</v>
      </c>
      <c r="M377" t="e">
        <f t="shared" si="7"/>
        <v>#VALUE!</v>
      </c>
      <c r="P377" t="str">
        <f t="shared" si="6"/>
        <v>(NULL,"38","40"),</v>
      </c>
      <c r="Q377" t="str">
        <f>TextJoin(tblEnrolledSubjs[[#This Row],[CSubjID]:[EStudID]],"Value")</f>
        <v>"38","40"</v>
      </c>
      <c r="S377">
        <f>LOOKUP(LOOKUP(tblEnrolledSubjs[[#This Row],[CSubjID]], tblClassSubjs[CSubjID],tblClassSubjs[ClassID]),tblClasses[ClassID],tblClasses[STermID])</f>
        <v>1</v>
      </c>
      <c r="T377" t="str">
        <f>LOOKUP(S377,tblSchoolTerms[STermID],tblSchoolTerms[SemesterID]&amp;" Semester "&amp;tblSchoolTerms[SchoolYear])</f>
        <v>2 Semester S.Y. 2018-2019</v>
      </c>
      <c r="W3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7" t="e">
        <f t="array" ref="Y377">INDEX(tblEnrolledStuds[EStudID],MATCH(tblEnrolledSubjs[[#This Row],[EStudID]]&amp;S377,tblEnrolledStuds[AdmissionStatusID]&amp;tblEnrolledStuds[StudID],0))</f>
        <v>#N/A</v>
      </c>
    </row>
    <row r="378" spans="2:25" x14ac:dyDescent="0.25">
      <c r="B378">
        <v>376</v>
      </c>
      <c r="C378">
        <v>38</v>
      </c>
      <c r="D378">
        <v>51</v>
      </c>
      <c r="K378" t="e">
        <f>LOOKUP(tblEnrolledSubjs[[#This Row],[EStudID]],#REF!,#REF!)</f>
        <v>#REF!</v>
      </c>
      <c r="L378" t="e">
        <f>LOOKUP(K378,tblStudents[StudID],tblStudents[SchoolIDNo])</f>
        <v>#REF!</v>
      </c>
      <c r="M378" t="e">
        <f t="shared" si="7"/>
        <v>#VALUE!</v>
      </c>
      <c r="P378" t="str">
        <f t="shared" si="6"/>
        <v>(NULL,"38","51"),</v>
      </c>
      <c r="Q378" t="str">
        <f>TextJoin(tblEnrolledSubjs[[#This Row],[CSubjID]:[EStudID]],"Value")</f>
        <v>"38","51"</v>
      </c>
      <c r="S378">
        <f>LOOKUP(LOOKUP(tblEnrolledSubjs[[#This Row],[CSubjID]], tblClassSubjs[CSubjID],tblClassSubjs[ClassID]),tblClasses[ClassID],tblClasses[STermID])</f>
        <v>1</v>
      </c>
      <c r="T378" t="str">
        <f>LOOKUP(S378,tblSchoolTerms[STermID],tblSchoolTerms[SemesterID]&amp;" Semester "&amp;tblSchoolTerms[SchoolYear])</f>
        <v>2 Semester S.Y. 2018-2019</v>
      </c>
      <c r="W3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8" t="e">
        <f t="array" ref="Y378">INDEX(tblEnrolledStuds[EStudID],MATCH(tblEnrolledSubjs[[#This Row],[EStudID]]&amp;S378,tblEnrolledStuds[AdmissionStatusID]&amp;tblEnrolledStuds[StudID],0))</f>
        <v>#N/A</v>
      </c>
    </row>
    <row r="379" spans="2:25" x14ac:dyDescent="0.25">
      <c r="B379">
        <v>377</v>
      </c>
      <c r="C379">
        <v>38</v>
      </c>
      <c r="D379">
        <v>54</v>
      </c>
      <c r="K379" t="e">
        <f>LOOKUP(tblEnrolledSubjs[[#This Row],[EStudID]],#REF!,#REF!)</f>
        <v>#REF!</v>
      </c>
      <c r="L379" t="e">
        <f>LOOKUP(K379,tblStudents[StudID],tblStudents[SchoolIDNo])</f>
        <v>#REF!</v>
      </c>
      <c r="M379" t="e">
        <f t="shared" si="7"/>
        <v>#VALUE!</v>
      </c>
      <c r="P379" t="str">
        <f t="shared" si="6"/>
        <v>(NULL,"38","54"),</v>
      </c>
      <c r="Q379" t="str">
        <f>TextJoin(tblEnrolledSubjs[[#This Row],[CSubjID]:[EStudID]],"Value")</f>
        <v>"38","54"</v>
      </c>
      <c r="S379">
        <f>LOOKUP(LOOKUP(tblEnrolledSubjs[[#This Row],[CSubjID]], tblClassSubjs[CSubjID],tblClassSubjs[ClassID]),tblClasses[ClassID],tblClasses[STermID])</f>
        <v>1</v>
      </c>
      <c r="T379" t="str">
        <f>LOOKUP(S379,tblSchoolTerms[STermID],tblSchoolTerms[SemesterID]&amp;" Semester "&amp;tblSchoolTerms[SchoolYear])</f>
        <v>2 Semester S.Y. 2018-2019</v>
      </c>
      <c r="W3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79" t="e">
        <f t="array" ref="Y379">INDEX(tblEnrolledStuds[EStudID],MATCH(tblEnrolledSubjs[[#This Row],[EStudID]]&amp;S379,tblEnrolledStuds[AdmissionStatusID]&amp;tblEnrolledStuds[StudID],0))</f>
        <v>#N/A</v>
      </c>
    </row>
    <row r="380" spans="2:25" x14ac:dyDescent="0.25">
      <c r="B380">
        <v>378</v>
      </c>
      <c r="C380">
        <v>38</v>
      </c>
      <c r="D380">
        <v>5</v>
      </c>
      <c r="K380" t="e">
        <f>LOOKUP(tblEnrolledSubjs[[#This Row],[EStudID]],#REF!,#REF!)</f>
        <v>#REF!</v>
      </c>
      <c r="L380" t="e">
        <f>LOOKUP(K380,tblStudents[StudID],tblStudents[SchoolIDNo])</f>
        <v>#REF!</v>
      </c>
      <c r="M380" t="e">
        <f t="shared" si="7"/>
        <v>#VALUE!</v>
      </c>
      <c r="P380" t="str">
        <f t="shared" si="6"/>
        <v>(NULL,"38","5"),</v>
      </c>
      <c r="Q380" t="str">
        <f>TextJoin(tblEnrolledSubjs[[#This Row],[CSubjID]:[EStudID]],"Value")</f>
        <v>"38","5"</v>
      </c>
      <c r="S380">
        <f>LOOKUP(LOOKUP(tblEnrolledSubjs[[#This Row],[CSubjID]], tblClassSubjs[CSubjID],tblClassSubjs[ClassID]),tblClasses[ClassID],tblClasses[STermID])</f>
        <v>1</v>
      </c>
      <c r="T380" t="str">
        <f>LOOKUP(S380,tblSchoolTerms[STermID],tblSchoolTerms[SemesterID]&amp;" Semester "&amp;tblSchoolTerms[SchoolYear])</f>
        <v>2 Semester S.Y. 2018-2019</v>
      </c>
      <c r="W3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0" t="e">
        <f t="array" ref="Y380">INDEX(tblEnrolledStuds[EStudID],MATCH(tblEnrolledSubjs[[#This Row],[EStudID]]&amp;S380,tblEnrolledStuds[AdmissionStatusID]&amp;tblEnrolledStuds[StudID],0))</f>
        <v>#N/A</v>
      </c>
    </row>
    <row r="381" spans="2:25" x14ac:dyDescent="0.25">
      <c r="B381">
        <v>379</v>
      </c>
      <c r="C381">
        <v>38</v>
      </c>
      <c r="D381">
        <v>18</v>
      </c>
      <c r="K381" t="e">
        <f>LOOKUP(tblEnrolledSubjs[[#This Row],[EStudID]],#REF!,#REF!)</f>
        <v>#REF!</v>
      </c>
      <c r="L381" t="e">
        <f>LOOKUP(K381,tblStudents[StudID],tblStudents[SchoolIDNo])</f>
        <v>#REF!</v>
      </c>
      <c r="M381" t="e">
        <f t="shared" si="7"/>
        <v>#VALUE!</v>
      </c>
      <c r="P381" t="str">
        <f t="shared" si="6"/>
        <v>(NULL,"38","18"),</v>
      </c>
      <c r="Q381" t="str">
        <f>TextJoin(tblEnrolledSubjs[[#This Row],[CSubjID]:[EStudID]],"Value")</f>
        <v>"38","18"</v>
      </c>
      <c r="S381">
        <f>LOOKUP(LOOKUP(tblEnrolledSubjs[[#This Row],[CSubjID]], tblClassSubjs[CSubjID],tblClassSubjs[ClassID]),tblClasses[ClassID],tblClasses[STermID])</f>
        <v>1</v>
      </c>
      <c r="T381" t="str">
        <f>LOOKUP(S381,tblSchoolTerms[STermID],tblSchoolTerms[SemesterID]&amp;" Semester "&amp;tblSchoolTerms[SchoolYear])</f>
        <v>2 Semester S.Y. 2018-2019</v>
      </c>
      <c r="W3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1" t="e">
        <f t="array" ref="Y381">INDEX(tblEnrolledStuds[EStudID],MATCH(tblEnrolledSubjs[[#This Row],[EStudID]]&amp;S381,tblEnrolledStuds[AdmissionStatusID]&amp;tblEnrolledStuds[StudID],0))</f>
        <v>#N/A</v>
      </c>
    </row>
    <row r="382" spans="2:25" x14ac:dyDescent="0.25">
      <c r="B382">
        <v>380</v>
      </c>
      <c r="C382">
        <v>38</v>
      </c>
      <c r="D382">
        <v>22</v>
      </c>
      <c r="P382" t="str">
        <f t="shared" si="6"/>
        <v>(NULL,"38","22"),</v>
      </c>
      <c r="Q382" t="str">
        <f>TextJoin(tblEnrolledSubjs[[#This Row],[CSubjID]:[EStudID]],"Value")</f>
        <v>"38","22"</v>
      </c>
      <c r="S382">
        <f>LOOKUP(LOOKUP(tblEnrolledSubjs[[#This Row],[CSubjID]], tblClassSubjs[CSubjID],tblClassSubjs[ClassID]),tblClasses[ClassID],tblClasses[STermID])</f>
        <v>1</v>
      </c>
      <c r="T382" t="str">
        <f>LOOKUP(S382,tblSchoolTerms[STermID],tblSchoolTerms[SemesterID]&amp;" Semester "&amp;tblSchoolTerms[SchoolYear])</f>
        <v>2 Semester S.Y. 2018-2019</v>
      </c>
      <c r="W3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2" t="e">
        <f t="array" ref="Y382">INDEX(tblEnrolledStuds[EStudID],MATCH(tblEnrolledSubjs[[#This Row],[EStudID]]&amp;S382,tblEnrolledStuds[AdmissionStatusID]&amp;tblEnrolledStuds[StudID],0))</f>
        <v>#N/A</v>
      </c>
    </row>
    <row r="383" spans="2:25" x14ac:dyDescent="0.25">
      <c r="B383">
        <v>381</v>
      </c>
      <c r="C383">
        <v>38</v>
      </c>
      <c r="D383">
        <v>27</v>
      </c>
      <c r="K383" t="e">
        <f>LOOKUP(tblEnrolledSubjs[[#This Row],[EStudID]],#REF!,#REF!)</f>
        <v>#REF!</v>
      </c>
      <c r="L383" t="e">
        <f>LOOKUP(K383,tblStudents[StudID],tblStudents[SchoolIDNo])</f>
        <v>#REF!</v>
      </c>
      <c r="M383" t="e">
        <f t="shared" si="7"/>
        <v>#VALUE!</v>
      </c>
      <c r="P383" t="str">
        <f t="shared" si="6"/>
        <v>(NULL,"38","27"),</v>
      </c>
      <c r="Q383" t="str">
        <f>TextJoin(tblEnrolledSubjs[[#This Row],[CSubjID]:[EStudID]],"Value")</f>
        <v>"38","27"</v>
      </c>
      <c r="S383">
        <f>LOOKUP(LOOKUP(tblEnrolledSubjs[[#This Row],[CSubjID]], tblClassSubjs[CSubjID],tblClassSubjs[ClassID]),tblClasses[ClassID],tblClasses[STermID])</f>
        <v>1</v>
      </c>
      <c r="T383" t="str">
        <f>LOOKUP(S383,tblSchoolTerms[STermID],tblSchoolTerms[SemesterID]&amp;" Semester "&amp;tblSchoolTerms[SchoolYear])</f>
        <v>2 Semester S.Y. 2018-2019</v>
      </c>
      <c r="W3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3">
        <f t="array" ref="Y383">INDEX(tblEnrolledStuds[EStudID],MATCH(tblEnrolledSubjs[[#This Row],[EStudID]]&amp;S383,tblEnrolledStuds[AdmissionStatusID]&amp;tblEnrolledStuds[StudID],0))</f>
        <v>190</v>
      </c>
    </row>
    <row r="384" spans="2:25" x14ac:dyDescent="0.25">
      <c r="B384">
        <v>382</v>
      </c>
      <c r="C384">
        <v>38</v>
      </c>
      <c r="D384">
        <v>63</v>
      </c>
      <c r="K384" t="e">
        <f>LOOKUP(tblEnrolledSubjs[[#This Row],[EStudID]],#REF!,#REF!)</f>
        <v>#REF!</v>
      </c>
      <c r="L384" t="e">
        <f>LOOKUP(K384,tblStudents[StudID],tblStudents[SchoolIDNo])</f>
        <v>#REF!</v>
      </c>
      <c r="M384" t="e">
        <f t="shared" si="7"/>
        <v>#VALUE!</v>
      </c>
      <c r="P384" t="str">
        <f t="shared" si="6"/>
        <v>(NULL,"38","63"),</v>
      </c>
      <c r="Q384" t="str">
        <f>TextJoin(tblEnrolledSubjs[[#This Row],[CSubjID]:[EStudID]],"Value")</f>
        <v>"38","63"</v>
      </c>
      <c r="S384">
        <f>LOOKUP(LOOKUP(tblEnrolledSubjs[[#This Row],[CSubjID]], tblClassSubjs[CSubjID],tblClassSubjs[ClassID]),tblClasses[ClassID],tblClasses[STermID])</f>
        <v>1</v>
      </c>
      <c r="T384" t="str">
        <f>LOOKUP(S384,tblSchoolTerms[STermID],tblSchoolTerms[SemesterID]&amp;" Semester "&amp;tblSchoolTerms[SchoolYear])</f>
        <v>2 Semester S.Y. 2018-2019</v>
      </c>
      <c r="W3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4" t="e">
        <f t="array" ref="Y384">INDEX(tblEnrolledStuds[EStudID],MATCH(tblEnrolledSubjs[[#This Row],[EStudID]]&amp;S384,tblEnrolledStuds[AdmissionStatusID]&amp;tblEnrolledStuds[StudID],0))</f>
        <v>#N/A</v>
      </c>
    </row>
    <row r="385" spans="2:25" x14ac:dyDescent="0.25">
      <c r="B385">
        <v>383</v>
      </c>
      <c r="C385">
        <v>38</v>
      </c>
      <c r="D385">
        <v>20</v>
      </c>
      <c r="K385" t="e">
        <f>LOOKUP(tblEnrolledSubjs[[#This Row],[EStudID]],#REF!,#REF!)</f>
        <v>#REF!</v>
      </c>
      <c r="L385" t="e">
        <f>LOOKUP(K385,tblStudents[StudID],tblStudents[SchoolIDNo])</f>
        <v>#REF!</v>
      </c>
      <c r="M385" t="e">
        <f t="shared" si="7"/>
        <v>#VALUE!</v>
      </c>
      <c r="P385" t="str">
        <f t="shared" si="6"/>
        <v>(NULL,"38","20"),</v>
      </c>
      <c r="Q385" t="str">
        <f>TextJoin(tblEnrolledSubjs[[#This Row],[CSubjID]:[EStudID]],"Value")</f>
        <v>"38","20"</v>
      </c>
      <c r="S385">
        <f>LOOKUP(LOOKUP(tblEnrolledSubjs[[#This Row],[CSubjID]], tblClassSubjs[CSubjID],tblClassSubjs[ClassID]),tblClasses[ClassID],tblClasses[STermID])</f>
        <v>1</v>
      </c>
      <c r="T385" t="str">
        <f>LOOKUP(S385,tblSchoolTerms[STermID],tblSchoolTerms[SemesterID]&amp;" Semester "&amp;tblSchoolTerms[SchoolYear])</f>
        <v>2 Semester S.Y. 2018-2019</v>
      </c>
      <c r="W3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5" t="e">
        <f t="array" ref="Y385">INDEX(tblEnrolledStuds[EStudID],MATCH(tblEnrolledSubjs[[#This Row],[EStudID]]&amp;S385,tblEnrolledStuds[AdmissionStatusID]&amp;tblEnrolledStuds[StudID],0))</f>
        <v>#N/A</v>
      </c>
    </row>
    <row r="386" spans="2:25" x14ac:dyDescent="0.25">
      <c r="B386">
        <v>384</v>
      </c>
      <c r="C386">
        <v>39</v>
      </c>
      <c r="D386">
        <v>67</v>
      </c>
      <c r="K386" t="e">
        <f>LOOKUP(tblEnrolledSubjs[[#This Row],[EStudID]],#REF!,#REF!)</f>
        <v>#REF!</v>
      </c>
      <c r="L386" t="e">
        <f>LOOKUP(K386,tblStudents[StudID],tblStudents[SchoolIDNo])</f>
        <v>#REF!</v>
      </c>
      <c r="M386" t="e">
        <f t="shared" si="7"/>
        <v>#VALUE!</v>
      </c>
      <c r="P386" t="str">
        <f t="shared" si="6"/>
        <v>(NULL,"39","67"),</v>
      </c>
      <c r="Q386" t="str">
        <f>TextJoin(tblEnrolledSubjs[[#This Row],[CSubjID]:[EStudID]],"Value")</f>
        <v>"39","67"</v>
      </c>
      <c r="S386">
        <f>LOOKUP(LOOKUP(tblEnrolledSubjs[[#This Row],[CSubjID]], tblClassSubjs[CSubjID],tblClassSubjs[ClassID]),tblClasses[ClassID],tblClasses[STermID])</f>
        <v>1</v>
      </c>
      <c r="T386" t="str">
        <f>LOOKUP(S386,tblSchoolTerms[STermID],tblSchoolTerms[SemesterID]&amp;" Semester "&amp;tblSchoolTerms[SchoolYear])</f>
        <v>2 Semester S.Y. 2018-2019</v>
      </c>
      <c r="W3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6" t="e">
        <f t="array" ref="Y386">INDEX(tblEnrolledStuds[EStudID],MATCH(tblEnrolledSubjs[[#This Row],[EStudID]]&amp;S386,tblEnrolledStuds[AdmissionStatusID]&amp;tblEnrolledStuds[StudID],0))</f>
        <v>#N/A</v>
      </c>
    </row>
    <row r="387" spans="2:25" x14ac:dyDescent="0.25">
      <c r="B387">
        <v>385</v>
      </c>
      <c r="C387">
        <v>40</v>
      </c>
      <c r="D387">
        <v>1</v>
      </c>
      <c r="K387" t="e">
        <f>LOOKUP(tblEnrolledSubjs[[#This Row],[EStudID]],#REF!,#REF!)</f>
        <v>#REF!</v>
      </c>
      <c r="L387" t="e">
        <f>LOOKUP(K387,tblStudents[StudID],tblStudents[SchoolIDNo])</f>
        <v>#REF!</v>
      </c>
      <c r="M387" t="e">
        <f t="shared" si="7"/>
        <v>#VALUE!</v>
      </c>
      <c r="P387" t="str">
        <f t="shared" si="6"/>
        <v>(NULL,"40","1"),</v>
      </c>
      <c r="Q387" t="str">
        <f>TextJoin(tblEnrolledSubjs[[#This Row],[CSubjID]:[EStudID]],"Value")</f>
        <v>"40","1"</v>
      </c>
      <c r="S387">
        <f>LOOKUP(LOOKUP(tblEnrolledSubjs[[#This Row],[CSubjID]], tblClassSubjs[CSubjID],tblClassSubjs[ClassID]),tblClasses[ClassID],tblClasses[STermID])</f>
        <v>1</v>
      </c>
      <c r="T387" t="str">
        <f>LOOKUP(S387,tblSchoolTerms[STermID],tblSchoolTerms[SemesterID]&amp;" Semester "&amp;tblSchoolTerms[SchoolYear])</f>
        <v>2 Semester S.Y. 2018-2019</v>
      </c>
      <c r="W3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7" t="e">
        <f t="array" ref="Y387">INDEX(tblEnrolledStuds[EStudID],MATCH(tblEnrolledSubjs[[#This Row],[EStudID]]&amp;S387,tblEnrolledStuds[AdmissionStatusID]&amp;tblEnrolledStuds[StudID],0))</f>
        <v>#N/A</v>
      </c>
    </row>
    <row r="388" spans="2:25" x14ac:dyDescent="0.25">
      <c r="B388">
        <v>386</v>
      </c>
      <c r="C388">
        <v>40</v>
      </c>
      <c r="D388">
        <v>3</v>
      </c>
      <c r="K388" t="e">
        <f>LOOKUP(tblEnrolledSubjs[[#This Row],[EStudID]],#REF!,#REF!)</f>
        <v>#REF!</v>
      </c>
      <c r="L388" t="e">
        <f>LOOKUP(K388,tblStudents[StudID],tblStudents[SchoolIDNo])</f>
        <v>#REF!</v>
      </c>
      <c r="M388" t="e">
        <f t="shared" si="7"/>
        <v>#VALUE!</v>
      </c>
      <c r="P388" t="str">
        <f t="shared" ref="P388:P451" si="8">"(NULL,"&amp;Q388&amp;")"&amp;IF(P389&lt;&gt;"",",",";")</f>
        <v>(NULL,"40","3"),</v>
      </c>
      <c r="Q388" t="str">
        <f>TextJoin(tblEnrolledSubjs[[#This Row],[CSubjID]:[EStudID]],"Value")</f>
        <v>"40","3"</v>
      </c>
      <c r="S388">
        <f>LOOKUP(LOOKUP(tblEnrolledSubjs[[#This Row],[CSubjID]], tblClassSubjs[CSubjID],tblClassSubjs[ClassID]),tblClasses[ClassID],tblClasses[STermID])</f>
        <v>1</v>
      </c>
      <c r="T388" t="str">
        <f>LOOKUP(S388,tblSchoolTerms[STermID],tblSchoolTerms[SemesterID]&amp;" Semester "&amp;tblSchoolTerms[SchoolYear])</f>
        <v>2 Semester S.Y. 2018-2019</v>
      </c>
      <c r="W3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8">
        <f t="array" ref="Y388">INDEX(tblEnrolledStuds[EStudID],MATCH(tblEnrolledSubjs[[#This Row],[EStudID]]&amp;S388,tblEnrolledStuds[AdmissionStatusID]&amp;tblEnrolledStuds[StudID],0))</f>
        <v>1</v>
      </c>
    </row>
    <row r="389" spans="2:25" x14ac:dyDescent="0.25">
      <c r="B389">
        <v>387</v>
      </c>
      <c r="C389">
        <v>40</v>
      </c>
      <c r="D389">
        <v>7</v>
      </c>
      <c r="K389" t="e">
        <f>LOOKUP(tblEnrolledSubjs[[#This Row],[EStudID]],#REF!,#REF!)</f>
        <v>#REF!</v>
      </c>
      <c r="L389" t="e">
        <f>LOOKUP(K389,tblStudents[StudID],tblStudents[SchoolIDNo])</f>
        <v>#REF!</v>
      </c>
      <c r="M389" t="e">
        <f t="shared" si="7"/>
        <v>#VALUE!</v>
      </c>
      <c r="P389" t="str">
        <f t="shared" si="8"/>
        <v>(NULL,"40","7"),</v>
      </c>
      <c r="Q389" t="str">
        <f>TextJoin(tblEnrolledSubjs[[#This Row],[CSubjID]:[EStudID]],"Value")</f>
        <v>"40","7"</v>
      </c>
      <c r="S389">
        <f>LOOKUP(LOOKUP(tblEnrolledSubjs[[#This Row],[CSubjID]], tblClassSubjs[CSubjID],tblClassSubjs[ClassID]),tblClasses[ClassID],tblClasses[STermID])</f>
        <v>1</v>
      </c>
      <c r="T389" t="str">
        <f>LOOKUP(S389,tblSchoolTerms[STermID],tblSchoolTerms[SemesterID]&amp;" Semester "&amp;tblSchoolTerms[SchoolYear])</f>
        <v>2 Semester S.Y. 2018-2019</v>
      </c>
      <c r="W3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89" t="e">
        <f t="array" ref="Y389">INDEX(tblEnrolledStuds[EStudID],MATCH(tblEnrolledSubjs[[#This Row],[EStudID]]&amp;S389,tblEnrolledStuds[AdmissionStatusID]&amp;tblEnrolledStuds[StudID],0))</f>
        <v>#N/A</v>
      </c>
    </row>
    <row r="390" spans="2:25" x14ac:dyDescent="0.25">
      <c r="B390">
        <v>388</v>
      </c>
      <c r="C390">
        <v>40</v>
      </c>
      <c r="D390">
        <v>16</v>
      </c>
      <c r="K390" t="e">
        <f>LOOKUP(tblEnrolledSubjs[[#This Row],[EStudID]],#REF!,#REF!)</f>
        <v>#REF!</v>
      </c>
      <c r="L390" t="e">
        <f>LOOKUP(K390,tblStudents[StudID],tblStudents[SchoolIDNo])</f>
        <v>#REF!</v>
      </c>
      <c r="M390" t="e">
        <f t="shared" si="7"/>
        <v>#VALUE!</v>
      </c>
      <c r="P390" t="str">
        <f t="shared" si="8"/>
        <v>(NULL,"40","16"),</v>
      </c>
      <c r="Q390" t="str">
        <f>TextJoin(tblEnrolledSubjs[[#This Row],[CSubjID]:[EStudID]],"Value")</f>
        <v>"40","16"</v>
      </c>
      <c r="S390">
        <f>LOOKUP(LOOKUP(tblEnrolledSubjs[[#This Row],[CSubjID]], tblClassSubjs[CSubjID],tblClassSubjs[ClassID]),tblClasses[ClassID],tblClasses[STermID])</f>
        <v>1</v>
      </c>
      <c r="T390" t="str">
        <f>LOOKUP(S390,tblSchoolTerms[STermID],tblSchoolTerms[SemesterID]&amp;" Semester "&amp;tblSchoolTerms[SchoolYear])</f>
        <v>2 Semester S.Y. 2018-2019</v>
      </c>
      <c r="W3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0" t="e">
        <f t="array" ref="Y390">INDEX(tblEnrolledStuds[EStudID],MATCH(tblEnrolledSubjs[[#This Row],[EStudID]]&amp;S390,tblEnrolledStuds[AdmissionStatusID]&amp;tblEnrolledStuds[StudID],0))</f>
        <v>#N/A</v>
      </c>
    </row>
    <row r="391" spans="2:25" x14ac:dyDescent="0.25">
      <c r="B391">
        <v>389</v>
      </c>
      <c r="C391">
        <v>40</v>
      </c>
      <c r="D391">
        <v>19</v>
      </c>
      <c r="K391" t="e">
        <f>LOOKUP(tblEnrolledSubjs[[#This Row],[EStudID]],#REF!,#REF!)</f>
        <v>#REF!</v>
      </c>
      <c r="L391" t="e">
        <f>LOOKUP(K391,tblStudents[StudID],tblStudents[SchoolIDNo])</f>
        <v>#REF!</v>
      </c>
      <c r="M391" t="e">
        <f t="shared" si="7"/>
        <v>#VALUE!</v>
      </c>
      <c r="P391" t="str">
        <f t="shared" si="8"/>
        <v>(NULL,"40","19"),</v>
      </c>
      <c r="Q391" t="str">
        <f>TextJoin(tblEnrolledSubjs[[#This Row],[CSubjID]:[EStudID]],"Value")</f>
        <v>"40","19"</v>
      </c>
      <c r="S391">
        <f>LOOKUP(LOOKUP(tblEnrolledSubjs[[#This Row],[CSubjID]], tblClassSubjs[CSubjID],tblClassSubjs[ClassID]),tblClasses[ClassID],tblClasses[STermID])</f>
        <v>1</v>
      </c>
      <c r="T391" t="str">
        <f>LOOKUP(S391,tblSchoolTerms[STermID],tblSchoolTerms[SemesterID]&amp;" Semester "&amp;tblSchoolTerms[SchoolYear])</f>
        <v>2 Semester S.Y. 2018-2019</v>
      </c>
      <c r="W3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1" t="e">
        <f t="array" ref="Y391">INDEX(tblEnrolledStuds[EStudID],MATCH(tblEnrolledSubjs[[#This Row],[EStudID]]&amp;S391,tblEnrolledStuds[AdmissionStatusID]&amp;tblEnrolledStuds[StudID],0))</f>
        <v>#N/A</v>
      </c>
    </row>
    <row r="392" spans="2:25" x14ac:dyDescent="0.25">
      <c r="B392">
        <v>390</v>
      </c>
      <c r="C392">
        <v>40</v>
      </c>
      <c r="D392">
        <v>32</v>
      </c>
      <c r="K392" t="e">
        <f>LOOKUP(tblEnrolledSubjs[[#This Row],[EStudID]],#REF!,#REF!)</f>
        <v>#REF!</v>
      </c>
      <c r="L392" t="e">
        <f>LOOKUP(K392,tblStudents[StudID],tblStudents[SchoolIDNo])</f>
        <v>#REF!</v>
      </c>
      <c r="M392" t="e">
        <f t="shared" si="7"/>
        <v>#VALUE!</v>
      </c>
      <c r="P392" t="str">
        <f t="shared" si="8"/>
        <v>(NULL,"40","32"),</v>
      </c>
      <c r="Q392" t="str">
        <f>TextJoin(tblEnrolledSubjs[[#This Row],[CSubjID]:[EStudID]],"Value")</f>
        <v>"40","32"</v>
      </c>
      <c r="S392">
        <f>LOOKUP(LOOKUP(tblEnrolledSubjs[[#This Row],[CSubjID]], tblClassSubjs[CSubjID],tblClassSubjs[ClassID]),tblClasses[ClassID],tblClasses[STermID])</f>
        <v>1</v>
      </c>
      <c r="T392" t="str">
        <f>LOOKUP(S392,tblSchoolTerms[STermID],tblSchoolTerms[SemesterID]&amp;" Semester "&amp;tblSchoolTerms[SchoolYear])</f>
        <v>2 Semester S.Y. 2018-2019</v>
      </c>
      <c r="W3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2">
        <f t="array" ref="Y392">INDEX(tblEnrolledStuds[EStudID],MATCH(tblEnrolledSubjs[[#This Row],[EStudID]]&amp;S392,tblEnrolledStuds[AdmissionStatusID]&amp;tblEnrolledStuds[StudID],0))</f>
        <v>21</v>
      </c>
    </row>
    <row r="393" spans="2:25" x14ac:dyDescent="0.25">
      <c r="B393">
        <v>391</v>
      </c>
      <c r="C393">
        <v>40</v>
      </c>
      <c r="D393">
        <v>40</v>
      </c>
      <c r="K393" t="e">
        <f>LOOKUP(tblEnrolledSubjs[[#This Row],[EStudID]],#REF!,#REF!)</f>
        <v>#REF!</v>
      </c>
      <c r="L393" t="e">
        <f>LOOKUP(K393,tblStudents[StudID],tblStudents[SchoolIDNo])</f>
        <v>#REF!</v>
      </c>
      <c r="M393" t="e">
        <f t="shared" si="7"/>
        <v>#VALUE!</v>
      </c>
      <c r="P393" t="str">
        <f t="shared" si="8"/>
        <v>(NULL,"40","40"),</v>
      </c>
      <c r="Q393" t="str">
        <f>TextJoin(tblEnrolledSubjs[[#This Row],[CSubjID]:[EStudID]],"Value")</f>
        <v>"40","40"</v>
      </c>
      <c r="S393">
        <f>LOOKUP(LOOKUP(tblEnrolledSubjs[[#This Row],[CSubjID]], tblClassSubjs[CSubjID],tblClassSubjs[ClassID]),tblClasses[ClassID],tblClasses[STermID])</f>
        <v>1</v>
      </c>
      <c r="T393" t="str">
        <f>LOOKUP(S393,tblSchoolTerms[STermID],tblSchoolTerms[SemesterID]&amp;" Semester "&amp;tblSchoolTerms[SchoolYear])</f>
        <v>2 Semester S.Y. 2018-2019</v>
      </c>
      <c r="W3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3" t="e">
        <f t="array" ref="Y393">INDEX(tblEnrolledStuds[EStudID],MATCH(tblEnrolledSubjs[[#This Row],[EStudID]]&amp;S393,tblEnrolledStuds[AdmissionStatusID]&amp;tblEnrolledStuds[StudID],0))</f>
        <v>#N/A</v>
      </c>
    </row>
    <row r="394" spans="2:25" x14ac:dyDescent="0.25">
      <c r="B394">
        <v>392</v>
      </c>
      <c r="C394">
        <v>40</v>
      </c>
      <c r="D394">
        <v>51</v>
      </c>
      <c r="K394" t="e">
        <f>LOOKUP(tblEnrolledSubjs[[#This Row],[EStudID]],#REF!,#REF!)</f>
        <v>#REF!</v>
      </c>
      <c r="L394" t="e">
        <f>LOOKUP(K394,tblStudents[StudID],tblStudents[SchoolIDNo])</f>
        <v>#REF!</v>
      </c>
      <c r="M394" t="e">
        <f t="shared" si="7"/>
        <v>#VALUE!</v>
      </c>
      <c r="P394" t="str">
        <f t="shared" si="8"/>
        <v>(NULL,"40","51"),</v>
      </c>
      <c r="Q394" t="str">
        <f>TextJoin(tblEnrolledSubjs[[#This Row],[CSubjID]:[EStudID]],"Value")</f>
        <v>"40","51"</v>
      </c>
      <c r="S394">
        <f>LOOKUP(LOOKUP(tblEnrolledSubjs[[#This Row],[CSubjID]], tblClassSubjs[CSubjID],tblClassSubjs[ClassID]),tblClasses[ClassID],tblClasses[STermID])</f>
        <v>1</v>
      </c>
      <c r="T394" t="str">
        <f>LOOKUP(S394,tblSchoolTerms[STermID],tblSchoolTerms[SemesterID]&amp;" Semester "&amp;tblSchoolTerms[SchoolYear])</f>
        <v>2 Semester S.Y. 2018-2019</v>
      </c>
      <c r="W3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4" t="e">
        <f t="array" ref="Y394">INDEX(tblEnrolledStuds[EStudID],MATCH(tblEnrolledSubjs[[#This Row],[EStudID]]&amp;S394,tblEnrolledStuds[AdmissionStatusID]&amp;tblEnrolledStuds[StudID],0))</f>
        <v>#N/A</v>
      </c>
    </row>
    <row r="395" spans="2:25" x14ac:dyDescent="0.25">
      <c r="B395">
        <v>393</v>
      </c>
      <c r="C395">
        <v>40</v>
      </c>
      <c r="D395">
        <v>54</v>
      </c>
      <c r="K395" t="e">
        <f>LOOKUP(tblEnrolledSubjs[[#This Row],[EStudID]],#REF!,#REF!)</f>
        <v>#REF!</v>
      </c>
      <c r="L395" t="e">
        <f>LOOKUP(K395,tblStudents[StudID],tblStudents[SchoolIDNo])</f>
        <v>#REF!</v>
      </c>
      <c r="M395" t="e">
        <f t="shared" si="7"/>
        <v>#VALUE!</v>
      </c>
      <c r="P395" t="str">
        <f t="shared" si="8"/>
        <v>(NULL,"40","54"),</v>
      </c>
      <c r="Q395" t="str">
        <f>TextJoin(tblEnrolledSubjs[[#This Row],[CSubjID]:[EStudID]],"Value")</f>
        <v>"40","54"</v>
      </c>
      <c r="S395">
        <f>LOOKUP(LOOKUP(tblEnrolledSubjs[[#This Row],[CSubjID]], tblClassSubjs[CSubjID],tblClassSubjs[ClassID]),tblClasses[ClassID],tblClasses[STermID])</f>
        <v>1</v>
      </c>
      <c r="T395" t="str">
        <f>LOOKUP(S395,tblSchoolTerms[STermID],tblSchoolTerms[SemesterID]&amp;" Semester "&amp;tblSchoolTerms[SchoolYear])</f>
        <v>2 Semester S.Y. 2018-2019</v>
      </c>
      <c r="W3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5" t="e">
        <f t="array" ref="Y395">INDEX(tblEnrolledStuds[EStudID],MATCH(tblEnrolledSubjs[[#This Row],[EStudID]]&amp;S395,tblEnrolledStuds[AdmissionStatusID]&amp;tblEnrolledStuds[StudID],0))</f>
        <v>#N/A</v>
      </c>
    </row>
    <row r="396" spans="2:25" x14ac:dyDescent="0.25">
      <c r="B396">
        <v>394</v>
      </c>
      <c r="C396">
        <v>40</v>
      </c>
      <c r="D396">
        <v>31</v>
      </c>
      <c r="K396" t="e">
        <f>LOOKUP(tblEnrolledSubjs[[#This Row],[EStudID]],#REF!,#REF!)</f>
        <v>#REF!</v>
      </c>
      <c r="L396" t="e">
        <f>LOOKUP(K396,tblStudents[StudID],tblStudents[SchoolIDNo])</f>
        <v>#REF!</v>
      </c>
      <c r="M396" t="e">
        <f t="shared" si="7"/>
        <v>#VALUE!</v>
      </c>
      <c r="P396" t="str">
        <f t="shared" si="8"/>
        <v>(NULL,"40","31"),</v>
      </c>
      <c r="Q396" t="str">
        <f>TextJoin(tblEnrolledSubjs[[#This Row],[CSubjID]:[EStudID]],"Value")</f>
        <v>"40","31"</v>
      </c>
      <c r="S396">
        <f>LOOKUP(LOOKUP(tblEnrolledSubjs[[#This Row],[CSubjID]], tblClassSubjs[CSubjID],tblClassSubjs[ClassID]),tblClasses[ClassID],tblClasses[STermID])</f>
        <v>1</v>
      </c>
      <c r="T396" t="str">
        <f>LOOKUP(S396,tblSchoolTerms[STermID],tblSchoolTerms[SemesterID]&amp;" Semester "&amp;tblSchoolTerms[SchoolYear])</f>
        <v>2 Semester S.Y. 2018-2019</v>
      </c>
      <c r="W3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6">
        <f t="array" ref="Y396">INDEX(tblEnrolledStuds[EStudID],MATCH(tblEnrolledSubjs[[#This Row],[EStudID]]&amp;S396,tblEnrolledStuds[AdmissionStatusID]&amp;tblEnrolledStuds[StudID],0))</f>
        <v>11</v>
      </c>
    </row>
    <row r="397" spans="2:25" x14ac:dyDescent="0.25">
      <c r="B397">
        <v>395</v>
      </c>
      <c r="C397">
        <v>41</v>
      </c>
      <c r="D397">
        <v>4</v>
      </c>
      <c r="K397" t="e">
        <f>LOOKUP(tblEnrolledSubjs[[#This Row],[EStudID]],#REF!,#REF!)</f>
        <v>#REF!</v>
      </c>
      <c r="L397" t="e">
        <f>LOOKUP(K397,tblStudents[StudID],tblStudents[SchoolIDNo])</f>
        <v>#REF!</v>
      </c>
      <c r="M397" t="e">
        <f t="shared" si="7"/>
        <v>#VALUE!</v>
      </c>
      <c r="P397" t="str">
        <f t="shared" si="8"/>
        <v>(NULL,"41","4"),</v>
      </c>
      <c r="Q397" t="str">
        <f>TextJoin(tblEnrolledSubjs[[#This Row],[CSubjID]:[EStudID]],"Value")</f>
        <v>"41","4"</v>
      </c>
      <c r="S397">
        <f>LOOKUP(LOOKUP(tblEnrolledSubjs[[#This Row],[CSubjID]], tblClassSubjs[CSubjID],tblClassSubjs[ClassID]),tblClasses[ClassID],tblClasses[STermID])</f>
        <v>1</v>
      </c>
      <c r="T397" t="str">
        <f>LOOKUP(S397,tblSchoolTerms[STermID],tblSchoolTerms[SemesterID]&amp;" Semester "&amp;tblSchoolTerms[SchoolYear])</f>
        <v>2 Semester S.Y. 2018-2019</v>
      </c>
      <c r="W3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7" t="e">
        <f t="array" ref="Y397">INDEX(tblEnrolledStuds[EStudID],MATCH(tblEnrolledSubjs[[#This Row],[EStudID]]&amp;S397,tblEnrolledStuds[AdmissionStatusID]&amp;tblEnrolledStuds[StudID],0))</f>
        <v>#N/A</v>
      </c>
    </row>
    <row r="398" spans="2:25" x14ac:dyDescent="0.25">
      <c r="B398">
        <v>396</v>
      </c>
      <c r="C398">
        <v>41</v>
      </c>
      <c r="D398">
        <v>30</v>
      </c>
      <c r="K398" t="e">
        <f>LOOKUP(tblEnrolledSubjs[[#This Row],[EStudID]],#REF!,#REF!)</f>
        <v>#REF!</v>
      </c>
      <c r="L398" t="e">
        <f>LOOKUP(K398,tblStudents[StudID],tblStudents[SchoolIDNo])</f>
        <v>#REF!</v>
      </c>
      <c r="M398" t="e">
        <f t="shared" si="7"/>
        <v>#VALUE!</v>
      </c>
      <c r="P398" t="str">
        <f t="shared" si="8"/>
        <v>(NULL,"41","30"),</v>
      </c>
      <c r="Q398" t="str">
        <f>TextJoin(tblEnrolledSubjs[[#This Row],[CSubjID]:[EStudID]],"Value")</f>
        <v>"41","30"</v>
      </c>
      <c r="S398">
        <f>LOOKUP(LOOKUP(tblEnrolledSubjs[[#This Row],[CSubjID]], tblClassSubjs[CSubjID],tblClassSubjs[ClassID]),tblClasses[ClassID],tblClasses[STermID])</f>
        <v>1</v>
      </c>
      <c r="T398" t="str">
        <f>LOOKUP(S398,tblSchoolTerms[STermID],tblSchoolTerms[SemesterID]&amp;" Semester "&amp;tblSchoolTerms[SchoolYear])</f>
        <v>2 Semester S.Y. 2018-2019</v>
      </c>
      <c r="W3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8" t="e">
        <f t="array" ref="Y398">INDEX(tblEnrolledStuds[EStudID],MATCH(tblEnrolledSubjs[[#This Row],[EStudID]]&amp;S398,tblEnrolledStuds[AdmissionStatusID]&amp;tblEnrolledStuds[StudID],0))</f>
        <v>#N/A</v>
      </c>
    </row>
    <row r="399" spans="2:25" x14ac:dyDescent="0.25">
      <c r="B399">
        <v>397</v>
      </c>
      <c r="C399">
        <v>41</v>
      </c>
      <c r="D399">
        <v>38</v>
      </c>
      <c r="K399" t="e">
        <f>LOOKUP(tblEnrolledSubjs[[#This Row],[EStudID]],#REF!,#REF!)</f>
        <v>#REF!</v>
      </c>
      <c r="L399" t="e">
        <f>LOOKUP(K399,tblStudents[StudID],tblStudents[SchoolIDNo])</f>
        <v>#REF!</v>
      </c>
      <c r="M399" t="e">
        <f t="shared" si="7"/>
        <v>#VALUE!</v>
      </c>
      <c r="P399" t="str">
        <f t="shared" si="8"/>
        <v>(NULL,"41","38"),</v>
      </c>
      <c r="Q399" t="str">
        <f>TextJoin(tblEnrolledSubjs[[#This Row],[CSubjID]:[EStudID]],"Value")</f>
        <v>"41","38"</v>
      </c>
      <c r="S399">
        <f>LOOKUP(LOOKUP(tblEnrolledSubjs[[#This Row],[CSubjID]], tblClassSubjs[CSubjID],tblClassSubjs[ClassID]),tblClasses[ClassID],tblClasses[STermID])</f>
        <v>1</v>
      </c>
      <c r="T399" t="str">
        <f>LOOKUP(S399,tblSchoolTerms[STermID],tblSchoolTerms[SemesterID]&amp;" Semester "&amp;tblSchoolTerms[SchoolYear])</f>
        <v>2 Semester S.Y. 2018-2019</v>
      </c>
      <c r="W3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399" t="e">
        <f t="array" ref="Y399">INDEX(tblEnrolledStuds[EStudID],MATCH(tblEnrolledSubjs[[#This Row],[EStudID]]&amp;S399,tblEnrolledStuds[AdmissionStatusID]&amp;tblEnrolledStuds[StudID],0))</f>
        <v>#N/A</v>
      </c>
    </row>
    <row r="400" spans="2:25" x14ac:dyDescent="0.25">
      <c r="B400">
        <v>398</v>
      </c>
      <c r="C400">
        <v>41</v>
      </c>
      <c r="D400">
        <v>42</v>
      </c>
      <c r="K400" t="e">
        <f>LOOKUP(tblEnrolledSubjs[[#This Row],[EStudID]],#REF!,#REF!)</f>
        <v>#REF!</v>
      </c>
      <c r="L400" t="e">
        <f>LOOKUP(K400,tblStudents[StudID],tblStudents[SchoolIDNo])</f>
        <v>#REF!</v>
      </c>
      <c r="M400" t="e">
        <f t="shared" si="7"/>
        <v>#VALUE!</v>
      </c>
      <c r="P400" t="str">
        <f t="shared" si="8"/>
        <v>(NULL,"41","42"),</v>
      </c>
      <c r="Q400" t="str">
        <f>TextJoin(tblEnrolledSubjs[[#This Row],[CSubjID]:[EStudID]],"Value")</f>
        <v>"41","42"</v>
      </c>
      <c r="S400">
        <f>LOOKUP(LOOKUP(tblEnrolledSubjs[[#This Row],[CSubjID]], tblClassSubjs[CSubjID],tblClassSubjs[ClassID]),tblClasses[ClassID],tblClasses[STermID])</f>
        <v>1</v>
      </c>
      <c r="T400" t="str">
        <f>LOOKUP(S400,tblSchoolTerms[STermID],tblSchoolTerms[SemesterID]&amp;" Semester "&amp;tblSchoolTerms[SchoolYear])</f>
        <v>2 Semester S.Y. 2018-2019</v>
      </c>
      <c r="W4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0" t="e">
        <f t="array" ref="Y400">INDEX(tblEnrolledStuds[EStudID],MATCH(tblEnrolledSubjs[[#This Row],[EStudID]]&amp;S400,tblEnrolledStuds[AdmissionStatusID]&amp;tblEnrolledStuds[StudID],0))</f>
        <v>#N/A</v>
      </c>
    </row>
    <row r="401" spans="2:25" x14ac:dyDescent="0.25">
      <c r="B401">
        <v>399</v>
      </c>
      <c r="C401">
        <v>42</v>
      </c>
      <c r="D401">
        <v>4</v>
      </c>
      <c r="K401" t="e">
        <f>LOOKUP(tblEnrolledSubjs[[#This Row],[EStudID]],#REF!,#REF!)</f>
        <v>#REF!</v>
      </c>
      <c r="L401" t="e">
        <f>LOOKUP(K401,tblStudents[StudID],tblStudents[SchoolIDNo])</f>
        <v>#REF!</v>
      </c>
      <c r="M401" t="e">
        <f t="shared" si="7"/>
        <v>#VALUE!</v>
      </c>
      <c r="P401" t="str">
        <f t="shared" si="8"/>
        <v>(NULL,"42","4"),</v>
      </c>
      <c r="Q401" t="str">
        <f>TextJoin(tblEnrolledSubjs[[#This Row],[CSubjID]:[EStudID]],"Value")</f>
        <v>"42","4"</v>
      </c>
      <c r="S401">
        <f>LOOKUP(LOOKUP(tblEnrolledSubjs[[#This Row],[CSubjID]], tblClassSubjs[CSubjID],tblClassSubjs[ClassID]),tblClasses[ClassID],tblClasses[STermID])</f>
        <v>1</v>
      </c>
      <c r="T401" t="str">
        <f>LOOKUP(S401,tblSchoolTerms[STermID],tblSchoolTerms[SemesterID]&amp;" Semester "&amp;tblSchoolTerms[SchoolYear])</f>
        <v>2 Semester S.Y. 2018-2019</v>
      </c>
      <c r="W4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1" t="e">
        <f t="array" ref="Y401">INDEX(tblEnrolledStuds[EStudID],MATCH(tblEnrolledSubjs[[#This Row],[EStudID]]&amp;S401,tblEnrolledStuds[AdmissionStatusID]&amp;tblEnrolledStuds[StudID],0))</f>
        <v>#N/A</v>
      </c>
    </row>
    <row r="402" spans="2:25" x14ac:dyDescent="0.25">
      <c r="B402">
        <v>400</v>
      </c>
      <c r="C402">
        <v>42</v>
      </c>
      <c r="D402">
        <v>30</v>
      </c>
      <c r="K402" t="e">
        <f>LOOKUP(tblEnrolledSubjs[[#This Row],[EStudID]],#REF!,#REF!)</f>
        <v>#REF!</v>
      </c>
      <c r="L402" t="e">
        <f>LOOKUP(K402,tblStudents[StudID],tblStudents[SchoolIDNo])</f>
        <v>#REF!</v>
      </c>
      <c r="M402" t="e">
        <f t="shared" si="7"/>
        <v>#VALUE!</v>
      </c>
      <c r="P402" t="str">
        <f t="shared" si="8"/>
        <v>(NULL,"42","30"),</v>
      </c>
      <c r="Q402" t="str">
        <f>TextJoin(tblEnrolledSubjs[[#This Row],[CSubjID]:[EStudID]],"Value")</f>
        <v>"42","30"</v>
      </c>
      <c r="S402">
        <f>LOOKUP(LOOKUP(tblEnrolledSubjs[[#This Row],[CSubjID]], tblClassSubjs[CSubjID],tblClassSubjs[ClassID]),tblClasses[ClassID],tblClasses[STermID])</f>
        <v>1</v>
      </c>
      <c r="T402" t="str">
        <f>LOOKUP(S402,tblSchoolTerms[STermID],tblSchoolTerms[SemesterID]&amp;" Semester "&amp;tblSchoolTerms[SchoolYear])</f>
        <v>2 Semester S.Y. 2018-2019</v>
      </c>
      <c r="W4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2" t="e">
        <f t="array" ref="Y402">INDEX(tblEnrolledStuds[EStudID],MATCH(tblEnrolledSubjs[[#This Row],[EStudID]]&amp;S402,tblEnrolledStuds[AdmissionStatusID]&amp;tblEnrolledStuds[StudID],0))</f>
        <v>#N/A</v>
      </c>
    </row>
    <row r="403" spans="2:25" x14ac:dyDescent="0.25">
      <c r="B403">
        <v>401</v>
      </c>
      <c r="C403">
        <v>42</v>
      </c>
      <c r="D403">
        <v>38</v>
      </c>
      <c r="K403" t="e">
        <f>LOOKUP(tblEnrolledSubjs[[#This Row],[EStudID]],#REF!,#REF!)</f>
        <v>#REF!</v>
      </c>
      <c r="L403" t="e">
        <f>LOOKUP(K403,tblStudents[StudID],tblStudents[SchoolIDNo])</f>
        <v>#REF!</v>
      </c>
      <c r="M403" t="e">
        <f t="shared" si="7"/>
        <v>#VALUE!</v>
      </c>
      <c r="P403" t="str">
        <f t="shared" si="8"/>
        <v>(NULL,"42","38"),</v>
      </c>
      <c r="Q403" t="str">
        <f>TextJoin(tblEnrolledSubjs[[#This Row],[CSubjID]:[EStudID]],"Value")</f>
        <v>"42","38"</v>
      </c>
      <c r="S403">
        <f>LOOKUP(LOOKUP(tblEnrolledSubjs[[#This Row],[CSubjID]], tblClassSubjs[CSubjID],tblClassSubjs[ClassID]),tblClasses[ClassID],tblClasses[STermID])</f>
        <v>1</v>
      </c>
      <c r="T403" t="str">
        <f>LOOKUP(S403,tblSchoolTerms[STermID],tblSchoolTerms[SemesterID]&amp;" Semester "&amp;tblSchoolTerms[SchoolYear])</f>
        <v>2 Semester S.Y. 2018-2019</v>
      </c>
      <c r="W4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3" t="e">
        <f t="array" ref="Y403">INDEX(tblEnrolledStuds[EStudID],MATCH(tblEnrolledSubjs[[#This Row],[EStudID]]&amp;S403,tblEnrolledStuds[AdmissionStatusID]&amp;tblEnrolledStuds[StudID],0))</f>
        <v>#N/A</v>
      </c>
    </row>
    <row r="404" spans="2:25" x14ac:dyDescent="0.25">
      <c r="B404">
        <v>402</v>
      </c>
      <c r="C404">
        <v>42</v>
      </c>
      <c r="D404">
        <v>42</v>
      </c>
      <c r="K404" t="e">
        <f>LOOKUP(tblEnrolledSubjs[[#This Row],[EStudID]],#REF!,#REF!)</f>
        <v>#REF!</v>
      </c>
      <c r="L404" t="e">
        <f>LOOKUP(K404,tblStudents[StudID],tblStudents[SchoolIDNo])</f>
        <v>#REF!</v>
      </c>
      <c r="M404" t="e">
        <f t="shared" si="7"/>
        <v>#VALUE!</v>
      </c>
      <c r="P404" t="str">
        <f t="shared" si="8"/>
        <v>(NULL,"42","42"),</v>
      </c>
      <c r="Q404" t="str">
        <f>TextJoin(tblEnrolledSubjs[[#This Row],[CSubjID]:[EStudID]],"Value")</f>
        <v>"42","42"</v>
      </c>
      <c r="S404">
        <f>LOOKUP(LOOKUP(tblEnrolledSubjs[[#This Row],[CSubjID]], tblClassSubjs[CSubjID],tblClassSubjs[ClassID]),tblClasses[ClassID],tblClasses[STermID])</f>
        <v>1</v>
      </c>
      <c r="T404" t="str">
        <f>LOOKUP(S404,tblSchoolTerms[STermID],tblSchoolTerms[SemesterID]&amp;" Semester "&amp;tblSchoolTerms[SchoolYear])</f>
        <v>2 Semester S.Y. 2018-2019</v>
      </c>
      <c r="W4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4" t="e">
        <f t="array" ref="Y404">INDEX(tblEnrolledStuds[EStudID],MATCH(tblEnrolledSubjs[[#This Row],[EStudID]]&amp;S404,tblEnrolledStuds[AdmissionStatusID]&amp;tblEnrolledStuds[StudID],0))</f>
        <v>#N/A</v>
      </c>
    </row>
    <row r="405" spans="2:25" x14ac:dyDescent="0.25">
      <c r="B405">
        <v>403</v>
      </c>
      <c r="C405">
        <v>43</v>
      </c>
      <c r="D405">
        <v>4</v>
      </c>
      <c r="K405" t="e">
        <f>LOOKUP(tblEnrolledSubjs[[#This Row],[EStudID]],#REF!,#REF!)</f>
        <v>#REF!</v>
      </c>
      <c r="L405" t="e">
        <f>LOOKUP(K405,tblStudents[StudID],tblStudents[SchoolIDNo])</f>
        <v>#REF!</v>
      </c>
      <c r="M405" t="e">
        <f t="shared" si="7"/>
        <v>#VALUE!</v>
      </c>
      <c r="P405" t="str">
        <f t="shared" si="8"/>
        <v>(NULL,"43","4"),</v>
      </c>
      <c r="Q405" t="str">
        <f>TextJoin(tblEnrolledSubjs[[#This Row],[CSubjID]:[EStudID]],"Value")</f>
        <v>"43","4"</v>
      </c>
      <c r="S405">
        <f>LOOKUP(LOOKUP(tblEnrolledSubjs[[#This Row],[CSubjID]], tblClassSubjs[CSubjID],tblClassSubjs[ClassID]),tblClasses[ClassID],tblClasses[STermID])</f>
        <v>1</v>
      </c>
      <c r="T405" t="str">
        <f>LOOKUP(S405,tblSchoolTerms[STermID],tblSchoolTerms[SemesterID]&amp;" Semester "&amp;tblSchoolTerms[SchoolYear])</f>
        <v>2 Semester S.Y. 2018-2019</v>
      </c>
      <c r="W4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5" t="e">
        <f t="array" ref="Y405">INDEX(tblEnrolledStuds[EStudID],MATCH(tblEnrolledSubjs[[#This Row],[EStudID]]&amp;S405,tblEnrolledStuds[AdmissionStatusID]&amp;tblEnrolledStuds[StudID],0))</f>
        <v>#N/A</v>
      </c>
    </row>
    <row r="406" spans="2:25" x14ac:dyDescent="0.25">
      <c r="B406">
        <v>404</v>
      </c>
      <c r="C406">
        <v>43</v>
      </c>
      <c r="D406">
        <v>30</v>
      </c>
      <c r="K406" t="e">
        <f>LOOKUP(tblEnrolledSubjs[[#This Row],[EStudID]],#REF!,#REF!)</f>
        <v>#REF!</v>
      </c>
      <c r="L406" t="e">
        <f>LOOKUP(K406,tblStudents[StudID],tblStudents[SchoolIDNo])</f>
        <v>#REF!</v>
      </c>
      <c r="M406" t="e">
        <f t="shared" si="7"/>
        <v>#VALUE!</v>
      </c>
      <c r="P406" t="str">
        <f t="shared" si="8"/>
        <v>(NULL,"43","30"),</v>
      </c>
      <c r="Q406" t="str">
        <f>TextJoin(tblEnrolledSubjs[[#This Row],[CSubjID]:[EStudID]],"Value")</f>
        <v>"43","30"</v>
      </c>
      <c r="S406">
        <f>LOOKUP(LOOKUP(tblEnrolledSubjs[[#This Row],[CSubjID]], tblClassSubjs[CSubjID],tblClassSubjs[ClassID]),tblClasses[ClassID],tblClasses[STermID])</f>
        <v>1</v>
      </c>
      <c r="T406" t="str">
        <f>LOOKUP(S406,tblSchoolTerms[STermID],tblSchoolTerms[SemesterID]&amp;" Semester "&amp;tblSchoolTerms[SchoolYear])</f>
        <v>2 Semester S.Y. 2018-2019</v>
      </c>
      <c r="W4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6" t="e">
        <f t="array" ref="Y406">INDEX(tblEnrolledStuds[EStudID],MATCH(tblEnrolledSubjs[[#This Row],[EStudID]]&amp;S406,tblEnrolledStuds[AdmissionStatusID]&amp;tblEnrolledStuds[StudID],0))</f>
        <v>#N/A</v>
      </c>
    </row>
    <row r="407" spans="2:25" x14ac:dyDescent="0.25">
      <c r="B407">
        <v>405</v>
      </c>
      <c r="C407">
        <v>43</v>
      </c>
      <c r="D407">
        <v>38</v>
      </c>
      <c r="K407" t="e">
        <f>LOOKUP(tblEnrolledSubjs[[#This Row],[EStudID]],#REF!,#REF!)</f>
        <v>#REF!</v>
      </c>
      <c r="L407" t="e">
        <f>LOOKUP(K407,tblStudents[StudID],tblStudents[SchoolIDNo])</f>
        <v>#REF!</v>
      </c>
      <c r="M407" t="e">
        <f t="shared" si="7"/>
        <v>#VALUE!</v>
      </c>
      <c r="P407" t="str">
        <f t="shared" si="8"/>
        <v>(NULL,"43","38"),</v>
      </c>
      <c r="Q407" t="str">
        <f>TextJoin(tblEnrolledSubjs[[#This Row],[CSubjID]:[EStudID]],"Value")</f>
        <v>"43","38"</v>
      </c>
      <c r="S407">
        <f>LOOKUP(LOOKUP(tblEnrolledSubjs[[#This Row],[CSubjID]], tblClassSubjs[CSubjID],tblClassSubjs[ClassID]),tblClasses[ClassID],tblClasses[STermID])</f>
        <v>1</v>
      </c>
      <c r="T407" t="str">
        <f>LOOKUP(S407,tblSchoolTerms[STermID],tblSchoolTerms[SemesterID]&amp;" Semester "&amp;tblSchoolTerms[SchoolYear])</f>
        <v>2 Semester S.Y. 2018-2019</v>
      </c>
      <c r="W4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7" t="e">
        <f t="array" ref="Y407">INDEX(tblEnrolledStuds[EStudID],MATCH(tblEnrolledSubjs[[#This Row],[EStudID]]&amp;S407,tblEnrolledStuds[AdmissionStatusID]&amp;tblEnrolledStuds[StudID],0))</f>
        <v>#N/A</v>
      </c>
    </row>
    <row r="408" spans="2:25" x14ac:dyDescent="0.25">
      <c r="B408">
        <v>406</v>
      </c>
      <c r="C408">
        <v>43</v>
      </c>
      <c r="D408">
        <v>42</v>
      </c>
      <c r="K408" t="e">
        <f>LOOKUP(tblEnrolledSubjs[[#This Row],[EStudID]],#REF!,#REF!)</f>
        <v>#REF!</v>
      </c>
      <c r="L408" t="e">
        <f>LOOKUP(K408,tblStudents[StudID],tblStudents[SchoolIDNo])</f>
        <v>#REF!</v>
      </c>
      <c r="M408" t="e">
        <f t="shared" si="7"/>
        <v>#VALUE!</v>
      </c>
      <c r="P408" t="str">
        <f t="shared" si="8"/>
        <v>(NULL,"43","42"),</v>
      </c>
      <c r="Q408" t="str">
        <f>TextJoin(tblEnrolledSubjs[[#This Row],[CSubjID]:[EStudID]],"Value")</f>
        <v>"43","42"</v>
      </c>
      <c r="S408">
        <f>LOOKUP(LOOKUP(tblEnrolledSubjs[[#This Row],[CSubjID]], tblClassSubjs[CSubjID],tblClassSubjs[ClassID]),tblClasses[ClassID],tblClasses[STermID])</f>
        <v>1</v>
      </c>
      <c r="T408" t="str">
        <f>LOOKUP(S408,tblSchoolTerms[STermID],tblSchoolTerms[SemesterID]&amp;" Semester "&amp;tblSchoolTerms[SchoolYear])</f>
        <v>2 Semester S.Y. 2018-2019</v>
      </c>
      <c r="W4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8" t="e">
        <f t="array" ref="Y408">INDEX(tblEnrolledStuds[EStudID],MATCH(tblEnrolledSubjs[[#This Row],[EStudID]]&amp;S408,tblEnrolledStuds[AdmissionStatusID]&amp;tblEnrolledStuds[StudID],0))</f>
        <v>#N/A</v>
      </c>
    </row>
    <row r="409" spans="2:25" x14ac:dyDescent="0.25">
      <c r="B409">
        <v>407</v>
      </c>
      <c r="C409">
        <v>44</v>
      </c>
      <c r="D409">
        <v>4</v>
      </c>
      <c r="K409" t="e">
        <f>LOOKUP(tblEnrolledSubjs[[#This Row],[EStudID]],#REF!,#REF!)</f>
        <v>#REF!</v>
      </c>
      <c r="L409" t="e">
        <f>LOOKUP(K409,tblStudents[StudID],tblStudents[SchoolIDNo])</f>
        <v>#REF!</v>
      </c>
      <c r="M409" t="e">
        <f t="shared" si="7"/>
        <v>#VALUE!</v>
      </c>
      <c r="P409" t="str">
        <f t="shared" si="8"/>
        <v>(NULL,"44","4"),</v>
      </c>
      <c r="Q409" t="str">
        <f>TextJoin(tblEnrolledSubjs[[#This Row],[CSubjID]:[EStudID]],"Value")</f>
        <v>"44","4"</v>
      </c>
      <c r="S409">
        <f>LOOKUP(LOOKUP(tblEnrolledSubjs[[#This Row],[CSubjID]], tblClassSubjs[CSubjID],tblClassSubjs[ClassID]),tblClasses[ClassID],tblClasses[STermID])</f>
        <v>1</v>
      </c>
      <c r="T409" t="str">
        <f>LOOKUP(S409,tblSchoolTerms[STermID],tblSchoolTerms[SemesterID]&amp;" Semester "&amp;tblSchoolTerms[SchoolYear])</f>
        <v>2 Semester S.Y. 2018-2019</v>
      </c>
      <c r="W4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09" t="e">
        <f t="array" ref="Y409">INDEX(tblEnrolledStuds[EStudID],MATCH(tblEnrolledSubjs[[#This Row],[EStudID]]&amp;S409,tblEnrolledStuds[AdmissionStatusID]&amp;tblEnrolledStuds[StudID],0))</f>
        <v>#N/A</v>
      </c>
    </row>
    <row r="410" spans="2:25" x14ac:dyDescent="0.25">
      <c r="B410">
        <v>408</v>
      </c>
      <c r="C410">
        <v>44</v>
      </c>
      <c r="D410">
        <v>30</v>
      </c>
      <c r="K410" t="e">
        <f>LOOKUP(tblEnrolledSubjs[[#This Row],[EStudID]],#REF!,#REF!)</f>
        <v>#REF!</v>
      </c>
      <c r="L410" t="e">
        <f>LOOKUP(K410,tblStudents[StudID],tblStudents[SchoolIDNo])</f>
        <v>#REF!</v>
      </c>
      <c r="M410" t="e">
        <f t="shared" si="7"/>
        <v>#VALUE!</v>
      </c>
      <c r="P410" t="str">
        <f t="shared" si="8"/>
        <v>(NULL,"44","30"),</v>
      </c>
      <c r="Q410" t="str">
        <f>TextJoin(tblEnrolledSubjs[[#This Row],[CSubjID]:[EStudID]],"Value")</f>
        <v>"44","30"</v>
      </c>
      <c r="S410">
        <f>LOOKUP(LOOKUP(tblEnrolledSubjs[[#This Row],[CSubjID]], tblClassSubjs[CSubjID],tblClassSubjs[ClassID]),tblClasses[ClassID],tblClasses[STermID])</f>
        <v>1</v>
      </c>
      <c r="T410" t="str">
        <f>LOOKUP(S410,tblSchoolTerms[STermID],tblSchoolTerms[SemesterID]&amp;" Semester "&amp;tblSchoolTerms[SchoolYear])</f>
        <v>2 Semester S.Y. 2018-2019</v>
      </c>
      <c r="W4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0" t="e">
        <f t="array" ref="Y410">INDEX(tblEnrolledStuds[EStudID],MATCH(tblEnrolledSubjs[[#This Row],[EStudID]]&amp;S410,tblEnrolledStuds[AdmissionStatusID]&amp;tblEnrolledStuds[StudID],0))</f>
        <v>#N/A</v>
      </c>
    </row>
    <row r="411" spans="2:25" x14ac:dyDescent="0.25">
      <c r="B411">
        <v>409</v>
      </c>
      <c r="C411">
        <v>44</v>
      </c>
      <c r="D411">
        <v>38</v>
      </c>
      <c r="K411" t="e">
        <f>LOOKUP(tblEnrolledSubjs[[#This Row],[EStudID]],#REF!,#REF!)</f>
        <v>#REF!</v>
      </c>
      <c r="L411" t="e">
        <f>LOOKUP(K411,tblStudents[StudID],tblStudents[SchoolIDNo])</f>
        <v>#REF!</v>
      </c>
      <c r="M411" t="e">
        <f t="shared" si="7"/>
        <v>#VALUE!</v>
      </c>
      <c r="P411" t="str">
        <f t="shared" si="8"/>
        <v>(NULL,"44","38"),</v>
      </c>
      <c r="Q411" t="str">
        <f>TextJoin(tblEnrolledSubjs[[#This Row],[CSubjID]:[EStudID]],"Value")</f>
        <v>"44","38"</v>
      </c>
      <c r="S411">
        <f>LOOKUP(LOOKUP(tblEnrolledSubjs[[#This Row],[CSubjID]], tblClassSubjs[CSubjID],tblClassSubjs[ClassID]),tblClasses[ClassID],tblClasses[STermID])</f>
        <v>1</v>
      </c>
      <c r="T411" t="str">
        <f>LOOKUP(S411,tblSchoolTerms[STermID],tblSchoolTerms[SemesterID]&amp;" Semester "&amp;tblSchoolTerms[SchoolYear])</f>
        <v>2 Semester S.Y. 2018-2019</v>
      </c>
      <c r="W4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1" t="e">
        <f t="array" ref="Y411">INDEX(tblEnrolledStuds[EStudID],MATCH(tblEnrolledSubjs[[#This Row],[EStudID]]&amp;S411,tblEnrolledStuds[AdmissionStatusID]&amp;tblEnrolledStuds[StudID],0))</f>
        <v>#N/A</v>
      </c>
    </row>
    <row r="412" spans="2:25" x14ac:dyDescent="0.25">
      <c r="B412">
        <v>410</v>
      </c>
      <c r="C412">
        <v>44</v>
      </c>
      <c r="D412">
        <v>42</v>
      </c>
      <c r="K412" t="e">
        <f>LOOKUP(tblEnrolledSubjs[[#This Row],[EStudID]],#REF!,#REF!)</f>
        <v>#REF!</v>
      </c>
      <c r="L412" t="e">
        <f>LOOKUP(K412,tblStudents[StudID],tblStudents[SchoolIDNo])</f>
        <v>#REF!</v>
      </c>
      <c r="M412" t="e">
        <f t="shared" si="7"/>
        <v>#VALUE!</v>
      </c>
      <c r="P412" t="str">
        <f t="shared" si="8"/>
        <v>(NULL,"44","42"),</v>
      </c>
      <c r="Q412" t="str">
        <f>TextJoin(tblEnrolledSubjs[[#This Row],[CSubjID]:[EStudID]],"Value")</f>
        <v>"44","42"</v>
      </c>
      <c r="S412">
        <f>LOOKUP(LOOKUP(tblEnrolledSubjs[[#This Row],[CSubjID]], tblClassSubjs[CSubjID],tblClassSubjs[ClassID]),tblClasses[ClassID],tblClasses[STermID])</f>
        <v>1</v>
      </c>
      <c r="T412" t="str">
        <f>LOOKUP(S412,tblSchoolTerms[STermID],tblSchoolTerms[SemesterID]&amp;" Semester "&amp;tblSchoolTerms[SchoolYear])</f>
        <v>2 Semester S.Y. 2018-2019</v>
      </c>
      <c r="W4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2" t="e">
        <f t="array" ref="Y412">INDEX(tblEnrolledStuds[EStudID],MATCH(tblEnrolledSubjs[[#This Row],[EStudID]]&amp;S412,tblEnrolledStuds[AdmissionStatusID]&amp;tblEnrolledStuds[StudID],0))</f>
        <v>#N/A</v>
      </c>
    </row>
    <row r="413" spans="2:25" x14ac:dyDescent="0.25">
      <c r="B413">
        <v>411</v>
      </c>
      <c r="C413">
        <v>45</v>
      </c>
      <c r="D413">
        <v>5</v>
      </c>
      <c r="K413" t="e">
        <f>LOOKUP(tblEnrolledSubjs[[#This Row],[EStudID]],#REF!,#REF!)</f>
        <v>#REF!</v>
      </c>
      <c r="L413" t="e">
        <f>LOOKUP(K413,tblStudents[StudID],tblStudents[SchoolIDNo])</f>
        <v>#REF!</v>
      </c>
      <c r="M413" t="e">
        <f t="shared" si="7"/>
        <v>#VALUE!</v>
      </c>
      <c r="P413" t="str">
        <f t="shared" si="8"/>
        <v>(NULL,"45","5"),</v>
      </c>
      <c r="Q413" t="str">
        <f>TextJoin(tblEnrolledSubjs[[#This Row],[CSubjID]:[EStudID]],"Value")</f>
        <v>"45","5"</v>
      </c>
      <c r="S413">
        <f>LOOKUP(LOOKUP(tblEnrolledSubjs[[#This Row],[CSubjID]], tblClassSubjs[CSubjID],tblClassSubjs[ClassID]),tblClasses[ClassID],tblClasses[STermID])</f>
        <v>1</v>
      </c>
      <c r="T413" t="str">
        <f>LOOKUP(S413,tblSchoolTerms[STermID],tblSchoolTerms[SemesterID]&amp;" Semester "&amp;tblSchoolTerms[SchoolYear])</f>
        <v>2 Semester S.Y. 2018-2019</v>
      </c>
      <c r="W4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3" t="e">
        <f t="array" ref="Y413">INDEX(tblEnrolledStuds[EStudID],MATCH(tblEnrolledSubjs[[#This Row],[EStudID]]&amp;S413,tblEnrolledStuds[AdmissionStatusID]&amp;tblEnrolledStuds[StudID],0))</f>
        <v>#N/A</v>
      </c>
    </row>
    <row r="414" spans="2:25" x14ac:dyDescent="0.25">
      <c r="B414">
        <v>412</v>
      </c>
      <c r="C414">
        <v>45</v>
      </c>
      <c r="D414">
        <v>10</v>
      </c>
      <c r="K414" t="e">
        <f>LOOKUP(tblEnrolledSubjs[[#This Row],[EStudID]],#REF!,#REF!)</f>
        <v>#REF!</v>
      </c>
      <c r="L414" t="e">
        <f>LOOKUP(K414,tblStudents[StudID],tblStudents[SchoolIDNo])</f>
        <v>#REF!</v>
      </c>
      <c r="M414" t="e">
        <f t="shared" si="7"/>
        <v>#VALUE!</v>
      </c>
      <c r="P414" t="str">
        <f t="shared" si="8"/>
        <v>(NULL,"45","10"),</v>
      </c>
      <c r="Q414" t="str">
        <f>TextJoin(tblEnrolledSubjs[[#This Row],[CSubjID]:[EStudID]],"Value")</f>
        <v>"45","10"</v>
      </c>
      <c r="S414">
        <f>LOOKUP(LOOKUP(tblEnrolledSubjs[[#This Row],[CSubjID]], tblClassSubjs[CSubjID],tblClassSubjs[ClassID]),tblClasses[ClassID],tblClasses[STermID])</f>
        <v>1</v>
      </c>
      <c r="T414" t="str">
        <f>LOOKUP(S414,tblSchoolTerms[STermID],tblSchoolTerms[SemesterID]&amp;" Semester "&amp;tblSchoolTerms[SchoolYear])</f>
        <v>2 Semester S.Y. 2018-2019</v>
      </c>
      <c r="W4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4" t="e">
        <f t="array" ref="Y414">INDEX(tblEnrolledStuds[EStudID],MATCH(tblEnrolledSubjs[[#This Row],[EStudID]]&amp;S414,tblEnrolledStuds[AdmissionStatusID]&amp;tblEnrolledStuds[StudID],0))</f>
        <v>#N/A</v>
      </c>
    </row>
    <row r="415" spans="2:25" x14ac:dyDescent="0.25">
      <c r="B415">
        <v>413</v>
      </c>
      <c r="C415">
        <v>45</v>
      </c>
      <c r="D415">
        <v>18</v>
      </c>
      <c r="K415" t="e">
        <f>LOOKUP(tblEnrolledSubjs[[#This Row],[EStudID]],#REF!,#REF!)</f>
        <v>#REF!</v>
      </c>
      <c r="L415" t="e">
        <f>LOOKUP(K415,tblStudents[StudID],tblStudents[SchoolIDNo])</f>
        <v>#REF!</v>
      </c>
      <c r="M415" t="e">
        <f t="shared" si="7"/>
        <v>#VALUE!</v>
      </c>
      <c r="P415" t="str">
        <f t="shared" si="8"/>
        <v>(NULL,"45","18"),</v>
      </c>
      <c r="Q415" t="str">
        <f>TextJoin(tblEnrolledSubjs[[#This Row],[CSubjID]:[EStudID]],"Value")</f>
        <v>"45","18"</v>
      </c>
      <c r="S415">
        <f>LOOKUP(LOOKUP(tblEnrolledSubjs[[#This Row],[CSubjID]], tblClassSubjs[CSubjID],tblClassSubjs[ClassID]),tblClasses[ClassID],tblClasses[STermID])</f>
        <v>1</v>
      </c>
      <c r="T415" t="str">
        <f>LOOKUP(S415,tblSchoolTerms[STermID],tblSchoolTerms[SemesterID]&amp;" Semester "&amp;tblSchoolTerms[SchoolYear])</f>
        <v>2 Semester S.Y. 2018-2019</v>
      </c>
      <c r="W4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5" t="e">
        <f t="array" ref="Y415">INDEX(tblEnrolledStuds[EStudID],MATCH(tblEnrolledSubjs[[#This Row],[EStudID]]&amp;S415,tblEnrolledStuds[AdmissionStatusID]&amp;tblEnrolledStuds[StudID],0))</f>
        <v>#N/A</v>
      </c>
    </row>
    <row r="416" spans="2:25" x14ac:dyDescent="0.25">
      <c r="B416">
        <v>414</v>
      </c>
      <c r="C416">
        <v>45</v>
      </c>
      <c r="D416">
        <v>20</v>
      </c>
      <c r="K416" t="e">
        <f>LOOKUP(tblEnrolledSubjs[[#This Row],[EStudID]],#REF!,#REF!)</f>
        <v>#REF!</v>
      </c>
      <c r="L416" t="e">
        <f>LOOKUP(K416,tblStudents[StudID],tblStudents[SchoolIDNo])</f>
        <v>#REF!</v>
      </c>
      <c r="M416" t="e">
        <f t="shared" si="7"/>
        <v>#VALUE!</v>
      </c>
      <c r="P416" t="str">
        <f t="shared" si="8"/>
        <v>(NULL,"45","20"),</v>
      </c>
      <c r="Q416" t="str">
        <f>TextJoin(tblEnrolledSubjs[[#This Row],[CSubjID]:[EStudID]],"Value")</f>
        <v>"45","20"</v>
      </c>
      <c r="S416">
        <f>LOOKUP(LOOKUP(tblEnrolledSubjs[[#This Row],[CSubjID]], tblClassSubjs[CSubjID],tblClassSubjs[ClassID]),tblClasses[ClassID],tblClasses[STermID])</f>
        <v>1</v>
      </c>
      <c r="T416" t="str">
        <f>LOOKUP(S416,tblSchoolTerms[STermID],tblSchoolTerms[SemesterID]&amp;" Semester "&amp;tblSchoolTerms[SchoolYear])</f>
        <v>2 Semester S.Y. 2018-2019</v>
      </c>
      <c r="W4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6" t="e">
        <f t="array" ref="Y416">INDEX(tblEnrolledStuds[EStudID],MATCH(tblEnrolledSubjs[[#This Row],[EStudID]]&amp;S416,tblEnrolledStuds[AdmissionStatusID]&amp;tblEnrolledStuds[StudID],0))</f>
        <v>#N/A</v>
      </c>
    </row>
    <row r="417" spans="2:25" x14ac:dyDescent="0.25">
      <c r="B417">
        <v>415</v>
      </c>
      <c r="C417">
        <v>45</v>
      </c>
      <c r="D417">
        <v>22</v>
      </c>
      <c r="K417" t="e">
        <f>LOOKUP(tblEnrolledSubjs[[#This Row],[EStudID]],#REF!,#REF!)</f>
        <v>#REF!</v>
      </c>
      <c r="L417" t="e">
        <f>LOOKUP(K417,tblStudents[StudID],tblStudents[SchoolIDNo])</f>
        <v>#REF!</v>
      </c>
      <c r="M417" t="e">
        <f t="shared" si="7"/>
        <v>#VALUE!</v>
      </c>
      <c r="P417" t="str">
        <f t="shared" si="8"/>
        <v>(NULL,"45","22"),</v>
      </c>
      <c r="Q417" t="str">
        <f>TextJoin(tblEnrolledSubjs[[#This Row],[CSubjID]:[EStudID]],"Value")</f>
        <v>"45","22"</v>
      </c>
      <c r="S417">
        <f>LOOKUP(LOOKUP(tblEnrolledSubjs[[#This Row],[CSubjID]], tblClassSubjs[CSubjID],tblClassSubjs[ClassID]),tblClasses[ClassID],tblClasses[STermID])</f>
        <v>1</v>
      </c>
      <c r="T417" t="str">
        <f>LOOKUP(S417,tblSchoolTerms[STermID],tblSchoolTerms[SemesterID]&amp;" Semester "&amp;tblSchoolTerms[SchoolYear])</f>
        <v>2 Semester S.Y. 2018-2019</v>
      </c>
      <c r="W4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7" t="e">
        <f t="array" ref="Y417">INDEX(tblEnrolledStuds[EStudID],MATCH(tblEnrolledSubjs[[#This Row],[EStudID]]&amp;S417,tblEnrolledStuds[AdmissionStatusID]&amp;tblEnrolledStuds[StudID],0))</f>
        <v>#N/A</v>
      </c>
    </row>
    <row r="418" spans="2:25" x14ac:dyDescent="0.25">
      <c r="B418">
        <v>416</v>
      </c>
      <c r="C418">
        <v>45</v>
      </c>
      <c r="D418">
        <v>23</v>
      </c>
      <c r="K418" t="e">
        <f>LOOKUP(tblEnrolledSubjs[[#This Row],[EStudID]],#REF!,#REF!)</f>
        <v>#REF!</v>
      </c>
      <c r="L418" t="e">
        <f>LOOKUP(K418,tblStudents[StudID],tblStudents[SchoolIDNo])</f>
        <v>#REF!</v>
      </c>
      <c r="M418" t="e">
        <f t="shared" si="7"/>
        <v>#VALUE!</v>
      </c>
      <c r="P418" t="str">
        <f t="shared" si="8"/>
        <v>(NULL,"45","23"),</v>
      </c>
      <c r="Q418" t="str">
        <f>TextJoin(tblEnrolledSubjs[[#This Row],[CSubjID]:[EStudID]],"Value")</f>
        <v>"45","23"</v>
      </c>
      <c r="S418">
        <f>LOOKUP(LOOKUP(tblEnrolledSubjs[[#This Row],[CSubjID]], tblClassSubjs[CSubjID],tblClassSubjs[ClassID]),tblClasses[ClassID],tblClasses[STermID])</f>
        <v>1</v>
      </c>
      <c r="T418" t="str">
        <f>LOOKUP(S418,tblSchoolTerms[STermID],tblSchoolTerms[SemesterID]&amp;" Semester "&amp;tblSchoolTerms[SchoolYear])</f>
        <v>2 Semester S.Y. 2018-2019</v>
      </c>
      <c r="W4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8" t="e">
        <f t="array" ref="Y418">INDEX(tblEnrolledStuds[EStudID],MATCH(tblEnrolledSubjs[[#This Row],[EStudID]]&amp;S418,tblEnrolledStuds[AdmissionStatusID]&amp;tblEnrolledStuds[StudID],0))</f>
        <v>#N/A</v>
      </c>
    </row>
    <row r="419" spans="2:25" x14ac:dyDescent="0.25">
      <c r="B419">
        <v>417</v>
      </c>
      <c r="C419">
        <v>45</v>
      </c>
      <c r="D419">
        <v>25</v>
      </c>
      <c r="K419" t="e">
        <f>LOOKUP(tblEnrolledSubjs[[#This Row],[EStudID]],#REF!,#REF!)</f>
        <v>#REF!</v>
      </c>
      <c r="L419" t="e">
        <f>LOOKUP(K419,tblStudents[StudID],tblStudents[SchoolIDNo])</f>
        <v>#REF!</v>
      </c>
      <c r="M419" t="e">
        <f t="shared" si="7"/>
        <v>#VALUE!</v>
      </c>
      <c r="P419" t="str">
        <f t="shared" si="8"/>
        <v>(NULL,"45","25"),</v>
      </c>
      <c r="Q419" t="str">
        <f>TextJoin(tblEnrolledSubjs[[#This Row],[CSubjID]:[EStudID]],"Value")</f>
        <v>"45","25"</v>
      </c>
      <c r="S419">
        <f>LOOKUP(LOOKUP(tblEnrolledSubjs[[#This Row],[CSubjID]], tblClassSubjs[CSubjID],tblClassSubjs[ClassID]),tblClasses[ClassID],tblClasses[STermID])</f>
        <v>1</v>
      </c>
      <c r="T419" t="str">
        <f>LOOKUP(S419,tblSchoolTerms[STermID],tblSchoolTerms[SemesterID]&amp;" Semester "&amp;tblSchoolTerms[SchoolYear])</f>
        <v>2 Semester S.Y. 2018-2019</v>
      </c>
      <c r="W4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19" t="e">
        <f t="array" ref="Y419">INDEX(tblEnrolledStuds[EStudID],MATCH(tblEnrolledSubjs[[#This Row],[EStudID]]&amp;S419,tblEnrolledStuds[AdmissionStatusID]&amp;tblEnrolledStuds[StudID],0))</f>
        <v>#N/A</v>
      </c>
    </row>
    <row r="420" spans="2:25" x14ac:dyDescent="0.25">
      <c r="B420">
        <v>418</v>
      </c>
      <c r="C420">
        <v>45</v>
      </c>
      <c r="D420">
        <v>26</v>
      </c>
      <c r="K420" t="e">
        <f>LOOKUP(tblEnrolledSubjs[[#This Row],[EStudID]],#REF!,#REF!)</f>
        <v>#REF!</v>
      </c>
      <c r="L420" t="e">
        <f>LOOKUP(K420,tblStudents[StudID],tblStudents[SchoolIDNo])</f>
        <v>#REF!</v>
      </c>
      <c r="M420" t="e">
        <f t="shared" si="7"/>
        <v>#VALUE!</v>
      </c>
      <c r="P420" t="str">
        <f t="shared" si="8"/>
        <v>(NULL,"45","26"),</v>
      </c>
      <c r="Q420" t="str">
        <f>TextJoin(tblEnrolledSubjs[[#This Row],[CSubjID]:[EStudID]],"Value")</f>
        <v>"45","26"</v>
      </c>
      <c r="S420">
        <f>LOOKUP(LOOKUP(tblEnrolledSubjs[[#This Row],[CSubjID]], tblClassSubjs[CSubjID],tblClassSubjs[ClassID]),tblClasses[ClassID],tblClasses[STermID])</f>
        <v>1</v>
      </c>
      <c r="T420" t="str">
        <f>LOOKUP(S420,tblSchoolTerms[STermID],tblSchoolTerms[SemesterID]&amp;" Semester "&amp;tblSchoolTerms[SchoolYear])</f>
        <v>2 Semester S.Y. 2018-2019</v>
      </c>
      <c r="W4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0" t="e">
        <f t="array" ref="Y420">INDEX(tblEnrolledStuds[EStudID],MATCH(tblEnrolledSubjs[[#This Row],[EStudID]]&amp;S420,tblEnrolledStuds[AdmissionStatusID]&amp;tblEnrolledStuds[StudID],0))</f>
        <v>#N/A</v>
      </c>
    </row>
    <row r="421" spans="2:25" x14ac:dyDescent="0.25">
      <c r="B421">
        <v>419</v>
      </c>
      <c r="C421">
        <v>45</v>
      </c>
      <c r="D421">
        <v>27</v>
      </c>
      <c r="K421" t="e">
        <f>LOOKUP(tblEnrolledSubjs[[#This Row],[EStudID]],#REF!,#REF!)</f>
        <v>#REF!</v>
      </c>
      <c r="L421" t="e">
        <f>LOOKUP(K421,tblStudents[StudID],tblStudents[SchoolIDNo])</f>
        <v>#REF!</v>
      </c>
      <c r="M421" t="e">
        <f t="shared" si="7"/>
        <v>#VALUE!</v>
      </c>
      <c r="P421" t="str">
        <f t="shared" si="8"/>
        <v>(NULL,"45","27"),</v>
      </c>
      <c r="Q421" t="str">
        <f>TextJoin(tblEnrolledSubjs[[#This Row],[CSubjID]:[EStudID]],"Value")</f>
        <v>"45","27"</v>
      </c>
      <c r="S421">
        <f>LOOKUP(LOOKUP(tblEnrolledSubjs[[#This Row],[CSubjID]], tblClassSubjs[CSubjID],tblClassSubjs[ClassID]),tblClasses[ClassID],tblClasses[STermID])</f>
        <v>1</v>
      </c>
      <c r="T421" t="str">
        <f>LOOKUP(S421,tblSchoolTerms[STermID],tblSchoolTerms[SemesterID]&amp;" Semester "&amp;tblSchoolTerms[SchoolYear])</f>
        <v>2 Semester S.Y. 2018-2019</v>
      </c>
      <c r="W4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1">
        <f t="array" ref="Y421">INDEX(tblEnrolledStuds[EStudID],MATCH(tblEnrolledSubjs[[#This Row],[EStudID]]&amp;S421,tblEnrolledStuds[AdmissionStatusID]&amp;tblEnrolledStuds[StudID],0))</f>
        <v>190</v>
      </c>
    </row>
    <row r="422" spans="2:25" x14ac:dyDescent="0.25">
      <c r="B422">
        <v>420</v>
      </c>
      <c r="C422">
        <v>45</v>
      </c>
      <c r="D422">
        <v>28</v>
      </c>
      <c r="K422" t="e">
        <f>LOOKUP(tblEnrolledSubjs[[#This Row],[EStudID]],#REF!,#REF!)</f>
        <v>#REF!</v>
      </c>
      <c r="L422" t="e">
        <f>LOOKUP(K422,tblStudents[StudID],tblStudents[SchoolIDNo])</f>
        <v>#REF!</v>
      </c>
      <c r="M422" t="e">
        <f t="shared" ref="M422:M480" si="9">LOWER(MD5_string((L422)))</f>
        <v>#VALUE!</v>
      </c>
      <c r="P422" t="str">
        <f t="shared" si="8"/>
        <v>(NULL,"45","28"),</v>
      </c>
      <c r="Q422" t="str">
        <f>TextJoin(tblEnrolledSubjs[[#This Row],[CSubjID]:[EStudID]],"Value")</f>
        <v>"45","28"</v>
      </c>
      <c r="S422">
        <f>LOOKUP(LOOKUP(tblEnrolledSubjs[[#This Row],[CSubjID]], tblClassSubjs[CSubjID],tblClassSubjs[ClassID]),tblClasses[ClassID],tblClasses[STermID])</f>
        <v>1</v>
      </c>
      <c r="T422" t="str">
        <f>LOOKUP(S422,tblSchoolTerms[STermID],tblSchoolTerms[SemesterID]&amp;" Semester "&amp;tblSchoolTerms[SchoolYear])</f>
        <v>2 Semester S.Y. 2018-2019</v>
      </c>
      <c r="W4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2" t="e">
        <f t="array" ref="Y422">INDEX(tblEnrolledStuds[EStudID],MATCH(tblEnrolledSubjs[[#This Row],[EStudID]]&amp;S422,tblEnrolledStuds[AdmissionStatusID]&amp;tblEnrolledStuds[StudID],0))</f>
        <v>#N/A</v>
      </c>
    </row>
    <row r="423" spans="2:25" x14ac:dyDescent="0.25">
      <c r="B423">
        <v>421</v>
      </c>
      <c r="C423">
        <v>45</v>
      </c>
      <c r="D423">
        <v>33</v>
      </c>
      <c r="K423" t="e">
        <f>LOOKUP(tblEnrolledSubjs[[#This Row],[EStudID]],#REF!,#REF!)</f>
        <v>#REF!</v>
      </c>
      <c r="L423" t="e">
        <f>LOOKUP(K423,tblStudents[StudID],tblStudents[SchoolIDNo])</f>
        <v>#REF!</v>
      </c>
      <c r="M423" t="e">
        <f t="shared" si="9"/>
        <v>#VALUE!</v>
      </c>
      <c r="P423" t="str">
        <f t="shared" si="8"/>
        <v>(NULL,"45","33"),</v>
      </c>
      <c r="Q423" t="str">
        <f>TextJoin(tblEnrolledSubjs[[#This Row],[CSubjID]:[EStudID]],"Value")</f>
        <v>"45","33"</v>
      </c>
      <c r="S423">
        <f>LOOKUP(LOOKUP(tblEnrolledSubjs[[#This Row],[CSubjID]], tblClassSubjs[CSubjID],tblClassSubjs[ClassID]),tblClasses[ClassID],tblClasses[STermID])</f>
        <v>1</v>
      </c>
      <c r="T423" t="str">
        <f>LOOKUP(S423,tblSchoolTerms[STermID],tblSchoolTerms[SemesterID]&amp;" Semester "&amp;tblSchoolTerms[SchoolYear])</f>
        <v>2 Semester S.Y. 2018-2019</v>
      </c>
      <c r="W4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3">
        <f t="array" ref="Y423">INDEX(tblEnrolledStuds[EStudID],MATCH(tblEnrolledSubjs[[#This Row],[EStudID]]&amp;S423,tblEnrolledStuds[AdmissionStatusID]&amp;tblEnrolledStuds[StudID],0))</f>
        <v>31</v>
      </c>
    </row>
    <row r="424" spans="2:25" x14ac:dyDescent="0.25">
      <c r="B424">
        <v>422</v>
      </c>
      <c r="C424">
        <v>45</v>
      </c>
      <c r="D424">
        <v>43</v>
      </c>
      <c r="K424" t="e">
        <f>LOOKUP(tblEnrolledSubjs[[#This Row],[EStudID]],#REF!,#REF!)</f>
        <v>#REF!</v>
      </c>
      <c r="L424" t="e">
        <f>LOOKUP(K424,tblStudents[StudID],tblStudents[SchoolIDNo])</f>
        <v>#REF!</v>
      </c>
      <c r="M424" t="e">
        <f t="shared" si="9"/>
        <v>#VALUE!</v>
      </c>
      <c r="P424" t="str">
        <f t="shared" si="8"/>
        <v>(NULL,"45","43"),</v>
      </c>
      <c r="Q424" t="str">
        <f>TextJoin(tblEnrolledSubjs[[#This Row],[CSubjID]:[EStudID]],"Value")</f>
        <v>"45","43"</v>
      </c>
      <c r="S424">
        <f>LOOKUP(LOOKUP(tblEnrolledSubjs[[#This Row],[CSubjID]], tblClassSubjs[CSubjID],tblClassSubjs[ClassID]),tblClasses[ClassID],tblClasses[STermID])</f>
        <v>1</v>
      </c>
      <c r="T424" t="str">
        <f>LOOKUP(S424,tblSchoolTerms[STermID],tblSchoolTerms[SemesterID]&amp;" Semester "&amp;tblSchoolTerms[SchoolYear])</f>
        <v>2 Semester S.Y. 2018-2019</v>
      </c>
      <c r="W4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4" t="e">
        <f t="array" ref="Y424">INDEX(tblEnrolledStuds[EStudID],MATCH(tblEnrolledSubjs[[#This Row],[EStudID]]&amp;S424,tblEnrolledStuds[AdmissionStatusID]&amp;tblEnrolledStuds[StudID],0))</f>
        <v>#N/A</v>
      </c>
    </row>
    <row r="425" spans="2:25" x14ac:dyDescent="0.25">
      <c r="B425">
        <v>423</v>
      </c>
      <c r="C425">
        <v>45</v>
      </c>
      <c r="D425">
        <v>46</v>
      </c>
      <c r="K425" t="e">
        <f>LOOKUP(tblEnrolledSubjs[[#This Row],[EStudID]],#REF!,#REF!)</f>
        <v>#REF!</v>
      </c>
      <c r="L425" t="e">
        <f>LOOKUP(K425,tblStudents[StudID],tblStudents[SchoolIDNo])</f>
        <v>#REF!</v>
      </c>
      <c r="M425" t="e">
        <f t="shared" si="9"/>
        <v>#VALUE!</v>
      </c>
      <c r="P425" t="str">
        <f t="shared" si="8"/>
        <v>(NULL,"45","46"),</v>
      </c>
      <c r="Q425" t="str">
        <f>TextJoin(tblEnrolledSubjs[[#This Row],[CSubjID]:[EStudID]],"Value")</f>
        <v>"45","46"</v>
      </c>
      <c r="S425">
        <f>LOOKUP(LOOKUP(tblEnrolledSubjs[[#This Row],[CSubjID]], tblClassSubjs[CSubjID],tblClassSubjs[ClassID]),tblClasses[ClassID],tblClasses[STermID])</f>
        <v>1</v>
      </c>
      <c r="T425" t="str">
        <f>LOOKUP(S425,tblSchoolTerms[STermID],tblSchoolTerms[SemesterID]&amp;" Semester "&amp;tblSchoolTerms[SchoolYear])</f>
        <v>2 Semester S.Y. 2018-2019</v>
      </c>
      <c r="W4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5" t="e">
        <f t="array" ref="Y425">INDEX(tblEnrolledStuds[EStudID],MATCH(tblEnrolledSubjs[[#This Row],[EStudID]]&amp;S425,tblEnrolledStuds[AdmissionStatusID]&amp;tblEnrolledStuds[StudID],0))</f>
        <v>#N/A</v>
      </c>
    </row>
    <row r="426" spans="2:25" x14ac:dyDescent="0.25">
      <c r="B426">
        <v>424</v>
      </c>
      <c r="C426">
        <v>45</v>
      </c>
      <c r="D426">
        <v>56</v>
      </c>
      <c r="K426" t="e">
        <f>LOOKUP(tblEnrolledSubjs[[#This Row],[EStudID]],#REF!,#REF!)</f>
        <v>#REF!</v>
      </c>
      <c r="L426" t="e">
        <f>LOOKUP(K426,tblStudents[StudID],tblStudents[SchoolIDNo])</f>
        <v>#REF!</v>
      </c>
      <c r="M426" t="e">
        <f t="shared" si="9"/>
        <v>#VALUE!</v>
      </c>
      <c r="P426" t="str">
        <f t="shared" si="8"/>
        <v>(NULL,"45","56"),</v>
      </c>
      <c r="Q426" t="str">
        <f>TextJoin(tblEnrolledSubjs[[#This Row],[CSubjID]:[EStudID]],"Value")</f>
        <v>"45","56"</v>
      </c>
      <c r="S426">
        <f>LOOKUP(LOOKUP(tblEnrolledSubjs[[#This Row],[CSubjID]], tblClassSubjs[CSubjID],tblClassSubjs[ClassID]),tblClasses[ClassID],tblClasses[STermID])</f>
        <v>1</v>
      </c>
      <c r="T426" t="str">
        <f>LOOKUP(S426,tblSchoolTerms[STermID],tblSchoolTerms[SemesterID]&amp;" Semester "&amp;tblSchoolTerms[SchoolYear])</f>
        <v>2 Semester S.Y. 2018-2019</v>
      </c>
      <c r="W4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6" t="e">
        <f t="array" ref="Y426">INDEX(tblEnrolledStuds[EStudID],MATCH(tblEnrolledSubjs[[#This Row],[EStudID]]&amp;S426,tblEnrolledStuds[AdmissionStatusID]&amp;tblEnrolledStuds[StudID],0))</f>
        <v>#N/A</v>
      </c>
    </row>
    <row r="427" spans="2:25" x14ac:dyDescent="0.25">
      <c r="B427">
        <v>425</v>
      </c>
      <c r="C427">
        <v>45</v>
      </c>
      <c r="D427">
        <v>63</v>
      </c>
      <c r="K427" t="e">
        <f>LOOKUP(tblEnrolledSubjs[[#This Row],[EStudID]],#REF!,#REF!)</f>
        <v>#REF!</v>
      </c>
      <c r="L427" t="e">
        <f>LOOKUP(K427,tblStudents[StudID],tblStudents[SchoolIDNo])</f>
        <v>#REF!</v>
      </c>
      <c r="M427" t="e">
        <f t="shared" si="9"/>
        <v>#VALUE!</v>
      </c>
      <c r="P427" t="str">
        <f t="shared" si="8"/>
        <v>(NULL,"45","63"),</v>
      </c>
      <c r="Q427" t="str">
        <f>TextJoin(tblEnrolledSubjs[[#This Row],[CSubjID]:[EStudID]],"Value")</f>
        <v>"45","63"</v>
      </c>
      <c r="S427">
        <f>LOOKUP(LOOKUP(tblEnrolledSubjs[[#This Row],[CSubjID]], tblClassSubjs[CSubjID],tblClassSubjs[ClassID]),tblClasses[ClassID],tblClasses[STermID])</f>
        <v>1</v>
      </c>
      <c r="T427" t="str">
        <f>LOOKUP(S427,tblSchoolTerms[STermID],tblSchoolTerms[SemesterID]&amp;" Semester "&amp;tblSchoolTerms[SchoolYear])</f>
        <v>2 Semester S.Y. 2018-2019</v>
      </c>
      <c r="W4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7" t="e">
        <f t="array" ref="Y427">INDEX(tblEnrolledStuds[EStudID],MATCH(tblEnrolledSubjs[[#This Row],[EStudID]]&amp;S427,tblEnrolledStuds[AdmissionStatusID]&amp;tblEnrolledStuds[StudID],0))</f>
        <v>#N/A</v>
      </c>
    </row>
    <row r="428" spans="2:25" x14ac:dyDescent="0.25">
      <c r="B428">
        <v>426</v>
      </c>
      <c r="C428">
        <v>45</v>
      </c>
      <c r="D428">
        <v>68</v>
      </c>
      <c r="K428" t="e">
        <f>LOOKUP(tblEnrolledSubjs[[#This Row],[EStudID]],#REF!,#REF!)</f>
        <v>#REF!</v>
      </c>
      <c r="L428" t="e">
        <f>LOOKUP(K428,tblStudents[StudID],tblStudents[SchoolIDNo])</f>
        <v>#REF!</v>
      </c>
      <c r="M428" t="e">
        <f t="shared" si="9"/>
        <v>#VALUE!</v>
      </c>
      <c r="P428" t="str">
        <f t="shared" si="8"/>
        <v>(NULL,"45","68"),</v>
      </c>
      <c r="Q428" t="str">
        <f>TextJoin(tblEnrolledSubjs[[#This Row],[CSubjID]:[EStudID]],"Value")</f>
        <v>"45","68"</v>
      </c>
      <c r="S428">
        <f>LOOKUP(LOOKUP(tblEnrolledSubjs[[#This Row],[CSubjID]], tblClassSubjs[CSubjID],tblClassSubjs[ClassID]),tblClasses[ClassID],tblClasses[STermID])</f>
        <v>1</v>
      </c>
      <c r="T428" t="str">
        <f>LOOKUP(S428,tblSchoolTerms[STermID],tblSchoolTerms[SemesterID]&amp;" Semester "&amp;tblSchoolTerms[SchoolYear])</f>
        <v>2 Semester S.Y. 2018-2019</v>
      </c>
      <c r="W4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8" t="e">
        <f t="array" ref="Y428">INDEX(tblEnrolledStuds[EStudID],MATCH(tblEnrolledSubjs[[#This Row],[EStudID]]&amp;S428,tblEnrolledStuds[AdmissionStatusID]&amp;tblEnrolledStuds[StudID],0))</f>
        <v>#N/A</v>
      </c>
    </row>
    <row r="429" spans="2:25" x14ac:dyDescent="0.25">
      <c r="B429">
        <v>427</v>
      </c>
      <c r="C429">
        <v>45</v>
      </c>
      <c r="D429">
        <v>69</v>
      </c>
      <c r="K429" t="e">
        <f>LOOKUP(tblEnrolledSubjs[[#This Row],[EStudID]],#REF!,#REF!)</f>
        <v>#REF!</v>
      </c>
      <c r="L429" t="e">
        <f>LOOKUP(K429,tblStudents[StudID],tblStudents[SchoolIDNo])</f>
        <v>#REF!</v>
      </c>
      <c r="M429" t="e">
        <f t="shared" si="9"/>
        <v>#VALUE!</v>
      </c>
      <c r="P429" t="str">
        <f t="shared" si="8"/>
        <v>(NULL,"45","69"),</v>
      </c>
      <c r="Q429" t="str">
        <f>TextJoin(tblEnrolledSubjs[[#This Row],[CSubjID]:[EStudID]],"Value")</f>
        <v>"45","69"</v>
      </c>
      <c r="S429">
        <f>LOOKUP(LOOKUP(tblEnrolledSubjs[[#This Row],[CSubjID]], tblClassSubjs[CSubjID],tblClassSubjs[ClassID]),tblClasses[ClassID],tblClasses[STermID])</f>
        <v>1</v>
      </c>
      <c r="T429" t="str">
        <f>LOOKUP(S429,tblSchoolTerms[STermID],tblSchoolTerms[SemesterID]&amp;" Semester "&amp;tblSchoolTerms[SchoolYear])</f>
        <v>2 Semester S.Y. 2018-2019</v>
      </c>
      <c r="W4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29" t="e">
        <f t="array" ref="Y429">INDEX(tblEnrolledStuds[EStudID],MATCH(tblEnrolledSubjs[[#This Row],[EStudID]]&amp;S429,tblEnrolledStuds[AdmissionStatusID]&amp;tblEnrolledStuds[StudID],0))</f>
        <v>#N/A</v>
      </c>
    </row>
    <row r="430" spans="2:25" x14ac:dyDescent="0.25">
      <c r="B430">
        <v>428</v>
      </c>
      <c r="C430">
        <v>46</v>
      </c>
      <c r="D430">
        <v>12</v>
      </c>
      <c r="K430" t="e">
        <f>LOOKUP(tblEnrolledSubjs[[#This Row],[EStudID]],#REF!,#REF!)</f>
        <v>#REF!</v>
      </c>
      <c r="L430" t="e">
        <f>LOOKUP(K430,tblStudents[StudID],tblStudents[SchoolIDNo])</f>
        <v>#REF!</v>
      </c>
      <c r="M430" t="e">
        <f t="shared" si="9"/>
        <v>#VALUE!</v>
      </c>
      <c r="P430" t="str">
        <f t="shared" si="8"/>
        <v>(NULL,"46","12"),</v>
      </c>
      <c r="Q430" t="str">
        <f>TextJoin(tblEnrolledSubjs[[#This Row],[CSubjID]:[EStudID]],"Value")</f>
        <v>"46","12"</v>
      </c>
      <c r="S430">
        <f>LOOKUP(LOOKUP(tblEnrolledSubjs[[#This Row],[CSubjID]], tblClassSubjs[CSubjID],tblClassSubjs[ClassID]),tblClasses[ClassID],tblClasses[STermID])</f>
        <v>1</v>
      </c>
      <c r="T430" t="str">
        <f>LOOKUP(S430,tblSchoolTerms[STermID],tblSchoolTerms[SemesterID]&amp;" Semester "&amp;tblSchoolTerms[SchoolYear])</f>
        <v>2 Semester S.Y. 2018-2019</v>
      </c>
      <c r="W4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0" t="e">
        <f t="array" ref="Y430">INDEX(tblEnrolledStuds[EStudID],MATCH(tblEnrolledSubjs[[#This Row],[EStudID]]&amp;S430,tblEnrolledStuds[AdmissionStatusID]&amp;tblEnrolledStuds[StudID],0))</f>
        <v>#N/A</v>
      </c>
    </row>
    <row r="431" spans="2:25" x14ac:dyDescent="0.25">
      <c r="B431">
        <v>429</v>
      </c>
      <c r="C431">
        <v>46</v>
      </c>
      <c r="D431">
        <v>37</v>
      </c>
      <c r="K431" t="e">
        <f>LOOKUP(tblEnrolledSubjs[[#This Row],[EStudID]],#REF!,#REF!)</f>
        <v>#REF!</v>
      </c>
      <c r="L431" t="e">
        <f>LOOKUP(K431,tblStudents[StudID],tblStudents[SchoolIDNo])</f>
        <v>#REF!</v>
      </c>
      <c r="M431" t="e">
        <f t="shared" si="9"/>
        <v>#VALUE!</v>
      </c>
      <c r="P431" t="str">
        <f t="shared" si="8"/>
        <v>(NULL,"46","37"),</v>
      </c>
      <c r="Q431" t="str">
        <f>TextJoin(tblEnrolledSubjs[[#This Row],[CSubjID]:[EStudID]],"Value")</f>
        <v>"46","37"</v>
      </c>
      <c r="S431">
        <f>LOOKUP(LOOKUP(tblEnrolledSubjs[[#This Row],[CSubjID]], tblClassSubjs[CSubjID],tblClassSubjs[ClassID]),tblClasses[ClassID],tblClasses[STermID])</f>
        <v>1</v>
      </c>
      <c r="T431" t="str">
        <f>LOOKUP(S431,tblSchoolTerms[STermID],tblSchoolTerms[SemesterID]&amp;" Semester "&amp;tblSchoolTerms[SchoolYear])</f>
        <v>2 Semester S.Y. 2018-2019</v>
      </c>
      <c r="W4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1">
        <f t="array" ref="Y431">INDEX(tblEnrolledStuds[EStudID],MATCH(tblEnrolledSubjs[[#This Row],[EStudID]]&amp;S431,tblEnrolledStuds[AdmissionStatusID]&amp;tblEnrolledStuds[StudID],0))</f>
        <v>71</v>
      </c>
    </row>
    <row r="432" spans="2:25" x14ac:dyDescent="0.25">
      <c r="B432">
        <v>430</v>
      </c>
      <c r="C432">
        <v>46</v>
      </c>
      <c r="D432">
        <v>47</v>
      </c>
      <c r="K432" t="e">
        <f>LOOKUP(tblEnrolledSubjs[[#This Row],[EStudID]],#REF!,#REF!)</f>
        <v>#REF!</v>
      </c>
      <c r="L432" t="e">
        <f>LOOKUP(K432,tblStudents[StudID],tblStudents[SchoolIDNo])</f>
        <v>#REF!</v>
      </c>
      <c r="M432" t="e">
        <f t="shared" si="9"/>
        <v>#VALUE!</v>
      </c>
      <c r="P432" t="str">
        <f t="shared" si="8"/>
        <v>(NULL,"46","47"),</v>
      </c>
      <c r="Q432" t="str">
        <f>TextJoin(tblEnrolledSubjs[[#This Row],[CSubjID]:[EStudID]],"Value")</f>
        <v>"46","47"</v>
      </c>
      <c r="S432">
        <f>LOOKUP(LOOKUP(tblEnrolledSubjs[[#This Row],[CSubjID]], tblClassSubjs[CSubjID],tblClassSubjs[ClassID]),tblClasses[ClassID],tblClasses[STermID])</f>
        <v>1</v>
      </c>
      <c r="T432" t="str">
        <f>LOOKUP(S432,tblSchoolTerms[STermID],tblSchoolTerms[SemesterID]&amp;" Semester "&amp;tblSchoolTerms[SchoolYear])</f>
        <v>2 Semester S.Y. 2018-2019</v>
      </c>
      <c r="W4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2" t="e">
        <f t="array" ref="Y432">INDEX(tblEnrolledStuds[EStudID],MATCH(tblEnrolledSubjs[[#This Row],[EStudID]]&amp;S432,tblEnrolledStuds[AdmissionStatusID]&amp;tblEnrolledStuds[StudID],0))</f>
        <v>#N/A</v>
      </c>
    </row>
    <row r="433" spans="2:25" x14ac:dyDescent="0.25">
      <c r="B433">
        <v>431</v>
      </c>
      <c r="C433">
        <v>46</v>
      </c>
      <c r="D433">
        <v>67</v>
      </c>
      <c r="K433" t="e">
        <f>LOOKUP(tblEnrolledSubjs[[#This Row],[EStudID]],#REF!,#REF!)</f>
        <v>#REF!</v>
      </c>
      <c r="L433" t="e">
        <f>LOOKUP(K433,tblStudents[StudID],tblStudents[SchoolIDNo])</f>
        <v>#REF!</v>
      </c>
      <c r="M433" t="e">
        <f t="shared" si="9"/>
        <v>#VALUE!</v>
      </c>
      <c r="P433" t="str">
        <f t="shared" si="8"/>
        <v>(NULL,"46","67"),</v>
      </c>
      <c r="Q433" t="str">
        <f>TextJoin(tblEnrolledSubjs[[#This Row],[CSubjID]:[EStudID]],"Value")</f>
        <v>"46","67"</v>
      </c>
      <c r="S433">
        <f>LOOKUP(LOOKUP(tblEnrolledSubjs[[#This Row],[CSubjID]], tblClassSubjs[CSubjID],tblClassSubjs[ClassID]),tblClasses[ClassID],tblClasses[STermID])</f>
        <v>1</v>
      </c>
      <c r="T433" t="str">
        <f>LOOKUP(S433,tblSchoolTerms[STermID],tblSchoolTerms[SemesterID]&amp;" Semester "&amp;tblSchoolTerms[SchoolYear])</f>
        <v>2 Semester S.Y. 2018-2019</v>
      </c>
      <c r="W4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3" t="e">
        <f t="array" ref="Y433">INDEX(tblEnrolledStuds[EStudID],MATCH(tblEnrolledSubjs[[#This Row],[EStudID]]&amp;S433,tblEnrolledStuds[AdmissionStatusID]&amp;tblEnrolledStuds[StudID],0))</f>
        <v>#N/A</v>
      </c>
    </row>
    <row r="434" spans="2:25" x14ac:dyDescent="0.25">
      <c r="B434">
        <v>432</v>
      </c>
      <c r="C434">
        <v>46</v>
      </c>
      <c r="D434">
        <v>70</v>
      </c>
      <c r="K434" t="e">
        <f>LOOKUP(tblEnrolledSubjs[[#This Row],[EStudID]],#REF!,#REF!)</f>
        <v>#REF!</v>
      </c>
      <c r="L434" t="e">
        <f>LOOKUP(K434,tblStudents[StudID],tblStudents[SchoolIDNo])</f>
        <v>#REF!</v>
      </c>
      <c r="M434" t="e">
        <f t="shared" si="9"/>
        <v>#VALUE!</v>
      </c>
      <c r="P434" t="str">
        <f t="shared" si="8"/>
        <v>(NULL,"46","70"),</v>
      </c>
      <c r="Q434" t="str">
        <f>TextJoin(tblEnrolledSubjs[[#This Row],[CSubjID]:[EStudID]],"Value")</f>
        <v>"46","70"</v>
      </c>
      <c r="S434">
        <f>LOOKUP(LOOKUP(tblEnrolledSubjs[[#This Row],[CSubjID]], tblClassSubjs[CSubjID],tblClassSubjs[ClassID]),tblClasses[ClassID],tblClasses[STermID])</f>
        <v>1</v>
      </c>
      <c r="T434" t="str">
        <f>LOOKUP(S434,tblSchoolTerms[STermID],tblSchoolTerms[SemesterID]&amp;" Semester "&amp;tblSchoolTerms[SchoolYear])</f>
        <v>2 Semester S.Y. 2018-2019</v>
      </c>
      <c r="W4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4" t="e">
        <f t="array" ref="Y434">INDEX(tblEnrolledStuds[EStudID],MATCH(tblEnrolledSubjs[[#This Row],[EStudID]]&amp;S434,tblEnrolledStuds[AdmissionStatusID]&amp;tblEnrolledStuds[StudID],0))</f>
        <v>#N/A</v>
      </c>
    </row>
    <row r="435" spans="2:25" x14ac:dyDescent="0.25">
      <c r="B435">
        <v>433</v>
      </c>
      <c r="C435">
        <v>46</v>
      </c>
      <c r="D435">
        <v>71</v>
      </c>
      <c r="K435" t="e">
        <f>LOOKUP(tblEnrolledSubjs[[#This Row],[EStudID]],#REF!,#REF!)</f>
        <v>#REF!</v>
      </c>
      <c r="L435" t="e">
        <f>LOOKUP(K435,tblStudents[StudID],tblStudents[SchoolIDNo])</f>
        <v>#REF!</v>
      </c>
      <c r="M435" t="e">
        <f t="shared" si="9"/>
        <v>#VALUE!</v>
      </c>
      <c r="P435" t="str">
        <f t="shared" si="8"/>
        <v>(NULL,"46","71"),</v>
      </c>
      <c r="Q435" t="str">
        <f>TextJoin(tblEnrolledSubjs[[#This Row],[CSubjID]:[EStudID]],"Value")</f>
        <v>"46","71"</v>
      </c>
      <c r="S435">
        <f>LOOKUP(LOOKUP(tblEnrolledSubjs[[#This Row],[CSubjID]], tblClassSubjs[CSubjID],tblClassSubjs[ClassID]),tblClasses[ClassID],tblClasses[STermID])</f>
        <v>1</v>
      </c>
      <c r="T435" t="str">
        <f>LOOKUP(S435,tblSchoolTerms[STermID],tblSchoolTerms[SemesterID]&amp;" Semester "&amp;tblSchoolTerms[SchoolYear])</f>
        <v>2 Semester S.Y. 2018-2019</v>
      </c>
      <c r="W4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5" t="e">
        <f t="array" ref="Y435">INDEX(tblEnrolledStuds[EStudID],MATCH(tblEnrolledSubjs[[#This Row],[EStudID]]&amp;S435,tblEnrolledStuds[AdmissionStatusID]&amp;tblEnrolledStuds[StudID],0))</f>
        <v>#N/A</v>
      </c>
    </row>
    <row r="436" spans="2:25" x14ac:dyDescent="0.25">
      <c r="B436">
        <v>434</v>
      </c>
      <c r="C436">
        <v>47</v>
      </c>
      <c r="D436">
        <v>5</v>
      </c>
      <c r="K436" t="e">
        <f>LOOKUP(tblEnrolledSubjs[[#This Row],[EStudID]],#REF!,#REF!)</f>
        <v>#REF!</v>
      </c>
      <c r="L436" t="e">
        <f>LOOKUP(K436,tblStudents[StudID],tblStudents[SchoolIDNo])</f>
        <v>#REF!</v>
      </c>
      <c r="M436" t="e">
        <f t="shared" si="9"/>
        <v>#VALUE!</v>
      </c>
      <c r="P436" t="str">
        <f t="shared" si="8"/>
        <v>(NULL,"47","5"),</v>
      </c>
      <c r="Q436" t="str">
        <f>TextJoin(tblEnrolledSubjs[[#This Row],[CSubjID]:[EStudID]],"Value")</f>
        <v>"47","5"</v>
      </c>
      <c r="S436">
        <f>LOOKUP(LOOKUP(tblEnrolledSubjs[[#This Row],[CSubjID]], tblClassSubjs[CSubjID],tblClassSubjs[ClassID]),tblClasses[ClassID],tblClasses[STermID])</f>
        <v>1</v>
      </c>
      <c r="T436" t="str">
        <f>LOOKUP(S436,tblSchoolTerms[STermID],tblSchoolTerms[SemesterID]&amp;" Semester "&amp;tblSchoolTerms[SchoolYear])</f>
        <v>2 Semester S.Y. 2018-2019</v>
      </c>
      <c r="W4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6" t="e">
        <f t="array" ref="Y436">INDEX(tblEnrolledStuds[EStudID],MATCH(tblEnrolledSubjs[[#This Row],[EStudID]]&amp;S436,tblEnrolledStuds[AdmissionStatusID]&amp;tblEnrolledStuds[StudID],0))</f>
        <v>#N/A</v>
      </c>
    </row>
    <row r="437" spans="2:25" x14ac:dyDescent="0.25">
      <c r="B437">
        <v>435</v>
      </c>
      <c r="C437">
        <v>47</v>
      </c>
      <c r="D437">
        <v>10</v>
      </c>
      <c r="K437" t="e">
        <f>LOOKUP(tblEnrolledSubjs[[#This Row],[EStudID]],#REF!,#REF!)</f>
        <v>#REF!</v>
      </c>
      <c r="L437" t="e">
        <f>LOOKUP(K437,tblStudents[StudID],tblStudents[SchoolIDNo])</f>
        <v>#REF!</v>
      </c>
      <c r="M437" t="e">
        <f t="shared" si="9"/>
        <v>#VALUE!</v>
      </c>
      <c r="P437" t="str">
        <f t="shared" si="8"/>
        <v>(NULL,"47","10"),</v>
      </c>
      <c r="Q437" t="str">
        <f>TextJoin(tblEnrolledSubjs[[#This Row],[CSubjID]:[EStudID]],"Value")</f>
        <v>"47","10"</v>
      </c>
      <c r="S437">
        <f>LOOKUP(LOOKUP(tblEnrolledSubjs[[#This Row],[CSubjID]], tblClassSubjs[CSubjID],tblClassSubjs[ClassID]),tblClasses[ClassID],tblClasses[STermID])</f>
        <v>1</v>
      </c>
      <c r="T437" t="str">
        <f>LOOKUP(S437,tblSchoolTerms[STermID],tblSchoolTerms[SemesterID]&amp;" Semester "&amp;tblSchoolTerms[SchoolYear])</f>
        <v>2 Semester S.Y. 2018-2019</v>
      </c>
      <c r="W4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7" t="e">
        <f t="array" ref="Y437">INDEX(tblEnrolledStuds[EStudID],MATCH(tblEnrolledSubjs[[#This Row],[EStudID]]&amp;S437,tblEnrolledStuds[AdmissionStatusID]&amp;tblEnrolledStuds[StudID],0))</f>
        <v>#N/A</v>
      </c>
    </row>
    <row r="438" spans="2:25" x14ac:dyDescent="0.25">
      <c r="B438">
        <v>436</v>
      </c>
      <c r="C438">
        <v>47</v>
      </c>
      <c r="D438">
        <v>18</v>
      </c>
      <c r="K438" t="e">
        <f>LOOKUP(tblEnrolledSubjs[[#This Row],[EStudID]],#REF!,#REF!)</f>
        <v>#REF!</v>
      </c>
      <c r="L438" t="e">
        <f>LOOKUP(K438,tblStudents[StudID],tblStudents[SchoolIDNo])</f>
        <v>#REF!</v>
      </c>
      <c r="M438" t="e">
        <f t="shared" si="9"/>
        <v>#VALUE!</v>
      </c>
      <c r="P438" t="str">
        <f t="shared" si="8"/>
        <v>(NULL,"47","18"),</v>
      </c>
      <c r="Q438" t="str">
        <f>TextJoin(tblEnrolledSubjs[[#This Row],[CSubjID]:[EStudID]],"Value")</f>
        <v>"47","18"</v>
      </c>
      <c r="S438">
        <f>LOOKUP(LOOKUP(tblEnrolledSubjs[[#This Row],[CSubjID]], tblClassSubjs[CSubjID],tblClassSubjs[ClassID]),tblClasses[ClassID],tblClasses[STermID])</f>
        <v>1</v>
      </c>
      <c r="T438" t="str">
        <f>LOOKUP(S438,tblSchoolTerms[STermID],tblSchoolTerms[SemesterID]&amp;" Semester "&amp;tblSchoolTerms[SchoolYear])</f>
        <v>2 Semester S.Y. 2018-2019</v>
      </c>
      <c r="W4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8" t="e">
        <f t="array" ref="Y438">INDEX(tblEnrolledStuds[EStudID],MATCH(tblEnrolledSubjs[[#This Row],[EStudID]]&amp;S438,tblEnrolledStuds[AdmissionStatusID]&amp;tblEnrolledStuds[StudID],0))</f>
        <v>#N/A</v>
      </c>
    </row>
    <row r="439" spans="2:25" x14ac:dyDescent="0.25">
      <c r="B439">
        <v>437</v>
      </c>
      <c r="C439">
        <v>47</v>
      </c>
      <c r="D439">
        <v>20</v>
      </c>
      <c r="K439" t="e">
        <f>LOOKUP(tblEnrolledSubjs[[#This Row],[EStudID]],#REF!,#REF!)</f>
        <v>#REF!</v>
      </c>
      <c r="L439" t="e">
        <f>LOOKUP(K439,tblStudents[StudID],tblStudents[SchoolIDNo])</f>
        <v>#REF!</v>
      </c>
      <c r="M439" t="e">
        <f t="shared" si="9"/>
        <v>#VALUE!</v>
      </c>
      <c r="P439" t="str">
        <f t="shared" si="8"/>
        <v>(NULL,"47","20"),</v>
      </c>
      <c r="Q439" t="str">
        <f>TextJoin(tblEnrolledSubjs[[#This Row],[CSubjID]:[EStudID]],"Value")</f>
        <v>"47","20"</v>
      </c>
      <c r="S439">
        <f>LOOKUP(LOOKUP(tblEnrolledSubjs[[#This Row],[CSubjID]], tblClassSubjs[CSubjID],tblClassSubjs[ClassID]),tblClasses[ClassID],tblClasses[STermID])</f>
        <v>1</v>
      </c>
      <c r="T439" t="str">
        <f>LOOKUP(S439,tblSchoolTerms[STermID],tblSchoolTerms[SemesterID]&amp;" Semester "&amp;tblSchoolTerms[SchoolYear])</f>
        <v>2 Semester S.Y. 2018-2019</v>
      </c>
      <c r="W4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39" t="e">
        <f t="array" ref="Y439">INDEX(tblEnrolledStuds[EStudID],MATCH(tblEnrolledSubjs[[#This Row],[EStudID]]&amp;S439,tblEnrolledStuds[AdmissionStatusID]&amp;tblEnrolledStuds[StudID],0))</f>
        <v>#N/A</v>
      </c>
    </row>
    <row r="440" spans="2:25" x14ac:dyDescent="0.25">
      <c r="B440">
        <v>438</v>
      </c>
      <c r="C440">
        <v>47</v>
      </c>
      <c r="D440">
        <v>22</v>
      </c>
      <c r="K440" t="e">
        <f>LOOKUP(tblEnrolledSubjs[[#This Row],[EStudID]],#REF!,#REF!)</f>
        <v>#REF!</v>
      </c>
      <c r="L440" t="e">
        <f>LOOKUP(K440,tblStudents[StudID],tblStudents[SchoolIDNo])</f>
        <v>#REF!</v>
      </c>
      <c r="M440" t="e">
        <f t="shared" si="9"/>
        <v>#VALUE!</v>
      </c>
      <c r="P440" t="str">
        <f t="shared" si="8"/>
        <v>(NULL,"47","22"),</v>
      </c>
      <c r="Q440" t="str">
        <f>TextJoin(tblEnrolledSubjs[[#This Row],[CSubjID]:[EStudID]],"Value")</f>
        <v>"47","22"</v>
      </c>
      <c r="S440">
        <f>LOOKUP(LOOKUP(tblEnrolledSubjs[[#This Row],[CSubjID]], tblClassSubjs[CSubjID],tblClassSubjs[ClassID]),tblClasses[ClassID],tblClasses[STermID])</f>
        <v>1</v>
      </c>
      <c r="T440" t="str">
        <f>LOOKUP(S440,tblSchoolTerms[STermID],tblSchoolTerms[SemesterID]&amp;" Semester "&amp;tblSchoolTerms[SchoolYear])</f>
        <v>2 Semester S.Y. 2018-2019</v>
      </c>
      <c r="W4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0" t="e">
        <f t="array" ref="Y440">INDEX(tblEnrolledStuds[EStudID],MATCH(tblEnrolledSubjs[[#This Row],[EStudID]]&amp;S440,tblEnrolledStuds[AdmissionStatusID]&amp;tblEnrolledStuds[StudID],0))</f>
        <v>#N/A</v>
      </c>
    </row>
    <row r="441" spans="2:25" x14ac:dyDescent="0.25">
      <c r="B441">
        <v>439</v>
      </c>
      <c r="C441">
        <v>47</v>
      </c>
      <c r="D441">
        <v>23</v>
      </c>
      <c r="K441" t="e">
        <f>LOOKUP(tblEnrolledSubjs[[#This Row],[EStudID]],#REF!,#REF!)</f>
        <v>#REF!</v>
      </c>
      <c r="L441" t="e">
        <f>LOOKUP(K441,tblStudents[StudID],tblStudents[SchoolIDNo])</f>
        <v>#REF!</v>
      </c>
      <c r="M441" t="e">
        <f t="shared" si="9"/>
        <v>#VALUE!</v>
      </c>
      <c r="P441" t="str">
        <f t="shared" si="8"/>
        <v>(NULL,"47","23"),</v>
      </c>
      <c r="Q441" t="str">
        <f>TextJoin(tblEnrolledSubjs[[#This Row],[CSubjID]:[EStudID]],"Value")</f>
        <v>"47","23"</v>
      </c>
      <c r="S441">
        <f>LOOKUP(LOOKUP(tblEnrolledSubjs[[#This Row],[CSubjID]], tblClassSubjs[CSubjID],tblClassSubjs[ClassID]),tblClasses[ClassID],tblClasses[STermID])</f>
        <v>1</v>
      </c>
      <c r="T441" t="str">
        <f>LOOKUP(S441,tblSchoolTerms[STermID],tblSchoolTerms[SemesterID]&amp;" Semester "&amp;tblSchoolTerms[SchoolYear])</f>
        <v>2 Semester S.Y. 2018-2019</v>
      </c>
      <c r="W4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1" t="e">
        <f t="array" ref="Y441">INDEX(tblEnrolledStuds[EStudID],MATCH(tblEnrolledSubjs[[#This Row],[EStudID]]&amp;S441,tblEnrolledStuds[AdmissionStatusID]&amp;tblEnrolledStuds[StudID],0))</f>
        <v>#N/A</v>
      </c>
    </row>
    <row r="442" spans="2:25" x14ac:dyDescent="0.25">
      <c r="B442">
        <v>440</v>
      </c>
      <c r="C442">
        <v>47</v>
      </c>
      <c r="D442">
        <v>25</v>
      </c>
      <c r="K442" t="e">
        <f>LOOKUP(tblEnrolledSubjs[[#This Row],[EStudID]],#REF!,#REF!)</f>
        <v>#REF!</v>
      </c>
      <c r="L442" t="e">
        <f>LOOKUP(K442,tblStudents[StudID],tblStudents[SchoolIDNo])</f>
        <v>#REF!</v>
      </c>
      <c r="M442" t="e">
        <f t="shared" si="9"/>
        <v>#VALUE!</v>
      </c>
      <c r="P442" t="str">
        <f t="shared" si="8"/>
        <v>(NULL,"47","25"),</v>
      </c>
      <c r="Q442" t="str">
        <f>TextJoin(tblEnrolledSubjs[[#This Row],[CSubjID]:[EStudID]],"Value")</f>
        <v>"47","25"</v>
      </c>
      <c r="S442">
        <f>LOOKUP(LOOKUP(tblEnrolledSubjs[[#This Row],[CSubjID]], tblClassSubjs[CSubjID],tblClassSubjs[ClassID]),tblClasses[ClassID],tblClasses[STermID])</f>
        <v>1</v>
      </c>
      <c r="T442" t="str">
        <f>LOOKUP(S442,tblSchoolTerms[STermID],tblSchoolTerms[SemesterID]&amp;" Semester "&amp;tblSchoolTerms[SchoolYear])</f>
        <v>2 Semester S.Y. 2018-2019</v>
      </c>
      <c r="W4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2" t="e">
        <f t="array" ref="Y442">INDEX(tblEnrolledStuds[EStudID],MATCH(tblEnrolledSubjs[[#This Row],[EStudID]]&amp;S442,tblEnrolledStuds[AdmissionStatusID]&amp;tblEnrolledStuds[StudID],0))</f>
        <v>#N/A</v>
      </c>
    </row>
    <row r="443" spans="2:25" x14ac:dyDescent="0.25">
      <c r="B443">
        <v>441</v>
      </c>
      <c r="C443">
        <v>47</v>
      </c>
      <c r="D443">
        <v>26</v>
      </c>
      <c r="K443" t="e">
        <f>LOOKUP(tblEnrolledSubjs[[#This Row],[EStudID]],#REF!,#REF!)</f>
        <v>#REF!</v>
      </c>
      <c r="L443" t="e">
        <f>LOOKUP(K443,tblStudents[StudID],tblStudents[SchoolIDNo])</f>
        <v>#REF!</v>
      </c>
      <c r="M443" t="e">
        <f t="shared" si="9"/>
        <v>#VALUE!</v>
      </c>
      <c r="P443" t="str">
        <f t="shared" si="8"/>
        <v>(NULL,"47","26"),</v>
      </c>
      <c r="Q443" t="str">
        <f>TextJoin(tblEnrolledSubjs[[#This Row],[CSubjID]:[EStudID]],"Value")</f>
        <v>"47","26"</v>
      </c>
      <c r="S443">
        <f>LOOKUP(LOOKUP(tblEnrolledSubjs[[#This Row],[CSubjID]], tblClassSubjs[CSubjID],tblClassSubjs[ClassID]),tblClasses[ClassID],tblClasses[STermID])</f>
        <v>1</v>
      </c>
      <c r="T443" t="str">
        <f>LOOKUP(S443,tblSchoolTerms[STermID],tblSchoolTerms[SemesterID]&amp;" Semester "&amp;tblSchoolTerms[SchoolYear])</f>
        <v>2 Semester S.Y. 2018-2019</v>
      </c>
      <c r="W4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3" t="e">
        <f t="array" ref="Y443">INDEX(tblEnrolledStuds[EStudID],MATCH(tblEnrolledSubjs[[#This Row],[EStudID]]&amp;S443,tblEnrolledStuds[AdmissionStatusID]&amp;tblEnrolledStuds[StudID],0))</f>
        <v>#N/A</v>
      </c>
    </row>
    <row r="444" spans="2:25" x14ac:dyDescent="0.25">
      <c r="B444">
        <v>442</v>
      </c>
      <c r="C444">
        <v>47</v>
      </c>
      <c r="D444">
        <v>27</v>
      </c>
      <c r="K444" t="e">
        <f>LOOKUP(tblEnrolledSubjs[[#This Row],[EStudID]],#REF!,#REF!)</f>
        <v>#REF!</v>
      </c>
      <c r="L444" t="e">
        <f>LOOKUP(K444,tblStudents[StudID],tblStudents[SchoolIDNo])</f>
        <v>#REF!</v>
      </c>
      <c r="M444" t="e">
        <f t="shared" si="9"/>
        <v>#VALUE!</v>
      </c>
      <c r="P444" t="str">
        <f t="shared" si="8"/>
        <v>(NULL,"47","27"),</v>
      </c>
      <c r="Q444" t="str">
        <f>TextJoin(tblEnrolledSubjs[[#This Row],[CSubjID]:[EStudID]],"Value")</f>
        <v>"47","27"</v>
      </c>
      <c r="S444">
        <f>LOOKUP(LOOKUP(tblEnrolledSubjs[[#This Row],[CSubjID]], tblClassSubjs[CSubjID],tblClassSubjs[ClassID]),tblClasses[ClassID],tblClasses[STermID])</f>
        <v>1</v>
      </c>
      <c r="T444" t="str">
        <f>LOOKUP(S444,tblSchoolTerms[STermID],tblSchoolTerms[SemesterID]&amp;" Semester "&amp;tblSchoolTerms[SchoolYear])</f>
        <v>2 Semester S.Y. 2018-2019</v>
      </c>
      <c r="W4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4">
        <f t="array" ref="Y444">INDEX(tblEnrolledStuds[EStudID],MATCH(tblEnrolledSubjs[[#This Row],[EStudID]]&amp;S444,tblEnrolledStuds[AdmissionStatusID]&amp;tblEnrolledStuds[StudID],0))</f>
        <v>190</v>
      </c>
    </row>
    <row r="445" spans="2:25" x14ac:dyDescent="0.25">
      <c r="B445">
        <v>443</v>
      </c>
      <c r="C445">
        <v>47</v>
      </c>
      <c r="D445">
        <v>28</v>
      </c>
      <c r="K445" t="e">
        <f>LOOKUP(tblEnrolledSubjs[[#This Row],[EStudID]],#REF!,#REF!)</f>
        <v>#REF!</v>
      </c>
      <c r="L445" t="e">
        <f>LOOKUP(K445,tblStudents[StudID],tblStudents[SchoolIDNo])</f>
        <v>#REF!</v>
      </c>
      <c r="M445" t="e">
        <f t="shared" si="9"/>
        <v>#VALUE!</v>
      </c>
      <c r="P445" t="str">
        <f t="shared" si="8"/>
        <v>(NULL,"47","28"),</v>
      </c>
      <c r="Q445" t="str">
        <f>TextJoin(tblEnrolledSubjs[[#This Row],[CSubjID]:[EStudID]],"Value")</f>
        <v>"47","28"</v>
      </c>
      <c r="S445">
        <f>LOOKUP(LOOKUP(tblEnrolledSubjs[[#This Row],[CSubjID]], tblClassSubjs[CSubjID],tblClassSubjs[ClassID]),tblClasses[ClassID],tblClasses[STermID])</f>
        <v>1</v>
      </c>
      <c r="T445" t="str">
        <f>LOOKUP(S445,tblSchoolTerms[STermID],tblSchoolTerms[SemesterID]&amp;" Semester "&amp;tblSchoolTerms[SchoolYear])</f>
        <v>2 Semester S.Y. 2018-2019</v>
      </c>
      <c r="W4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5" t="e">
        <f t="array" ref="Y445">INDEX(tblEnrolledStuds[EStudID],MATCH(tblEnrolledSubjs[[#This Row],[EStudID]]&amp;S445,tblEnrolledStuds[AdmissionStatusID]&amp;tblEnrolledStuds[StudID],0))</f>
        <v>#N/A</v>
      </c>
    </row>
    <row r="446" spans="2:25" x14ac:dyDescent="0.25">
      <c r="B446">
        <v>444</v>
      </c>
      <c r="C446">
        <v>47</v>
      </c>
      <c r="D446">
        <v>33</v>
      </c>
      <c r="K446" t="e">
        <f>LOOKUP(tblEnrolledSubjs[[#This Row],[EStudID]],#REF!,#REF!)</f>
        <v>#REF!</v>
      </c>
      <c r="L446" t="e">
        <f>LOOKUP(K446,tblStudents[StudID],tblStudents[SchoolIDNo])</f>
        <v>#REF!</v>
      </c>
      <c r="M446" t="e">
        <f t="shared" si="9"/>
        <v>#VALUE!</v>
      </c>
      <c r="P446" t="str">
        <f t="shared" si="8"/>
        <v>(NULL,"47","33"),</v>
      </c>
      <c r="Q446" t="str">
        <f>TextJoin(tblEnrolledSubjs[[#This Row],[CSubjID]:[EStudID]],"Value")</f>
        <v>"47","33"</v>
      </c>
      <c r="S446">
        <f>LOOKUP(LOOKUP(tblEnrolledSubjs[[#This Row],[CSubjID]], tblClassSubjs[CSubjID],tblClassSubjs[ClassID]),tblClasses[ClassID],tblClasses[STermID])</f>
        <v>1</v>
      </c>
      <c r="T446" t="str">
        <f>LOOKUP(S446,tblSchoolTerms[STermID],tblSchoolTerms[SemesterID]&amp;" Semester "&amp;tblSchoolTerms[SchoolYear])</f>
        <v>2 Semester S.Y. 2018-2019</v>
      </c>
      <c r="W4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6">
        <f t="array" ref="Y446">INDEX(tblEnrolledStuds[EStudID],MATCH(tblEnrolledSubjs[[#This Row],[EStudID]]&amp;S446,tblEnrolledStuds[AdmissionStatusID]&amp;tblEnrolledStuds[StudID],0))</f>
        <v>31</v>
      </c>
    </row>
    <row r="447" spans="2:25" x14ac:dyDescent="0.25">
      <c r="B447">
        <v>445</v>
      </c>
      <c r="C447">
        <v>47</v>
      </c>
      <c r="D447">
        <v>43</v>
      </c>
      <c r="K447" t="e">
        <f>LOOKUP(tblEnrolledSubjs[[#This Row],[EStudID]],#REF!,#REF!)</f>
        <v>#REF!</v>
      </c>
      <c r="L447" t="e">
        <f>LOOKUP(K447,tblStudents[StudID],tblStudents[SchoolIDNo])</f>
        <v>#REF!</v>
      </c>
      <c r="M447" t="e">
        <f t="shared" si="9"/>
        <v>#VALUE!</v>
      </c>
      <c r="P447" t="str">
        <f t="shared" si="8"/>
        <v>(NULL,"47","43"),</v>
      </c>
      <c r="Q447" t="str">
        <f>TextJoin(tblEnrolledSubjs[[#This Row],[CSubjID]:[EStudID]],"Value")</f>
        <v>"47","43"</v>
      </c>
      <c r="S447">
        <f>LOOKUP(LOOKUP(tblEnrolledSubjs[[#This Row],[CSubjID]], tblClassSubjs[CSubjID],tblClassSubjs[ClassID]),tblClasses[ClassID],tblClasses[STermID])</f>
        <v>1</v>
      </c>
      <c r="T447" t="str">
        <f>LOOKUP(S447,tblSchoolTerms[STermID],tblSchoolTerms[SemesterID]&amp;" Semester "&amp;tblSchoolTerms[SchoolYear])</f>
        <v>2 Semester S.Y. 2018-2019</v>
      </c>
      <c r="W4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7" t="e">
        <f t="array" ref="Y447">INDEX(tblEnrolledStuds[EStudID],MATCH(tblEnrolledSubjs[[#This Row],[EStudID]]&amp;S447,tblEnrolledStuds[AdmissionStatusID]&amp;tblEnrolledStuds[StudID],0))</f>
        <v>#N/A</v>
      </c>
    </row>
    <row r="448" spans="2:25" x14ac:dyDescent="0.25">
      <c r="B448">
        <v>446</v>
      </c>
      <c r="C448">
        <v>47</v>
      </c>
      <c r="D448">
        <v>46</v>
      </c>
      <c r="K448" t="e">
        <f>LOOKUP(tblEnrolledSubjs[[#This Row],[EStudID]],#REF!,#REF!)</f>
        <v>#REF!</v>
      </c>
      <c r="L448" t="e">
        <f>LOOKUP(K448,tblStudents[StudID],tblStudents[SchoolIDNo])</f>
        <v>#REF!</v>
      </c>
      <c r="M448" t="e">
        <f t="shared" si="9"/>
        <v>#VALUE!</v>
      </c>
      <c r="P448" t="str">
        <f t="shared" si="8"/>
        <v>(NULL,"47","46"),</v>
      </c>
      <c r="Q448" t="str">
        <f>TextJoin(tblEnrolledSubjs[[#This Row],[CSubjID]:[EStudID]],"Value")</f>
        <v>"47","46"</v>
      </c>
      <c r="S448">
        <f>LOOKUP(LOOKUP(tblEnrolledSubjs[[#This Row],[CSubjID]], tblClassSubjs[CSubjID],tblClassSubjs[ClassID]),tblClasses[ClassID],tblClasses[STermID])</f>
        <v>1</v>
      </c>
      <c r="T448" t="str">
        <f>LOOKUP(S448,tblSchoolTerms[STermID],tblSchoolTerms[SemesterID]&amp;" Semester "&amp;tblSchoolTerms[SchoolYear])</f>
        <v>2 Semester S.Y. 2018-2019</v>
      </c>
      <c r="W4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8" t="e">
        <f t="array" ref="Y448">INDEX(tblEnrolledStuds[EStudID],MATCH(tblEnrolledSubjs[[#This Row],[EStudID]]&amp;S448,tblEnrolledStuds[AdmissionStatusID]&amp;tblEnrolledStuds[StudID],0))</f>
        <v>#N/A</v>
      </c>
    </row>
    <row r="449" spans="2:25" x14ac:dyDescent="0.25">
      <c r="B449">
        <v>447</v>
      </c>
      <c r="C449">
        <v>47</v>
      </c>
      <c r="D449">
        <v>56</v>
      </c>
      <c r="K449" t="e">
        <f>LOOKUP(tblEnrolledSubjs[[#This Row],[EStudID]],#REF!,#REF!)</f>
        <v>#REF!</v>
      </c>
      <c r="L449" t="e">
        <f>LOOKUP(K449,tblStudents[StudID],tblStudents[SchoolIDNo])</f>
        <v>#REF!</v>
      </c>
      <c r="M449" t="e">
        <f t="shared" si="9"/>
        <v>#VALUE!</v>
      </c>
      <c r="P449" t="str">
        <f t="shared" si="8"/>
        <v>(NULL,"47","56"),</v>
      </c>
      <c r="Q449" t="str">
        <f>TextJoin(tblEnrolledSubjs[[#This Row],[CSubjID]:[EStudID]],"Value")</f>
        <v>"47","56"</v>
      </c>
      <c r="S449">
        <f>LOOKUP(LOOKUP(tblEnrolledSubjs[[#This Row],[CSubjID]], tblClassSubjs[CSubjID],tblClassSubjs[ClassID]),tblClasses[ClassID],tblClasses[STermID])</f>
        <v>1</v>
      </c>
      <c r="T449" t="str">
        <f>LOOKUP(S449,tblSchoolTerms[STermID],tblSchoolTerms[SemesterID]&amp;" Semester "&amp;tblSchoolTerms[SchoolYear])</f>
        <v>2 Semester S.Y. 2018-2019</v>
      </c>
      <c r="W4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49" t="e">
        <f t="array" ref="Y449">INDEX(tblEnrolledStuds[EStudID],MATCH(tblEnrolledSubjs[[#This Row],[EStudID]]&amp;S449,tblEnrolledStuds[AdmissionStatusID]&amp;tblEnrolledStuds[StudID],0))</f>
        <v>#N/A</v>
      </c>
    </row>
    <row r="450" spans="2:25" x14ac:dyDescent="0.25">
      <c r="B450">
        <v>448</v>
      </c>
      <c r="C450">
        <v>47</v>
      </c>
      <c r="D450">
        <v>63</v>
      </c>
      <c r="K450" t="e">
        <f>LOOKUP(tblEnrolledSubjs[[#This Row],[EStudID]],#REF!,#REF!)</f>
        <v>#REF!</v>
      </c>
      <c r="L450" t="e">
        <f>LOOKUP(K450,tblStudents[StudID],tblStudents[SchoolIDNo])</f>
        <v>#REF!</v>
      </c>
      <c r="M450" t="e">
        <f t="shared" si="9"/>
        <v>#VALUE!</v>
      </c>
      <c r="P450" t="str">
        <f t="shared" si="8"/>
        <v>(NULL,"47","63"),</v>
      </c>
      <c r="Q450" t="str">
        <f>TextJoin(tblEnrolledSubjs[[#This Row],[CSubjID]:[EStudID]],"Value")</f>
        <v>"47","63"</v>
      </c>
      <c r="S450">
        <f>LOOKUP(LOOKUP(tblEnrolledSubjs[[#This Row],[CSubjID]], tblClassSubjs[CSubjID],tblClassSubjs[ClassID]),tblClasses[ClassID],tblClasses[STermID])</f>
        <v>1</v>
      </c>
      <c r="T450" t="str">
        <f>LOOKUP(S450,tblSchoolTerms[STermID],tblSchoolTerms[SemesterID]&amp;" Semester "&amp;tblSchoolTerms[SchoolYear])</f>
        <v>2 Semester S.Y. 2018-2019</v>
      </c>
      <c r="W4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0" t="e">
        <f t="array" ref="Y450">INDEX(tblEnrolledStuds[EStudID],MATCH(tblEnrolledSubjs[[#This Row],[EStudID]]&amp;S450,tblEnrolledStuds[AdmissionStatusID]&amp;tblEnrolledStuds[StudID],0))</f>
        <v>#N/A</v>
      </c>
    </row>
    <row r="451" spans="2:25" x14ac:dyDescent="0.25">
      <c r="B451">
        <v>449</v>
      </c>
      <c r="C451">
        <v>47</v>
      </c>
      <c r="D451">
        <v>68</v>
      </c>
      <c r="K451" t="e">
        <f>LOOKUP(tblEnrolledSubjs[[#This Row],[EStudID]],#REF!,#REF!)</f>
        <v>#REF!</v>
      </c>
      <c r="L451" t="e">
        <f>LOOKUP(K451,tblStudents[StudID],tblStudents[SchoolIDNo])</f>
        <v>#REF!</v>
      </c>
      <c r="M451" t="e">
        <f t="shared" si="9"/>
        <v>#VALUE!</v>
      </c>
      <c r="P451" t="str">
        <f t="shared" si="8"/>
        <v>(NULL,"47","68"),</v>
      </c>
      <c r="Q451" t="str">
        <f>TextJoin(tblEnrolledSubjs[[#This Row],[CSubjID]:[EStudID]],"Value")</f>
        <v>"47","68"</v>
      </c>
      <c r="S451">
        <f>LOOKUP(LOOKUP(tblEnrolledSubjs[[#This Row],[CSubjID]], tblClassSubjs[CSubjID],tblClassSubjs[ClassID]),tblClasses[ClassID],tblClasses[STermID])</f>
        <v>1</v>
      </c>
      <c r="T451" t="str">
        <f>LOOKUP(S451,tblSchoolTerms[STermID],tblSchoolTerms[SemesterID]&amp;" Semester "&amp;tblSchoolTerms[SchoolYear])</f>
        <v>2 Semester S.Y. 2018-2019</v>
      </c>
      <c r="W4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1" t="e">
        <f t="array" ref="Y451">INDEX(tblEnrolledStuds[EStudID],MATCH(tblEnrolledSubjs[[#This Row],[EStudID]]&amp;S451,tblEnrolledStuds[AdmissionStatusID]&amp;tblEnrolledStuds[StudID],0))</f>
        <v>#N/A</v>
      </c>
    </row>
    <row r="452" spans="2:25" x14ac:dyDescent="0.25">
      <c r="B452">
        <v>450</v>
      </c>
      <c r="C452">
        <v>47</v>
      </c>
      <c r="D452">
        <v>69</v>
      </c>
      <c r="K452" t="e">
        <f>LOOKUP(tblEnrolledSubjs[[#This Row],[EStudID]],#REF!,#REF!)</f>
        <v>#REF!</v>
      </c>
      <c r="L452" t="e">
        <f>LOOKUP(K452,tblStudents[StudID],tblStudents[SchoolIDNo])</f>
        <v>#REF!</v>
      </c>
      <c r="M452" t="e">
        <f t="shared" si="9"/>
        <v>#VALUE!</v>
      </c>
      <c r="P452" t="str">
        <f t="shared" ref="P452:P515" si="10">"(NULL,"&amp;Q452&amp;")"&amp;IF(P453&lt;&gt;"",",",";")</f>
        <v>(NULL,"47","69"),</v>
      </c>
      <c r="Q452" t="str">
        <f>TextJoin(tblEnrolledSubjs[[#This Row],[CSubjID]:[EStudID]],"Value")</f>
        <v>"47","69"</v>
      </c>
      <c r="S452">
        <f>LOOKUP(LOOKUP(tblEnrolledSubjs[[#This Row],[CSubjID]], tblClassSubjs[CSubjID],tblClassSubjs[ClassID]),tblClasses[ClassID],tblClasses[STermID])</f>
        <v>1</v>
      </c>
      <c r="T452" t="str">
        <f>LOOKUP(S452,tblSchoolTerms[STermID],tblSchoolTerms[SemesterID]&amp;" Semester "&amp;tblSchoolTerms[SchoolYear])</f>
        <v>2 Semester S.Y. 2018-2019</v>
      </c>
      <c r="W4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2" t="e">
        <f t="array" ref="Y452">INDEX(tblEnrolledStuds[EStudID],MATCH(tblEnrolledSubjs[[#This Row],[EStudID]]&amp;S452,tblEnrolledStuds[AdmissionStatusID]&amp;tblEnrolledStuds[StudID],0))</f>
        <v>#N/A</v>
      </c>
    </row>
    <row r="453" spans="2:25" x14ac:dyDescent="0.25">
      <c r="B453">
        <v>451</v>
      </c>
      <c r="C453">
        <v>48</v>
      </c>
      <c r="D453">
        <v>12</v>
      </c>
      <c r="K453" t="e">
        <f>LOOKUP(tblEnrolledSubjs[[#This Row],[EStudID]],#REF!,#REF!)</f>
        <v>#REF!</v>
      </c>
      <c r="L453" t="e">
        <f>LOOKUP(K453,tblStudents[StudID],tblStudents[SchoolIDNo])</f>
        <v>#REF!</v>
      </c>
      <c r="M453" t="e">
        <f t="shared" si="9"/>
        <v>#VALUE!</v>
      </c>
      <c r="P453" t="str">
        <f t="shared" si="10"/>
        <v>(NULL,"48","12"),</v>
      </c>
      <c r="Q453" t="str">
        <f>TextJoin(tblEnrolledSubjs[[#This Row],[CSubjID]:[EStudID]],"Value")</f>
        <v>"48","12"</v>
      </c>
      <c r="S453">
        <f>LOOKUP(LOOKUP(tblEnrolledSubjs[[#This Row],[CSubjID]], tblClassSubjs[CSubjID],tblClassSubjs[ClassID]),tblClasses[ClassID],tblClasses[STermID])</f>
        <v>1</v>
      </c>
      <c r="T453" t="str">
        <f>LOOKUP(S453,tblSchoolTerms[STermID],tblSchoolTerms[SemesterID]&amp;" Semester "&amp;tblSchoolTerms[SchoolYear])</f>
        <v>2 Semester S.Y. 2018-2019</v>
      </c>
      <c r="W4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3" t="e">
        <f t="array" ref="Y453">INDEX(tblEnrolledStuds[EStudID],MATCH(tblEnrolledSubjs[[#This Row],[EStudID]]&amp;S453,tblEnrolledStuds[AdmissionStatusID]&amp;tblEnrolledStuds[StudID],0))</f>
        <v>#N/A</v>
      </c>
    </row>
    <row r="454" spans="2:25" x14ac:dyDescent="0.25">
      <c r="B454">
        <v>452</v>
      </c>
      <c r="C454">
        <v>48</v>
      </c>
      <c r="D454">
        <v>37</v>
      </c>
      <c r="K454" t="e">
        <f>LOOKUP(tblEnrolledSubjs[[#This Row],[EStudID]],#REF!,#REF!)</f>
        <v>#REF!</v>
      </c>
      <c r="L454" t="e">
        <f>LOOKUP(K454,tblStudents[StudID],tblStudents[SchoolIDNo])</f>
        <v>#REF!</v>
      </c>
      <c r="M454" t="e">
        <f t="shared" si="9"/>
        <v>#VALUE!</v>
      </c>
      <c r="P454" t="str">
        <f t="shared" si="10"/>
        <v>(NULL,"48","37"),</v>
      </c>
      <c r="Q454" t="str">
        <f>TextJoin(tblEnrolledSubjs[[#This Row],[CSubjID]:[EStudID]],"Value")</f>
        <v>"48","37"</v>
      </c>
      <c r="S454">
        <f>LOOKUP(LOOKUP(tblEnrolledSubjs[[#This Row],[CSubjID]], tblClassSubjs[CSubjID],tblClassSubjs[ClassID]),tblClasses[ClassID],tblClasses[STermID])</f>
        <v>1</v>
      </c>
      <c r="T454" t="str">
        <f>LOOKUP(S454,tblSchoolTerms[STermID],tblSchoolTerms[SemesterID]&amp;" Semester "&amp;tblSchoolTerms[SchoolYear])</f>
        <v>2 Semester S.Y. 2018-2019</v>
      </c>
      <c r="W4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4">
        <f t="array" ref="Y454">INDEX(tblEnrolledStuds[EStudID],MATCH(tblEnrolledSubjs[[#This Row],[EStudID]]&amp;S454,tblEnrolledStuds[AdmissionStatusID]&amp;tblEnrolledStuds[StudID],0))</f>
        <v>71</v>
      </c>
    </row>
    <row r="455" spans="2:25" x14ac:dyDescent="0.25">
      <c r="B455">
        <v>453</v>
      </c>
      <c r="C455">
        <v>48</v>
      </c>
      <c r="D455">
        <v>47</v>
      </c>
      <c r="K455" t="e">
        <f>LOOKUP(tblEnrolledSubjs[[#This Row],[EStudID]],#REF!,#REF!)</f>
        <v>#REF!</v>
      </c>
      <c r="L455" t="e">
        <f>LOOKUP(K455,tblStudents[StudID],tblStudents[SchoolIDNo])</f>
        <v>#REF!</v>
      </c>
      <c r="M455" t="e">
        <f t="shared" si="9"/>
        <v>#VALUE!</v>
      </c>
      <c r="P455" t="str">
        <f t="shared" si="10"/>
        <v>(NULL,"48","47"),</v>
      </c>
      <c r="Q455" t="str">
        <f>TextJoin(tblEnrolledSubjs[[#This Row],[CSubjID]:[EStudID]],"Value")</f>
        <v>"48","47"</v>
      </c>
      <c r="S455">
        <f>LOOKUP(LOOKUP(tblEnrolledSubjs[[#This Row],[CSubjID]], tblClassSubjs[CSubjID],tblClassSubjs[ClassID]),tblClasses[ClassID],tblClasses[STermID])</f>
        <v>1</v>
      </c>
      <c r="T455" t="str">
        <f>LOOKUP(S455,tblSchoolTerms[STermID],tblSchoolTerms[SemesterID]&amp;" Semester "&amp;tblSchoolTerms[SchoolYear])</f>
        <v>2 Semester S.Y. 2018-2019</v>
      </c>
      <c r="W4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5" t="e">
        <f t="array" ref="Y455">INDEX(tblEnrolledStuds[EStudID],MATCH(tblEnrolledSubjs[[#This Row],[EStudID]]&amp;S455,tblEnrolledStuds[AdmissionStatusID]&amp;tblEnrolledStuds[StudID],0))</f>
        <v>#N/A</v>
      </c>
    </row>
    <row r="456" spans="2:25" x14ac:dyDescent="0.25">
      <c r="B456">
        <v>454</v>
      </c>
      <c r="C456">
        <v>48</v>
      </c>
      <c r="D456">
        <v>67</v>
      </c>
      <c r="K456" t="e">
        <f>LOOKUP(tblEnrolledSubjs[[#This Row],[EStudID]],#REF!,#REF!)</f>
        <v>#REF!</v>
      </c>
      <c r="L456" t="e">
        <f>LOOKUP(K456,tblStudents[StudID],tblStudents[SchoolIDNo])</f>
        <v>#REF!</v>
      </c>
      <c r="M456" t="e">
        <f t="shared" si="9"/>
        <v>#VALUE!</v>
      </c>
      <c r="P456" t="str">
        <f t="shared" si="10"/>
        <v>(NULL,"48","67"),</v>
      </c>
      <c r="Q456" t="str">
        <f>TextJoin(tblEnrolledSubjs[[#This Row],[CSubjID]:[EStudID]],"Value")</f>
        <v>"48","67"</v>
      </c>
      <c r="S456">
        <f>LOOKUP(LOOKUP(tblEnrolledSubjs[[#This Row],[CSubjID]], tblClassSubjs[CSubjID],tblClassSubjs[ClassID]),tblClasses[ClassID],tblClasses[STermID])</f>
        <v>1</v>
      </c>
      <c r="T456" t="str">
        <f>LOOKUP(S456,tblSchoolTerms[STermID],tblSchoolTerms[SemesterID]&amp;" Semester "&amp;tblSchoolTerms[SchoolYear])</f>
        <v>2 Semester S.Y. 2018-2019</v>
      </c>
      <c r="W4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6" t="e">
        <f t="array" ref="Y456">INDEX(tblEnrolledStuds[EStudID],MATCH(tblEnrolledSubjs[[#This Row],[EStudID]]&amp;S456,tblEnrolledStuds[AdmissionStatusID]&amp;tblEnrolledStuds[StudID],0))</f>
        <v>#N/A</v>
      </c>
    </row>
    <row r="457" spans="2:25" x14ac:dyDescent="0.25">
      <c r="B457">
        <v>455</v>
      </c>
      <c r="C457">
        <v>48</v>
      </c>
      <c r="D457">
        <v>70</v>
      </c>
      <c r="K457" t="e">
        <f>LOOKUP(tblEnrolledSubjs[[#This Row],[EStudID]],#REF!,#REF!)</f>
        <v>#REF!</v>
      </c>
      <c r="L457" t="e">
        <f>LOOKUP(K457,tblStudents[StudID],tblStudents[SchoolIDNo])</f>
        <v>#REF!</v>
      </c>
      <c r="M457" t="e">
        <f t="shared" si="9"/>
        <v>#VALUE!</v>
      </c>
      <c r="P457" t="str">
        <f t="shared" si="10"/>
        <v>(NULL,"48","70"),</v>
      </c>
      <c r="Q457" t="str">
        <f>TextJoin(tblEnrolledSubjs[[#This Row],[CSubjID]:[EStudID]],"Value")</f>
        <v>"48","70"</v>
      </c>
      <c r="S457">
        <f>LOOKUP(LOOKUP(tblEnrolledSubjs[[#This Row],[CSubjID]], tblClassSubjs[CSubjID],tblClassSubjs[ClassID]),tblClasses[ClassID],tblClasses[STermID])</f>
        <v>1</v>
      </c>
      <c r="T457" t="str">
        <f>LOOKUP(S457,tblSchoolTerms[STermID],tblSchoolTerms[SemesterID]&amp;" Semester "&amp;tblSchoolTerms[SchoolYear])</f>
        <v>2 Semester S.Y. 2018-2019</v>
      </c>
      <c r="W4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7" t="e">
        <f t="array" ref="Y457">INDEX(tblEnrolledStuds[EStudID],MATCH(tblEnrolledSubjs[[#This Row],[EStudID]]&amp;S457,tblEnrolledStuds[AdmissionStatusID]&amp;tblEnrolledStuds[StudID],0))</f>
        <v>#N/A</v>
      </c>
    </row>
    <row r="458" spans="2:25" x14ac:dyDescent="0.25">
      <c r="B458">
        <v>456</v>
      </c>
      <c r="C458">
        <v>48</v>
      </c>
      <c r="D458">
        <v>71</v>
      </c>
      <c r="K458" t="e">
        <f>LOOKUP(tblEnrolledSubjs[[#This Row],[EStudID]],#REF!,#REF!)</f>
        <v>#REF!</v>
      </c>
      <c r="L458" t="e">
        <f>LOOKUP(K458,tblStudents[StudID],tblStudents[SchoolIDNo])</f>
        <v>#REF!</v>
      </c>
      <c r="M458" t="e">
        <f t="shared" si="9"/>
        <v>#VALUE!</v>
      </c>
      <c r="P458" t="str">
        <f t="shared" si="10"/>
        <v>(NULL,"48","71"),</v>
      </c>
      <c r="Q458" t="str">
        <f>TextJoin(tblEnrolledSubjs[[#This Row],[CSubjID]:[EStudID]],"Value")</f>
        <v>"48","71"</v>
      </c>
      <c r="S458">
        <f>LOOKUP(LOOKUP(tblEnrolledSubjs[[#This Row],[CSubjID]], tblClassSubjs[CSubjID],tblClassSubjs[ClassID]),tblClasses[ClassID],tblClasses[STermID])</f>
        <v>1</v>
      </c>
      <c r="T458" t="str">
        <f>LOOKUP(S458,tblSchoolTerms[STermID],tblSchoolTerms[SemesterID]&amp;" Semester "&amp;tblSchoolTerms[SchoolYear])</f>
        <v>2 Semester S.Y. 2018-2019</v>
      </c>
      <c r="W4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8" t="e">
        <f t="array" ref="Y458">INDEX(tblEnrolledStuds[EStudID],MATCH(tblEnrolledSubjs[[#This Row],[EStudID]]&amp;S458,tblEnrolledStuds[AdmissionStatusID]&amp;tblEnrolledStuds[StudID],0))</f>
        <v>#N/A</v>
      </c>
    </row>
    <row r="459" spans="2:25" x14ac:dyDescent="0.25">
      <c r="B459">
        <v>457</v>
      </c>
      <c r="C459">
        <v>49</v>
      </c>
      <c r="D459">
        <v>5</v>
      </c>
      <c r="K459" t="e">
        <f>LOOKUP(tblEnrolledSubjs[[#This Row],[EStudID]],#REF!,#REF!)</f>
        <v>#REF!</v>
      </c>
      <c r="L459" t="e">
        <f>LOOKUP(K459,tblStudents[StudID],tblStudents[SchoolIDNo])</f>
        <v>#REF!</v>
      </c>
      <c r="M459" t="e">
        <f t="shared" si="9"/>
        <v>#VALUE!</v>
      </c>
      <c r="P459" t="str">
        <f t="shared" si="10"/>
        <v>(NULL,"49","5"),</v>
      </c>
      <c r="Q459" t="str">
        <f>TextJoin(tblEnrolledSubjs[[#This Row],[CSubjID]:[EStudID]],"Value")</f>
        <v>"49","5"</v>
      </c>
      <c r="S459">
        <f>LOOKUP(LOOKUP(tblEnrolledSubjs[[#This Row],[CSubjID]], tblClassSubjs[CSubjID],tblClassSubjs[ClassID]),tblClasses[ClassID],tblClasses[STermID])</f>
        <v>1</v>
      </c>
      <c r="T459" t="str">
        <f>LOOKUP(S459,tblSchoolTerms[STermID],tblSchoolTerms[SemesterID]&amp;" Semester "&amp;tblSchoolTerms[SchoolYear])</f>
        <v>2 Semester S.Y. 2018-2019</v>
      </c>
      <c r="W4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59" t="e">
        <f t="array" ref="Y459">INDEX(tblEnrolledStuds[EStudID],MATCH(tblEnrolledSubjs[[#This Row],[EStudID]]&amp;S459,tblEnrolledStuds[AdmissionStatusID]&amp;tblEnrolledStuds[StudID],0))</f>
        <v>#N/A</v>
      </c>
    </row>
    <row r="460" spans="2:25" x14ac:dyDescent="0.25">
      <c r="B460">
        <v>458</v>
      </c>
      <c r="C460">
        <v>49</v>
      </c>
      <c r="D460">
        <v>10</v>
      </c>
      <c r="K460" t="e">
        <f>LOOKUP(tblEnrolledSubjs[[#This Row],[EStudID]],#REF!,#REF!)</f>
        <v>#REF!</v>
      </c>
      <c r="L460" t="e">
        <f>LOOKUP(K460,tblStudents[StudID],tblStudents[SchoolIDNo])</f>
        <v>#REF!</v>
      </c>
      <c r="M460" t="e">
        <f t="shared" si="9"/>
        <v>#VALUE!</v>
      </c>
      <c r="P460" t="str">
        <f t="shared" si="10"/>
        <v>(NULL,"49","10"),</v>
      </c>
      <c r="Q460" t="str">
        <f>TextJoin(tblEnrolledSubjs[[#This Row],[CSubjID]:[EStudID]],"Value")</f>
        <v>"49","10"</v>
      </c>
      <c r="S460">
        <f>LOOKUP(LOOKUP(tblEnrolledSubjs[[#This Row],[CSubjID]], tblClassSubjs[CSubjID],tblClassSubjs[ClassID]),tblClasses[ClassID],tblClasses[STermID])</f>
        <v>1</v>
      </c>
      <c r="T460" t="str">
        <f>LOOKUP(S460,tblSchoolTerms[STermID],tblSchoolTerms[SemesterID]&amp;" Semester "&amp;tblSchoolTerms[SchoolYear])</f>
        <v>2 Semester S.Y. 2018-2019</v>
      </c>
      <c r="W4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0" t="e">
        <f t="array" ref="Y460">INDEX(tblEnrolledStuds[EStudID],MATCH(tblEnrolledSubjs[[#This Row],[EStudID]]&amp;S460,tblEnrolledStuds[AdmissionStatusID]&amp;tblEnrolledStuds[StudID],0))</f>
        <v>#N/A</v>
      </c>
    </row>
    <row r="461" spans="2:25" x14ac:dyDescent="0.25">
      <c r="B461">
        <v>459</v>
      </c>
      <c r="C461">
        <v>49</v>
      </c>
      <c r="D461">
        <v>18</v>
      </c>
      <c r="K461" t="e">
        <f>LOOKUP(tblEnrolledSubjs[[#This Row],[EStudID]],#REF!,#REF!)</f>
        <v>#REF!</v>
      </c>
      <c r="L461" t="e">
        <f>LOOKUP(K461,tblStudents[StudID],tblStudents[SchoolIDNo])</f>
        <v>#REF!</v>
      </c>
      <c r="M461" t="e">
        <f t="shared" si="9"/>
        <v>#VALUE!</v>
      </c>
      <c r="P461" t="str">
        <f t="shared" si="10"/>
        <v>(NULL,"49","18"),</v>
      </c>
      <c r="Q461" t="str">
        <f>TextJoin(tblEnrolledSubjs[[#This Row],[CSubjID]:[EStudID]],"Value")</f>
        <v>"49","18"</v>
      </c>
      <c r="S461">
        <f>LOOKUP(LOOKUP(tblEnrolledSubjs[[#This Row],[CSubjID]], tblClassSubjs[CSubjID],tblClassSubjs[ClassID]),tblClasses[ClassID],tblClasses[STermID])</f>
        <v>1</v>
      </c>
      <c r="T461" t="str">
        <f>LOOKUP(S461,tblSchoolTerms[STermID],tblSchoolTerms[SemesterID]&amp;" Semester "&amp;tblSchoolTerms[SchoolYear])</f>
        <v>2 Semester S.Y. 2018-2019</v>
      </c>
      <c r="W4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1" t="e">
        <f t="array" ref="Y461">INDEX(tblEnrolledStuds[EStudID],MATCH(tblEnrolledSubjs[[#This Row],[EStudID]]&amp;S461,tblEnrolledStuds[AdmissionStatusID]&amp;tblEnrolledStuds[StudID],0))</f>
        <v>#N/A</v>
      </c>
    </row>
    <row r="462" spans="2:25" x14ac:dyDescent="0.25">
      <c r="B462">
        <v>460</v>
      </c>
      <c r="C462">
        <v>49</v>
      </c>
      <c r="D462">
        <v>20</v>
      </c>
      <c r="K462" t="e">
        <f>LOOKUP(tblEnrolledSubjs[[#This Row],[EStudID]],#REF!,#REF!)</f>
        <v>#REF!</v>
      </c>
      <c r="L462" t="e">
        <f>LOOKUP(K462,tblStudents[StudID],tblStudents[SchoolIDNo])</f>
        <v>#REF!</v>
      </c>
      <c r="M462" t="e">
        <f t="shared" si="9"/>
        <v>#VALUE!</v>
      </c>
      <c r="P462" t="str">
        <f t="shared" si="10"/>
        <v>(NULL,"49","20"),</v>
      </c>
      <c r="Q462" t="str">
        <f>TextJoin(tblEnrolledSubjs[[#This Row],[CSubjID]:[EStudID]],"Value")</f>
        <v>"49","20"</v>
      </c>
      <c r="S462">
        <f>LOOKUP(LOOKUP(tblEnrolledSubjs[[#This Row],[CSubjID]], tblClassSubjs[CSubjID],tblClassSubjs[ClassID]),tblClasses[ClassID],tblClasses[STermID])</f>
        <v>1</v>
      </c>
      <c r="T462" t="str">
        <f>LOOKUP(S462,tblSchoolTerms[STermID],tblSchoolTerms[SemesterID]&amp;" Semester "&amp;tblSchoolTerms[SchoolYear])</f>
        <v>2 Semester S.Y. 2018-2019</v>
      </c>
      <c r="W4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2" t="e">
        <f t="array" ref="Y462">INDEX(tblEnrolledStuds[EStudID],MATCH(tblEnrolledSubjs[[#This Row],[EStudID]]&amp;S462,tblEnrolledStuds[AdmissionStatusID]&amp;tblEnrolledStuds[StudID],0))</f>
        <v>#N/A</v>
      </c>
    </row>
    <row r="463" spans="2:25" x14ac:dyDescent="0.25">
      <c r="B463">
        <v>461</v>
      </c>
      <c r="C463">
        <v>49</v>
      </c>
      <c r="D463">
        <v>22</v>
      </c>
      <c r="K463" t="e">
        <f>LOOKUP(tblEnrolledSubjs[[#This Row],[EStudID]],#REF!,#REF!)</f>
        <v>#REF!</v>
      </c>
      <c r="L463" t="e">
        <f>LOOKUP(K463,tblStudents[StudID],tblStudents[SchoolIDNo])</f>
        <v>#REF!</v>
      </c>
      <c r="M463" t="e">
        <f t="shared" si="9"/>
        <v>#VALUE!</v>
      </c>
      <c r="P463" t="str">
        <f t="shared" si="10"/>
        <v>(NULL,"49","22"),</v>
      </c>
      <c r="Q463" t="str">
        <f>TextJoin(tblEnrolledSubjs[[#This Row],[CSubjID]:[EStudID]],"Value")</f>
        <v>"49","22"</v>
      </c>
      <c r="S463">
        <f>LOOKUP(LOOKUP(tblEnrolledSubjs[[#This Row],[CSubjID]], tblClassSubjs[CSubjID],tblClassSubjs[ClassID]),tblClasses[ClassID],tblClasses[STermID])</f>
        <v>1</v>
      </c>
      <c r="T463" t="str">
        <f>LOOKUP(S463,tblSchoolTerms[STermID],tblSchoolTerms[SemesterID]&amp;" Semester "&amp;tblSchoolTerms[SchoolYear])</f>
        <v>2 Semester S.Y. 2018-2019</v>
      </c>
      <c r="W4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3" t="e">
        <f t="array" ref="Y463">INDEX(tblEnrolledStuds[EStudID],MATCH(tblEnrolledSubjs[[#This Row],[EStudID]]&amp;S463,tblEnrolledStuds[AdmissionStatusID]&amp;tblEnrolledStuds[StudID],0))</f>
        <v>#N/A</v>
      </c>
    </row>
    <row r="464" spans="2:25" x14ac:dyDescent="0.25">
      <c r="B464">
        <v>462</v>
      </c>
      <c r="C464">
        <v>49</v>
      </c>
      <c r="D464">
        <v>23</v>
      </c>
      <c r="K464" t="e">
        <f>LOOKUP(tblEnrolledSubjs[[#This Row],[EStudID]],#REF!,#REF!)</f>
        <v>#REF!</v>
      </c>
      <c r="L464" t="e">
        <f>LOOKUP(K464,tblStudents[StudID],tblStudents[SchoolIDNo])</f>
        <v>#REF!</v>
      </c>
      <c r="M464" t="e">
        <f t="shared" si="9"/>
        <v>#VALUE!</v>
      </c>
      <c r="P464" t="str">
        <f t="shared" si="10"/>
        <v>(NULL,"49","23"),</v>
      </c>
      <c r="Q464" t="str">
        <f>TextJoin(tblEnrolledSubjs[[#This Row],[CSubjID]:[EStudID]],"Value")</f>
        <v>"49","23"</v>
      </c>
      <c r="S464">
        <f>LOOKUP(LOOKUP(tblEnrolledSubjs[[#This Row],[CSubjID]], tblClassSubjs[CSubjID],tblClassSubjs[ClassID]),tblClasses[ClassID],tblClasses[STermID])</f>
        <v>1</v>
      </c>
      <c r="T464" t="str">
        <f>LOOKUP(S464,tblSchoolTerms[STermID],tblSchoolTerms[SemesterID]&amp;" Semester "&amp;tblSchoolTerms[SchoolYear])</f>
        <v>2 Semester S.Y. 2018-2019</v>
      </c>
      <c r="W4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4" t="e">
        <f t="array" ref="Y464">INDEX(tblEnrolledStuds[EStudID],MATCH(tblEnrolledSubjs[[#This Row],[EStudID]]&amp;S464,tblEnrolledStuds[AdmissionStatusID]&amp;tblEnrolledStuds[StudID],0))</f>
        <v>#N/A</v>
      </c>
    </row>
    <row r="465" spans="2:25" x14ac:dyDescent="0.25">
      <c r="B465">
        <v>463</v>
      </c>
      <c r="C465">
        <v>49</v>
      </c>
      <c r="D465">
        <v>25</v>
      </c>
      <c r="K465" t="e">
        <f>LOOKUP(tblEnrolledSubjs[[#This Row],[EStudID]],#REF!,#REF!)</f>
        <v>#REF!</v>
      </c>
      <c r="L465" t="e">
        <f>LOOKUP(K465,tblStudents[StudID],tblStudents[SchoolIDNo])</f>
        <v>#REF!</v>
      </c>
      <c r="M465" t="e">
        <f t="shared" si="9"/>
        <v>#VALUE!</v>
      </c>
      <c r="P465" t="str">
        <f t="shared" si="10"/>
        <v>(NULL,"49","25"),</v>
      </c>
      <c r="Q465" t="str">
        <f>TextJoin(tblEnrolledSubjs[[#This Row],[CSubjID]:[EStudID]],"Value")</f>
        <v>"49","25"</v>
      </c>
      <c r="S465">
        <f>LOOKUP(LOOKUP(tblEnrolledSubjs[[#This Row],[CSubjID]], tblClassSubjs[CSubjID],tblClassSubjs[ClassID]),tblClasses[ClassID],tblClasses[STermID])</f>
        <v>1</v>
      </c>
      <c r="T465" t="str">
        <f>LOOKUP(S465,tblSchoolTerms[STermID],tblSchoolTerms[SemesterID]&amp;" Semester "&amp;tblSchoolTerms[SchoolYear])</f>
        <v>2 Semester S.Y. 2018-2019</v>
      </c>
      <c r="W4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5" t="e">
        <f t="array" ref="Y465">INDEX(tblEnrolledStuds[EStudID],MATCH(tblEnrolledSubjs[[#This Row],[EStudID]]&amp;S465,tblEnrolledStuds[AdmissionStatusID]&amp;tblEnrolledStuds[StudID],0))</f>
        <v>#N/A</v>
      </c>
    </row>
    <row r="466" spans="2:25" x14ac:dyDescent="0.25">
      <c r="B466">
        <v>464</v>
      </c>
      <c r="C466">
        <v>49</v>
      </c>
      <c r="D466">
        <v>26</v>
      </c>
      <c r="K466" t="e">
        <f>LOOKUP(tblEnrolledSubjs[[#This Row],[EStudID]],#REF!,#REF!)</f>
        <v>#REF!</v>
      </c>
      <c r="L466" t="e">
        <f>LOOKUP(K466,tblStudents[StudID],tblStudents[SchoolIDNo])</f>
        <v>#REF!</v>
      </c>
      <c r="M466" t="e">
        <f t="shared" si="9"/>
        <v>#VALUE!</v>
      </c>
      <c r="P466" t="str">
        <f t="shared" si="10"/>
        <v>(NULL,"49","26"),</v>
      </c>
      <c r="Q466" t="str">
        <f>TextJoin(tblEnrolledSubjs[[#This Row],[CSubjID]:[EStudID]],"Value")</f>
        <v>"49","26"</v>
      </c>
      <c r="S466">
        <f>LOOKUP(LOOKUP(tblEnrolledSubjs[[#This Row],[CSubjID]], tblClassSubjs[CSubjID],tblClassSubjs[ClassID]),tblClasses[ClassID],tblClasses[STermID])</f>
        <v>1</v>
      </c>
      <c r="T466" t="str">
        <f>LOOKUP(S466,tblSchoolTerms[STermID],tblSchoolTerms[SemesterID]&amp;" Semester "&amp;tblSchoolTerms[SchoolYear])</f>
        <v>2 Semester S.Y. 2018-2019</v>
      </c>
      <c r="W4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6" t="e">
        <f t="array" ref="Y466">INDEX(tblEnrolledStuds[EStudID],MATCH(tblEnrolledSubjs[[#This Row],[EStudID]]&amp;S466,tblEnrolledStuds[AdmissionStatusID]&amp;tblEnrolledStuds[StudID],0))</f>
        <v>#N/A</v>
      </c>
    </row>
    <row r="467" spans="2:25" x14ac:dyDescent="0.25">
      <c r="B467">
        <v>465</v>
      </c>
      <c r="C467">
        <v>49</v>
      </c>
      <c r="D467">
        <v>27</v>
      </c>
      <c r="K467" t="e">
        <f>LOOKUP(tblEnrolledSubjs[[#This Row],[EStudID]],#REF!,#REF!)</f>
        <v>#REF!</v>
      </c>
      <c r="L467" t="e">
        <f>LOOKUP(K467,tblStudents[StudID],tblStudents[SchoolIDNo])</f>
        <v>#REF!</v>
      </c>
      <c r="M467" t="e">
        <f t="shared" si="9"/>
        <v>#VALUE!</v>
      </c>
      <c r="P467" t="str">
        <f t="shared" si="10"/>
        <v>(NULL,"49","27"),</v>
      </c>
      <c r="Q467" t="str">
        <f>TextJoin(tblEnrolledSubjs[[#This Row],[CSubjID]:[EStudID]],"Value")</f>
        <v>"49","27"</v>
      </c>
      <c r="S467">
        <f>LOOKUP(LOOKUP(tblEnrolledSubjs[[#This Row],[CSubjID]], tblClassSubjs[CSubjID],tblClassSubjs[ClassID]),tblClasses[ClassID],tblClasses[STermID])</f>
        <v>1</v>
      </c>
      <c r="T467" t="str">
        <f>LOOKUP(S467,tblSchoolTerms[STermID],tblSchoolTerms[SemesterID]&amp;" Semester "&amp;tblSchoolTerms[SchoolYear])</f>
        <v>2 Semester S.Y. 2018-2019</v>
      </c>
      <c r="W4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7">
        <f t="array" ref="Y467">INDEX(tblEnrolledStuds[EStudID],MATCH(tblEnrolledSubjs[[#This Row],[EStudID]]&amp;S467,tblEnrolledStuds[AdmissionStatusID]&amp;tblEnrolledStuds[StudID],0))</f>
        <v>190</v>
      </c>
    </row>
    <row r="468" spans="2:25" x14ac:dyDescent="0.25">
      <c r="B468">
        <v>466</v>
      </c>
      <c r="C468">
        <v>49</v>
      </c>
      <c r="D468">
        <v>28</v>
      </c>
      <c r="K468" t="e">
        <f>LOOKUP(tblEnrolledSubjs[[#This Row],[EStudID]],#REF!,#REF!)</f>
        <v>#REF!</v>
      </c>
      <c r="L468" t="e">
        <f>LOOKUP(K468,tblStudents[StudID],tblStudents[SchoolIDNo])</f>
        <v>#REF!</v>
      </c>
      <c r="M468" t="e">
        <f t="shared" si="9"/>
        <v>#VALUE!</v>
      </c>
      <c r="P468" t="str">
        <f t="shared" si="10"/>
        <v>(NULL,"49","28"),</v>
      </c>
      <c r="Q468" t="str">
        <f>TextJoin(tblEnrolledSubjs[[#This Row],[CSubjID]:[EStudID]],"Value")</f>
        <v>"49","28"</v>
      </c>
      <c r="S468">
        <f>LOOKUP(LOOKUP(tblEnrolledSubjs[[#This Row],[CSubjID]], tblClassSubjs[CSubjID],tblClassSubjs[ClassID]),tblClasses[ClassID],tblClasses[STermID])</f>
        <v>1</v>
      </c>
      <c r="T468" t="str">
        <f>LOOKUP(S468,tblSchoolTerms[STermID],tblSchoolTerms[SemesterID]&amp;" Semester "&amp;tblSchoolTerms[SchoolYear])</f>
        <v>2 Semester S.Y. 2018-2019</v>
      </c>
      <c r="W4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8" t="e">
        <f t="array" ref="Y468">INDEX(tblEnrolledStuds[EStudID],MATCH(tblEnrolledSubjs[[#This Row],[EStudID]]&amp;S468,tblEnrolledStuds[AdmissionStatusID]&amp;tblEnrolledStuds[StudID],0))</f>
        <v>#N/A</v>
      </c>
    </row>
    <row r="469" spans="2:25" x14ac:dyDescent="0.25">
      <c r="B469">
        <v>467</v>
      </c>
      <c r="C469">
        <v>49</v>
      </c>
      <c r="D469">
        <v>33</v>
      </c>
      <c r="K469" t="e">
        <f>LOOKUP(tblEnrolledSubjs[[#This Row],[EStudID]],#REF!,#REF!)</f>
        <v>#REF!</v>
      </c>
      <c r="L469" t="e">
        <f>LOOKUP(K469,tblStudents[StudID],tblStudents[SchoolIDNo])</f>
        <v>#REF!</v>
      </c>
      <c r="M469" t="e">
        <f t="shared" si="9"/>
        <v>#VALUE!</v>
      </c>
      <c r="P469" t="str">
        <f t="shared" si="10"/>
        <v>(NULL,"49","33"),</v>
      </c>
      <c r="Q469" t="str">
        <f>TextJoin(tblEnrolledSubjs[[#This Row],[CSubjID]:[EStudID]],"Value")</f>
        <v>"49","33"</v>
      </c>
      <c r="S469">
        <f>LOOKUP(LOOKUP(tblEnrolledSubjs[[#This Row],[CSubjID]], tblClassSubjs[CSubjID],tblClassSubjs[ClassID]),tblClasses[ClassID],tblClasses[STermID])</f>
        <v>1</v>
      </c>
      <c r="T469" t="str">
        <f>LOOKUP(S469,tblSchoolTerms[STermID],tblSchoolTerms[SemesterID]&amp;" Semester "&amp;tblSchoolTerms[SchoolYear])</f>
        <v>2 Semester S.Y. 2018-2019</v>
      </c>
      <c r="W4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69">
        <f t="array" ref="Y469">INDEX(tblEnrolledStuds[EStudID],MATCH(tblEnrolledSubjs[[#This Row],[EStudID]]&amp;S469,tblEnrolledStuds[AdmissionStatusID]&amp;tblEnrolledStuds[StudID],0))</f>
        <v>31</v>
      </c>
    </row>
    <row r="470" spans="2:25" x14ac:dyDescent="0.25">
      <c r="B470">
        <v>468</v>
      </c>
      <c r="C470">
        <v>49</v>
      </c>
      <c r="D470">
        <v>43</v>
      </c>
      <c r="K470" t="e">
        <f>LOOKUP(tblEnrolledSubjs[[#This Row],[EStudID]],#REF!,#REF!)</f>
        <v>#REF!</v>
      </c>
      <c r="L470" t="e">
        <f>LOOKUP(K470,tblStudents[StudID],tblStudents[SchoolIDNo])</f>
        <v>#REF!</v>
      </c>
      <c r="M470" t="e">
        <f t="shared" si="9"/>
        <v>#VALUE!</v>
      </c>
      <c r="P470" t="str">
        <f t="shared" si="10"/>
        <v>(NULL,"49","43"),</v>
      </c>
      <c r="Q470" t="str">
        <f>TextJoin(tblEnrolledSubjs[[#This Row],[CSubjID]:[EStudID]],"Value")</f>
        <v>"49","43"</v>
      </c>
      <c r="S470">
        <f>LOOKUP(LOOKUP(tblEnrolledSubjs[[#This Row],[CSubjID]], tblClassSubjs[CSubjID],tblClassSubjs[ClassID]),tblClasses[ClassID],tblClasses[STermID])</f>
        <v>1</v>
      </c>
      <c r="T470" t="str">
        <f>LOOKUP(S470,tblSchoolTerms[STermID],tblSchoolTerms[SemesterID]&amp;" Semester "&amp;tblSchoolTerms[SchoolYear])</f>
        <v>2 Semester S.Y. 2018-2019</v>
      </c>
      <c r="W4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0" t="e">
        <f t="array" ref="Y470">INDEX(tblEnrolledStuds[EStudID],MATCH(tblEnrolledSubjs[[#This Row],[EStudID]]&amp;S470,tblEnrolledStuds[AdmissionStatusID]&amp;tblEnrolledStuds[StudID],0))</f>
        <v>#N/A</v>
      </c>
    </row>
    <row r="471" spans="2:25" x14ac:dyDescent="0.25">
      <c r="B471">
        <v>469</v>
      </c>
      <c r="C471">
        <v>49</v>
      </c>
      <c r="D471">
        <v>46</v>
      </c>
      <c r="K471" t="e">
        <f>LOOKUP(tblEnrolledSubjs[[#This Row],[EStudID]],#REF!,#REF!)</f>
        <v>#REF!</v>
      </c>
      <c r="L471" t="e">
        <f>LOOKUP(K471,tblStudents[StudID],tblStudents[SchoolIDNo])</f>
        <v>#REF!</v>
      </c>
      <c r="M471" t="e">
        <f t="shared" si="9"/>
        <v>#VALUE!</v>
      </c>
      <c r="P471" t="str">
        <f t="shared" si="10"/>
        <v>(NULL,"49","46"),</v>
      </c>
      <c r="Q471" t="str">
        <f>TextJoin(tblEnrolledSubjs[[#This Row],[CSubjID]:[EStudID]],"Value")</f>
        <v>"49","46"</v>
      </c>
      <c r="S471">
        <f>LOOKUP(LOOKUP(tblEnrolledSubjs[[#This Row],[CSubjID]], tblClassSubjs[CSubjID],tblClassSubjs[ClassID]),tblClasses[ClassID],tblClasses[STermID])</f>
        <v>1</v>
      </c>
      <c r="T471" t="str">
        <f>LOOKUP(S471,tblSchoolTerms[STermID],tblSchoolTerms[SemesterID]&amp;" Semester "&amp;tblSchoolTerms[SchoolYear])</f>
        <v>2 Semester S.Y. 2018-2019</v>
      </c>
      <c r="W4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1" t="e">
        <f t="array" ref="Y471">INDEX(tblEnrolledStuds[EStudID],MATCH(tblEnrolledSubjs[[#This Row],[EStudID]]&amp;S471,tblEnrolledStuds[AdmissionStatusID]&amp;tblEnrolledStuds[StudID],0))</f>
        <v>#N/A</v>
      </c>
    </row>
    <row r="472" spans="2:25" x14ac:dyDescent="0.25">
      <c r="B472">
        <v>470</v>
      </c>
      <c r="C472">
        <v>49</v>
      </c>
      <c r="D472">
        <v>56</v>
      </c>
      <c r="K472" t="e">
        <f>LOOKUP(tblEnrolledSubjs[[#This Row],[EStudID]],#REF!,#REF!)</f>
        <v>#REF!</v>
      </c>
      <c r="L472" t="e">
        <f>LOOKUP(K472,tblStudents[StudID],tblStudents[SchoolIDNo])</f>
        <v>#REF!</v>
      </c>
      <c r="M472" t="e">
        <f t="shared" si="9"/>
        <v>#VALUE!</v>
      </c>
      <c r="P472" t="str">
        <f t="shared" si="10"/>
        <v>(NULL,"49","56"),</v>
      </c>
      <c r="Q472" t="str">
        <f>TextJoin(tblEnrolledSubjs[[#This Row],[CSubjID]:[EStudID]],"Value")</f>
        <v>"49","56"</v>
      </c>
      <c r="S472">
        <f>LOOKUP(LOOKUP(tblEnrolledSubjs[[#This Row],[CSubjID]], tblClassSubjs[CSubjID],tblClassSubjs[ClassID]),tblClasses[ClassID],tblClasses[STermID])</f>
        <v>1</v>
      </c>
      <c r="T472" t="str">
        <f>LOOKUP(S472,tblSchoolTerms[STermID],tblSchoolTerms[SemesterID]&amp;" Semester "&amp;tblSchoolTerms[SchoolYear])</f>
        <v>2 Semester S.Y. 2018-2019</v>
      </c>
      <c r="W4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2" t="e">
        <f t="array" ref="Y472">INDEX(tblEnrolledStuds[EStudID],MATCH(tblEnrolledSubjs[[#This Row],[EStudID]]&amp;S472,tblEnrolledStuds[AdmissionStatusID]&amp;tblEnrolledStuds[StudID],0))</f>
        <v>#N/A</v>
      </c>
    </row>
    <row r="473" spans="2:25" x14ac:dyDescent="0.25">
      <c r="B473">
        <v>471</v>
      </c>
      <c r="C473">
        <v>49</v>
      </c>
      <c r="D473">
        <v>63</v>
      </c>
      <c r="K473" t="e">
        <f>LOOKUP(tblEnrolledSubjs[[#This Row],[EStudID]],#REF!,#REF!)</f>
        <v>#REF!</v>
      </c>
      <c r="L473" t="e">
        <f>LOOKUP(K473,tblStudents[StudID],tblStudents[SchoolIDNo])</f>
        <v>#REF!</v>
      </c>
      <c r="M473" t="e">
        <f t="shared" si="9"/>
        <v>#VALUE!</v>
      </c>
      <c r="P473" t="str">
        <f t="shared" si="10"/>
        <v>(NULL,"49","63"),</v>
      </c>
      <c r="Q473" t="str">
        <f>TextJoin(tblEnrolledSubjs[[#This Row],[CSubjID]:[EStudID]],"Value")</f>
        <v>"49","63"</v>
      </c>
      <c r="S473">
        <f>LOOKUP(LOOKUP(tblEnrolledSubjs[[#This Row],[CSubjID]], tblClassSubjs[CSubjID],tblClassSubjs[ClassID]),tblClasses[ClassID],tblClasses[STermID])</f>
        <v>1</v>
      </c>
      <c r="T473" t="str">
        <f>LOOKUP(S473,tblSchoolTerms[STermID],tblSchoolTerms[SemesterID]&amp;" Semester "&amp;tblSchoolTerms[SchoolYear])</f>
        <v>2 Semester S.Y. 2018-2019</v>
      </c>
      <c r="W4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3" t="e">
        <f t="array" ref="Y473">INDEX(tblEnrolledStuds[EStudID],MATCH(tblEnrolledSubjs[[#This Row],[EStudID]]&amp;S473,tblEnrolledStuds[AdmissionStatusID]&amp;tblEnrolledStuds[StudID],0))</f>
        <v>#N/A</v>
      </c>
    </row>
    <row r="474" spans="2:25" x14ac:dyDescent="0.25">
      <c r="B474">
        <v>472</v>
      </c>
      <c r="C474">
        <v>49</v>
      </c>
      <c r="D474">
        <v>68</v>
      </c>
      <c r="K474" t="e">
        <f>LOOKUP(tblEnrolledSubjs[[#This Row],[EStudID]],#REF!,#REF!)</f>
        <v>#REF!</v>
      </c>
      <c r="L474" t="e">
        <f>LOOKUP(K474,tblStudents[StudID],tblStudents[SchoolIDNo])</f>
        <v>#REF!</v>
      </c>
      <c r="M474" t="e">
        <f t="shared" si="9"/>
        <v>#VALUE!</v>
      </c>
      <c r="P474" t="str">
        <f t="shared" si="10"/>
        <v>(NULL,"49","68"),</v>
      </c>
      <c r="Q474" t="str">
        <f>TextJoin(tblEnrolledSubjs[[#This Row],[CSubjID]:[EStudID]],"Value")</f>
        <v>"49","68"</v>
      </c>
      <c r="S474">
        <f>LOOKUP(LOOKUP(tblEnrolledSubjs[[#This Row],[CSubjID]], tblClassSubjs[CSubjID],tblClassSubjs[ClassID]),tblClasses[ClassID],tblClasses[STermID])</f>
        <v>1</v>
      </c>
      <c r="T474" t="str">
        <f>LOOKUP(S474,tblSchoolTerms[STermID],tblSchoolTerms[SemesterID]&amp;" Semester "&amp;tblSchoolTerms[SchoolYear])</f>
        <v>2 Semester S.Y. 2018-2019</v>
      </c>
      <c r="W4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4" t="e">
        <f t="array" ref="Y474">INDEX(tblEnrolledStuds[EStudID],MATCH(tblEnrolledSubjs[[#This Row],[EStudID]]&amp;S474,tblEnrolledStuds[AdmissionStatusID]&amp;tblEnrolledStuds[StudID],0))</f>
        <v>#N/A</v>
      </c>
    </row>
    <row r="475" spans="2:25" x14ac:dyDescent="0.25">
      <c r="B475">
        <v>473</v>
      </c>
      <c r="C475">
        <v>49</v>
      </c>
      <c r="D475">
        <v>69</v>
      </c>
      <c r="K475" t="e">
        <f>LOOKUP(tblEnrolledSubjs[[#This Row],[EStudID]],#REF!,#REF!)</f>
        <v>#REF!</v>
      </c>
      <c r="L475" t="e">
        <f>LOOKUP(K475,tblStudents[StudID],tblStudents[SchoolIDNo])</f>
        <v>#REF!</v>
      </c>
      <c r="M475" t="e">
        <f t="shared" si="9"/>
        <v>#VALUE!</v>
      </c>
      <c r="P475" t="str">
        <f t="shared" si="10"/>
        <v>(NULL,"49","69"),</v>
      </c>
      <c r="Q475" t="str">
        <f>TextJoin(tblEnrolledSubjs[[#This Row],[CSubjID]:[EStudID]],"Value")</f>
        <v>"49","69"</v>
      </c>
      <c r="S475">
        <f>LOOKUP(LOOKUP(tblEnrolledSubjs[[#This Row],[CSubjID]], tblClassSubjs[CSubjID],tblClassSubjs[ClassID]),tblClasses[ClassID],tblClasses[STermID])</f>
        <v>1</v>
      </c>
      <c r="T475" t="str">
        <f>LOOKUP(S475,tblSchoolTerms[STermID],tblSchoolTerms[SemesterID]&amp;" Semester "&amp;tblSchoolTerms[SchoolYear])</f>
        <v>2 Semester S.Y. 2018-2019</v>
      </c>
      <c r="W4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5" t="e">
        <f t="array" ref="Y475">INDEX(tblEnrolledStuds[EStudID],MATCH(tblEnrolledSubjs[[#This Row],[EStudID]]&amp;S475,tblEnrolledStuds[AdmissionStatusID]&amp;tblEnrolledStuds[StudID],0))</f>
        <v>#N/A</v>
      </c>
    </row>
    <row r="476" spans="2:25" x14ac:dyDescent="0.25">
      <c r="B476">
        <v>474</v>
      </c>
      <c r="C476">
        <v>49</v>
      </c>
      <c r="D476" s="23">
        <v>35</v>
      </c>
      <c r="K476" t="e">
        <f>LOOKUP(tblEnrolledSubjs[[#This Row],[EStudID]],#REF!,#REF!)</f>
        <v>#REF!</v>
      </c>
      <c r="L476" t="e">
        <f>LOOKUP(K476,tblStudents[StudID],tblStudents[SchoolIDNo])</f>
        <v>#REF!</v>
      </c>
      <c r="M476" t="e">
        <f t="shared" si="9"/>
        <v>#VALUE!</v>
      </c>
      <c r="P476" t="str">
        <f t="shared" si="10"/>
        <v>(NULL,"49","35"),</v>
      </c>
      <c r="Q476" t="str">
        <f>TextJoin(tblEnrolledSubjs[[#This Row],[CSubjID]:[EStudID]],"Value")</f>
        <v>"49","35"</v>
      </c>
      <c r="S476">
        <f>LOOKUP(LOOKUP(tblEnrolledSubjs[[#This Row],[CSubjID]], tblClassSubjs[CSubjID],tblClassSubjs[ClassID]),tblClasses[ClassID],tblClasses[STermID])</f>
        <v>1</v>
      </c>
      <c r="T476" t="str">
        <f>LOOKUP(S476,tblSchoolTerms[STermID],tblSchoolTerms[SemesterID]&amp;" Semester "&amp;tblSchoolTerms[SchoolYear])</f>
        <v>2 Semester S.Y. 2018-2019</v>
      </c>
      <c r="W4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6">
        <f t="array" ref="Y476">INDEX(tblEnrolledStuds[EStudID],MATCH(tblEnrolledSubjs[[#This Row],[EStudID]]&amp;S476,tblEnrolledStuds[AdmissionStatusID]&amp;tblEnrolledStuds[StudID],0))</f>
        <v>51</v>
      </c>
    </row>
    <row r="477" spans="2:25" x14ac:dyDescent="0.25">
      <c r="B477">
        <v>475</v>
      </c>
      <c r="C477">
        <v>50</v>
      </c>
      <c r="D477">
        <v>10</v>
      </c>
      <c r="K477" t="e">
        <f>LOOKUP(tblEnrolledSubjs[[#This Row],[EStudID]],#REF!,#REF!)</f>
        <v>#REF!</v>
      </c>
      <c r="L477" t="e">
        <f>LOOKUP(K477,tblStudents[StudID],tblStudents[SchoolIDNo])</f>
        <v>#REF!</v>
      </c>
      <c r="M477" t="e">
        <f t="shared" si="9"/>
        <v>#VALUE!</v>
      </c>
      <c r="P477" t="str">
        <f t="shared" si="10"/>
        <v>(NULL,"50","10"),</v>
      </c>
      <c r="Q477" t="str">
        <f>TextJoin(tblEnrolledSubjs[[#This Row],[CSubjID]:[EStudID]],"Value")</f>
        <v>"50","10"</v>
      </c>
      <c r="S477">
        <f>LOOKUP(LOOKUP(tblEnrolledSubjs[[#This Row],[CSubjID]], tblClassSubjs[CSubjID],tblClassSubjs[ClassID]),tblClasses[ClassID],tblClasses[STermID])</f>
        <v>1</v>
      </c>
      <c r="T477" t="str">
        <f>LOOKUP(S477,tblSchoolTerms[STermID],tblSchoolTerms[SemesterID]&amp;" Semester "&amp;tblSchoolTerms[SchoolYear])</f>
        <v>2 Semester S.Y. 2018-2019</v>
      </c>
      <c r="W4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7" t="e">
        <f t="array" ref="Y477">INDEX(tblEnrolledStuds[EStudID],MATCH(tblEnrolledSubjs[[#This Row],[EStudID]]&amp;S477,tblEnrolledStuds[AdmissionStatusID]&amp;tblEnrolledStuds[StudID],0))</f>
        <v>#N/A</v>
      </c>
    </row>
    <row r="478" spans="2:25" x14ac:dyDescent="0.25">
      <c r="B478">
        <v>476</v>
      </c>
      <c r="C478">
        <v>50</v>
      </c>
      <c r="D478">
        <v>23</v>
      </c>
      <c r="K478" t="e">
        <f>LOOKUP(tblEnrolledSubjs[[#This Row],[EStudID]],#REF!,#REF!)</f>
        <v>#REF!</v>
      </c>
      <c r="L478" t="e">
        <f>LOOKUP(K478,tblStudents[StudID],tblStudents[SchoolIDNo])</f>
        <v>#REF!</v>
      </c>
      <c r="M478" t="e">
        <f t="shared" si="9"/>
        <v>#VALUE!</v>
      </c>
      <c r="P478" t="str">
        <f t="shared" si="10"/>
        <v>(NULL,"50","23"),</v>
      </c>
      <c r="Q478" t="str">
        <f>TextJoin(tblEnrolledSubjs[[#This Row],[CSubjID]:[EStudID]],"Value")</f>
        <v>"50","23"</v>
      </c>
      <c r="S478">
        <f>LOOKUP(LOOKUP(tblEnrolledSubjs[[#This Row],[CSubjID]], tblClassSubjs[CSubjID],tblClassSubjs[ClassID]),tblClasses[ClassID],tblClasses[STermID])</f>
        <v>1</v>
      </c>
      <c r="T478" t="str">
        <f>LOOKUP(S478,tblSchoolTerms[STermID],tblSchoolTerms[SemesterID]&amp;" Semester "&amp;tblSchoolTerms[SchoolYear])</f>
        <v>2 Semester S.Y. 2018-2019</v>
      </c>
      <c r="W4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8" t="e">
        <f t="array" ref="Y478">INDEX(tblEnrolledStuds[EStudID],MATCH(tblEnrolledSubjs[[#This Row],[EStudID]]&amp;S478,tblEnrolledStuds[AdmissionStatusID]&amp;tblEnrolledStuds[StudID],0))</f>
        <v>#N/A</v>
      </c>
    </row>
    <row r="479" spans="2:25" x14ac:dyDescent="0.25">
      <c r="B479">
        <v>477</v>
      </c>
      <c r="C479">
        <v>50</v>
      </c>
      <c r="D479">
        <v>25</v>
      </c>
      <c r="K479" t="e">
        <f>LOOKUP(tblEnrolledSubjs[[#This Row],[EStudID]],#REF!,#REF!)</f>
        <v>#REF!</v>
      </c>
      <c r="L479" t="e">
        <f>LOOKUP(K479,tblStudents[StudID],tblStudents[SchoolIDNo])</f>
        <v>#REF!</v>
      </c>
      <c r="M479" t="e">
        <f t="shared" si="9"/>
        <v>#VALUE!</v>
      </c>
      <c r="P479" t="str">
        <f t="shared" si="10"/>
        <v>(NULL,"50","25"),</v>
      </c>
      <c r="Q479" t="str">
        <f>TextJoin(tblEnrolledSubjs[[#This Row],[CSubjID]:[EStudID]],"Value")</f>
        <v>"50","25"</v>
      </c>
      <c r="S479">
        <f>LOOKUP(LOOKUP(tblEnrolledSubjs[[#This Row],[CSubjID]], tblClassSubjs[CSubjID],tblClassSubjs[ClassID]),tblClasses[ClassID],tblClasses[STermID])</f>
        <v>1</v>
      </c>
      <c r="T479" t="str">
        <f>LOOKUP(S479,tblSchoolTerms[STermID],tblSchoolTerms[SemesterID]&amp;" Semester "&amp;tblSchoolTerms[SchoolYear])</f>
        <v>2 Semester S.Y. 2018-2019</v>
      </c>
      <c r="W4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79" t="e">
        <f t="array" ref="Y479">INDEX(tblEnrolledStuds[EStudID],MATCH(tblEnrolledSubjs[[#This Row],[EStudID]]&amp;S479,tblEnrolledStuds[AdmissionStatusID]&amp;tblEnrolledStuds[StudID],0))</f>
        <v>#N/A</v>
      </c>
    </row>
    <row r="480" spans="2:25" x14ac:dyDescent="0.25">
      <c r="B480">
        <v>478</v>
      </c>
      <c r="C480">
        <v>50</v>
      </c>
      <c r="D480">
        <v>26</v>
      </c>
      <c r="K480" t="e">
        <f>LOOKUP(tblEnrolledSubjs[[#This Row],[EStudID]],#REF!,#REF!)</f>
        <v>#REF!</v>
      </c>
      <c r="L480" t="e">
        <f>LOOKUP(K480,tblStudents[StudID],tblStudents[SchoolIDNo])</f>
        <v>#REF!</v>
      </c>
      <c r="M480" t="e">
        <f t="shared" si="9"/>
        <v>#VALUE!</v>
      </c>
      <c r="P480" t="str">
        <f t="shared" si="10"/>
        <v>(NULL,"50","26"),</v>
      </c>
      <c r="Q480" t="str">
        <f>TextJoin(tblEnrolledSubjs[[#This Row],[CSubjID]:[EStudID]],"Value")</f>
        <v>"50","26"</v>
      </c>
      <c r="S480">
        <f>LOOKUP(LOOKUP(tblEnrolledSubjs[[#This Row],[CSubjID]], tblClassSubjs[CSubjID],tblClassSubjs[ClassID]),tblClasses[ClassID],tblClasses[STermID])</f>
        <v>1</v>
      </c>
      <c r="T480" t="str">
        <f>LOOKUP(S480,tblSchoolTerms[STermID],tblSchoolTerms[SemesterID]&amp;" Semester "&amp;tblSchoolTerms[SchoolYear])</f>
        <v>2 Semester S.Y. 2018-2019</v>
      </c>
      <c r="W4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0" t="e">
        <f t="array" ref="Y480">INDEX(tblEnrolledStuds[EStudID],MATCH(tblEnrolledSubjs[[#This Row],[EStudID]]&amp;S480,tblEnrolledStuds[AdmissionStatusID]&amp;tblEnrolledStuds[StudID],0))</f>
        <v>#N/A</v>
      </c>
    </row>
    <row r="481" spans="2:25" x14ac:dyDescent="0.25">
      <c r="B481">
        <v>479</v>
      </c>
      <c r="C481">
        <v>50</v>
      </c>
      <c r="D481">
        <v>28</v>
      </c>
      <c r="K481" t="e">
        <f>LOOKUP(tblEnrolledSubjs[[#This Row],[EStudID]],#REF!,#REF!)</f>
        <v>#REF!</v>
      </c>
      <c r="L481" t="e">
        <f>LOOKUP(K481,tblStudents[StudID],tblStudents[SchoolIDNo])</f>
        <v>#REF!</v>
      </c>
      <c r="M481" t="e">
        <f t="shared" ref="M481:M501" si="11">LOWER(MD5_string((L481)))</f>
        <v>#VALUE!</v>
      </c>
      <c r="P481" t="str">
        <f t="shared" si="10"/>
        <v>(NULL,"50","28"),</v>
      </c>
      <c r="Q481" t="str">
        <f>TextJoin(tblEnrolledSubjs[[#This Row],[CSubjID]:[EStudID]],"Value")</f>
        <v>"50","28"</v>
      </c>
      <c r="S481">
        <f>LOOKUP(LOOKUP(tblEnrolledSubjs[[#This Row],[CSubjID]], tblClassSubjs[CSubjID],tblClassSubjs[ClassID]),tblClasses[ClassID],tblClasses[STermID])</f>
        <v>1</v>
      </c>
      <c r="T481" t="str">
        <f>LOOKUP(S481,tblSchoolTerms[STermID],tblSchoolTerms[SemesterID]&amp;" Semester "&amp;tblSchoolTerms[SchoolYear])</f>
        <v>2 Semester S.Y. 2018-2019</v>
      </c>
      <c r="W4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1" t="e">
        <f t="array" ref="Y481">INDEX(tblEnrolledStuds[EStudID],MATCH(tblEnrolledSubjs[[#This Row],[EStudID]]&amp;S481,tblEnrolledStuds[AdmissionStatusID]&amp;tblEnrolledStuds[StudID],0))</f>
        <v>#N/A</v>
      </c>
    </row>
    <row r="482" spans="2:25" x14ac:dyDescent="0.25">
      <c r="B482">
        <v>480</v>
      </c>
      <c r="C482">
        <v>50</v>
      </c>
      <c r="D482">
        <v>33</v>
      </c>
      <c r="K482" t="e">
        <f>LOOKUP(tblEnrolledSubjs[[#This Row],[EStudID]],#REF!,#REF!)</f>
        <v>#REF!</v>
      </c>
      <c r="L482" t="e">
        <f>LOOKUP(K482,tblStudents[StudID],tblStudents[SchoolIDNo])</f>
        <v>#REF!</v>
      </c>
      <c r="M482" t="e">
        <f t="shared" si="11"/>
        <v>#VALUE!</v>
      </c>
      <c r="P482" t="str">
        <f t="shared" si="10"/>
        <v>(NULL,"50","33"),</v>
      </c>
      <c r="Q482" t="str">
        <f>TextJoin(tblEnrolledSubjs[[#This Row],[CSubjID]:[EStudID]],"Value")</f>
        <v>"50","33"</v>
      </c>
      <c r="S482">
        <f>LOOKUP(LOOKUP(tblEnrolledSubjs[[#This Row],[CSubjID]], tblClassSubjs[CSubjID],tblClassSubjs[ClassID]),tblClasses[ClassID],tblClasses[STermID])</f>
        <v>1</v>
      </c>
      <c r="T482" t="str">
        <f>LOOKUP(S482,tblSchoolTerms[STermID],tblSchoolTerms[SemesterID]&amp;" Semester "&amp;tblSchoolTerms[SchoolYear])</f>
        <v>2 Semester S.Y. 2018-2019</v>
      </c>
      <c r="W4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2">
        <f t="array" ref="Y482">INDEX(tblEnrolledStuds[EStudID],MATCH(tblEnrolledSubjs[[#This Row],[EStudID]]&amp;S482,tblEnrolledStuds[AdmissionStatusID]&amp;tblEnrolledStuds[StudID],0))</f>
        <v>31</v>
      </c>
    </row>
    <row r="483" spans="2:25" x14ac:dyDescent="0.25">
      <c r="B483">
        <v>481</v>
      </c>
      <c r="C483">
        <v>50</v>
      </c>
      <c r="D483">
        <v>43</v>
      </c>
      <c r="K483" t="e">
        <f>LOOKUP(tblEnrolledSubjs[[#This Row],[EStudID]],#REF!,#REF!)</f>
        <v>#REF!</v>
      </c>
      <c r="L483" t="e">
        <f>LOOKUP(K483,tblStudents[StudID],tblStudents[SchoolIDNo])</f>
        <v>#REF!</v>
      </c>
      <c r="M483" t="e">
        <f t="shared" si="11"/>
        <v>#VALUE!</v>
      </c>
      <c r="P483" t="str">
        <f t="shared" si="10"/>
        <v>(NULL,"50","43"),</v>
      </c>
      <c r="Q483" t="str">
        <f>TextJoin(tblEnrolledSubjs[[#This Row],[CSubjID]:[EStudID]],"Value")</f>
        <v>"50","43"</v>
      </c>
      <c r="S483">
        <f>LOOKUP(LOOKUP(tblEnrolledSubjs[[#This Row],[CSubjID]], tblClassSubjs[CSubjID],tblClassSubjs[ClassID]),tblClasses[ClassID],tblClasses[STermID])</f>
        <v>1</v>
      </c>
      <c r="T483" t="str">
        <f>LOOKUP(S483,tblSchoolTerms[STermID],tblSchoolTerms[SemesterID]&amp;" Semester "&amp;tblSchoolTerms[SchoolYear])</f>
        <v>2 Semester S.Y. 2018-2019</v>
      </c>
      <c r="W4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3" t="e">
        <f t="array" ref="Y483">INDEX(tblEnrolledStuds[EStudID],MATCH(tblEnrolledSubjs[[#This Row],[EStudID]]&amp;S483,tblEnrolledStuds[AdmissionStatusID]&amp;tblEnrolledStuds[StudID],0))</f>
        <v>#N/A</v>
      </c>
    </row>
    <row r="484" spans="2:25" x14ac:dyDescent="0.25">
      <c r="B484">
        <v>482</v>
      </c>
      <c r="C484">
        <v>50</v>
      </c>
      <c r="D484">
        <v>46</v>
      </c>
      <c r="K484" t="e">
        <f>LOOKUP(tblEnrolledSubjs[[#This Row],[EStudID]],#REF!,#REF!)</f>
        <v>#REF!</v>
      </c>
      <c r="L484" t="e">
        <f>LOOKUP(K484,tblStudents[StudID],tblStudents[SchoolIDNo])</f>
        <v>#REF!</v>
      </c>
      <c r="M484" t="e">
        <f t="shared" si="11"/>
        <v>#VALUE!</v>
      </c>
      <c r="P484" t="str">
        <f t="shared" si="10"/>
        <v>(NULL,"50","46"),</v>
      </c>
      <c r="Q484" t="str">
        <f>TextJoin(tblEnrolledSubjs[[#This Row],[CSubjID]:[EStudID]],"Value")</f>
        <v>"50","46"</v>
      </c>
      <c r="S484">
        <f>LOOKUP(LOOKUP(tblEnrolledSubjs[[#This Row],[CSubjID]], tblClassSubjs[CSubjID],tblClassSubjs[ClassID]),tblClasses[ClassID],tblClasses[STermID])</f>
        <v>1</v>
      </c>
      <c r="T484" t="str">
        <f>LOOKUP(S484,tblSchoolTerms[STermID],tblSchoolTerms[SemesterID]&amp;" Semester "&amp;tblSchoolTerms[SchoolYear])</f>
        <v>2 Semester S.Y. 2018-2019</v>
      </c>
      <c r="W4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4" t="e">
        <f t="array" ref="Y484">INDEX(tblEnrolledStuds[EStudID],MATCH(tblEnrolledSubjs[[#This Row],[EStudID]]&amp;S484,tblEnrolledStuds[AdmissionStatusID]&amp;tblEnrolledStuds[StudID],0))</f>
        <v>#N/A</v>
      </c>
    </row>
    <row r="485" spans="2:25" x14ac:dyDescent="0.25">
      <c r="B485">
        <v>483</v>
      </c>
      <c r="C485">
        <v>50</v>
      </c>
      <c r="D485">
        <v>56</v>
      </c>
      <c r="K485" t="e">
        <f>LOOKUP(tblEnrolledSubjs[[#This Row],[EStudID]],#REF!,#REF!)</f>
        <v>#REF!</v>
      </c>
      <c r="L485" t="e">
        <f>LOOKUP(K485,tblStudents[StudID],tblStudents[SchoolIDNo])</f>
        <v>#REF!</v>
      </c>
      <c r="M485" t="e">
        <f t="shared" si="11"/>
        <v>#VALUE!</v>
      </c>
      <c r="P485" t="str">
        <f t="shared" si="10"/>
        <v>(NULL,"50","56"),</v>
      </c>
      <c r="Q485" t="str">
        <f>TextJoin(tblEnrolledSubjs[[#This Row],[CSubjID]:[EStudID]],"Value")</f>
        <v>"50","56"</v>
      </c>
      <c r="S485">
        <f>LOOKUP(LOOKUP(tblEnrolledSubjs[[#This Row],[CSubjID]], tblClassSubjs[CSubjID],tblClassSubjs[ClassID]),tblClasses[ClassID],tblClasses[STermID])</f>
        <v>1</v>
      </c>
      <c r="T485" t="str">
        <f>LOOKUP(S485,tblSchoolTerms[STermID],tblSchoolTerms[SemesterID]&amp;" Semester "&amp;tblSchoolTerms[SchoolYear])</f>
        <v>2 Semester S.Y. 2018-2019</v>
      </c>
      <c r="W4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5" t="e">
        <f t="array" ref="Y485">INDEX(tblEnrolledStuds[EStudID],MATCH(tblEnrolledSubjs[[#This Row],[EStudID]]&amp;S485,tblEnrolledStuds[AdmissionStatusID]&amp;tblEnrolledStuds[StudID],0))</f>
        <v>#N/A</v>
      </c>
    </row>
    <row r="486" spans="2:25" x14ac:dyDescent="0.25">
      <c r="B486">
        <v>484</v>
      </c>
      <c r="C486">
        <v>50</v>
      </c>
      <c r="D486">
        <v>69</v>
      </c>
      <c r="P486" t="str">
        <f t="shared" si="10"/>
        <v>(NULL,"50","69"),</v>
      </c>
      <c r="Q486" t="str">
        <f>TextJoin(tblEnrolledSubjs[[#This Row],[CSubjID]:[EStudID]],"Value")</f>
        <v>"50","69"</v>
      </c>
      <c r="S486">
        <f>LOOKUP(LOOKUP(tblEnrolledSubjs[[#This Row],[CSubjID]], tblClassSubjs[CSubjID],tblClassSubjs[ClassID]),tblClasses[ClassID],tblClasses[STermID])</f>
        <v>1</v>
      </c>
      <c r="T486" t="str">
        <f>LOOKUP(S486,tblSchoolTerms[STermID],tblSchoolTerms[SemesterID]&amp;" Semester "&amp;tblSchoolTerms[SchoolYear])</f>
        <v>2 Semester S.Y. 2018-2019</v>
      </c>
      <c r="W4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6" t="e">
        <f t="array" ref="Y486">INDEX(tblEnrolledStuds[EStudID],MATCH(tblEnrolledSubjs[[#This Row],[EStudID]]&amp;S486,tblEnrolledStuds[AdmissionStatusID]&amp;tblEnrolledStuds[StudID],0))</f>
        <v>#N/A</v>
      </c>
    </row>
    <row r="487" spans="2:25" x14ac:dyDescent="0.25">
      <c r="B487">
        <v>485</v>
      </c>
      <c r="C487">
        <v>50</v>
      </c>
      <c r="D487" s="26">
        <v>35</v>
      </c>
      <c r="P487" t="str">
        <f t="shared" si="10"/>
        <v>(NULL,"50","35"),</v>
      </c>
      <c r="Q487" t="str">
        <f>TextJoin(tblEnrolledSubjs[[#This Row],[CSubjID]:[EStudID]],"Value")</f>
        <v>"50","35"</v>
      </c>
      <c r="S487">
        <f>LOOKUP(LOOKUP(tblEnrolledSubjs[[#This Row],[CSubjID]], tblClassSubjs[CSubjID],tblClassSubjs[ClassID]),tblClasses[ClassID],tblClasses[STermID])</f>
        <v>1</v>
      </c>
      <c r="T487" t="str">
        <f>LOOKUP(S487,tblSchoolTerms[STermID],tblSchoolTerms[SemesterID]&amp;" Semester "&amp;tblSchoolTerms[SchoolYear])</f>
        <v>2 Semester S.Y. 2018-2019</v>
      </c>
      <c r="W4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7">
        <f t="array" ref="Y487">INDEX(tblEnrolledStuds[EStudID],MATCH(tblEnrolledSubjs[[#This Row],[EStudID]]&amp;S487,tblEnrolledStuds[AdmissionStatusID]&amp;tblEnrolledStuds[StudID],0))</f>
        <v>51</v>
      </c>
    </row>
    <row r="488" spans="2:25" x14ac:dyDescent="0.25">
      <c r="B488">
        <v>486</v>
      </c>
      <c r="C488">
        <v>51</v>
      </c>
      <c r="D488">
        <v>67</v>
      </c>
      <c r="P488" t="str">
        <f t="shared" si="10"/>
        <v>(NULL,"51","67"),</v>
      </c>
      <c r="Q488" t="str">
        <f>TextJoin(tblEnrolledSubjs[[#This Row],[CSubjID]:[EStudID]],"Value")</f>
        <v>"51","67"</v>
      </c>
      <c r="S488">
        <f>LOOKUP(LOOKUP(tblEnrolledSubjs[[#This Row],[CSubjID]], tblClassSubjs[CSubjID],tblClassSubjs[ClassID]),tblClasses[ClassID],tblClasses[STermID])</f>
        <v>1</v>
      </c>
      <c r="T488" t="str">
        <f>LOOKUP(S488,tblSchoolTerms[STermID],tblSchoolTerms[SemesterID]&amp;" Semester "&amp;tblSchoolTerms[SchoolYear])</f>
        <v>2 Semester S.Y. 2018-2019</v>
      </c>
      <c r="W4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8" t="e">
        <f t="array" ref="Y488">INDEX(tblEnrolledStuds[EStudID],MATCH(tblEnrolledSubjs[[#This Row],[EStudID]]&amp;S488,tblEnrolledStuds[AdmissionStatusID]&amp;tblEnrolledStuds[StudID],0))</f>
        <v>#N/A</v>
      </c>
    </row>
    <row r="489" spans="2:25" x14ac:dyDescent="0.25">
      <c r="B489">
        <v>487</v>
      </c>
      <c r="C489">
        <v>52</v>
      </c>
      <c r="D489">
        <v>67</v>
      </c>
      <c r="P489" t="str">
        <f t="shared" si="10"/>
        <v>(NULL,"52","67"),</v>
      </c>
      <c r="Q489" t="str">
        <f>TextJoin(tblEnrolledSubjs[[#This Row],[CSubjID]:[EStudID]],"Value")</f>
        <v>"52","67"</v>
      </c>
      <c r="S489">
        <f>LOOKUP(LOOKUP(tblEnrolledSubjs[[#This Row],[CSubjID]], tblClassSubjs[CSubjID],tblClassSubjs[ClassID]),tblClasses[ClassID],tblClasses[STermID])</f>
        <v>1</v>
      </c>
      <c r="T489" t="str">
        <f>LOOKUP(S489,tblSchoolTerms[STermID],tblSchoolTerms[SemesterID]&amp;" Semester "&amp;tblSchoolTerms[SchoolYear])</f>
        <v>2 Semester S.Y. 2018-2019</v>
      </c>
      <c r="W4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89" t="e">
        <f t="array" ref="Y489">INDEX(tblEnrolledStuds[EStudID],MATCH(tblEnrolledSubjs[[#This Row],[EStudID]]&amp;S489,tblEnrolledStuds[AdmissionStatusID]&amp;tblEnrolledStuds[StudID],0))</f>
        <v>#N/A</v>
      </c>
    </row>
    <row r="490" spans="2:25" x14ac:dyDescent="0.25">
      <c r="B490">
        <v>488</v>
      </c>
      <c r="C490">
        <v>53</v>
      </c>
      <c r="D490">
        <v>5</v>
      </c>
      <c r="P490" t="str">
        <f t="shared" si="10"/>
        <v>(NULL,"53","5"),</v>
      </c>
      <c r="Q490" t="str">
        <f>TextJoin(tblEnrolledSubjs[[#This Row],[CSubjID]:[EStudID]],"Value")</f>
        <v>"53","5"</v>
      </c>
      <c r="S490">
        <f>LOOKUP(LOOKUP(tblEnrolledSubjs[[#This Row],[CSubjID]], tblClassSubjs[CSubjID],tblClassSubjs[ClassID]),tblClasses[ClassID],tblClasses[STermID])</f>
        <v>1</v>
      </c>
      <c r="T490" t="str">
        <f>LOOKUP(S490,tblSchoolTerms[STermID],tblSchoolTerms[SemesterID]&amp;" Semester "&amp;tblSchoolTerms[SchoolYear])</f>
        <v>2 Semester S.Y. 2018-2019</v>
      </c>
      <c r="W4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0" t="e">
        <f t="array" ref="Y490">INDEX(tblEnrolledStuds[EStudID],MATCH(tblEnrolledSubjs[[#This Row],[EStudID]]&amp;S490,tblEnrolledStuds[AdmissionStatusID]&amp;tblEnrolledStuds[StudID],0))</f>
        <v>#N/A</v>
      </c>
    </row>
    <row r="491" spans="2:25" x14ac:dyDescent="0.25">
      <c r="B491">
        <v>489</v>
      </c>
      <c r="C491">
        <v>53</v>
      </c>
      <c r="D491">
        <v>18</v>
      </c>
      <c r="P491" t="str">
        <f t="shared" si="10"/>
        <v>(NULL,"53","18"),</v>
      </c>
      <c r="Q491" t="str">
        <f>TextJoin(tblEnrolledSubjs[[#This Row],[CSubjID]:[EStudID]],"Value")</f>
        <v>"53","18"</v>
      </c>
      <c r="S491">
        <f>LOOKUP(LOOKUP(tblEnrolledSubjs[[#This Row],[CSubjID]], tblClassSubjs[CSubjID],tblClassSubjs[ClassID]),tblClasses[ClassID],tblClasses[STermID])</f>
        <v>1</v>
      </c>
      <c r="T491" t="str">
        <f>LOOKUP(S491,tblSchoolTerms[STermID],tblSchoolTerms[SemesterID]&amp;" Semester "&amp;tblSchoolTerms[SchoolYear])</f>
        <v>2 Semester S.Y. 2018-2019</v>
      </c>
      <c r="W4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1" t="e">
        <f t="array" ref="Y491">INDEX(tblEnrolledStuds[EStudID],MATCH(tblEnrolledSubjs[[#This Row],[EStudID]]&amp;S491,tblEnrolledStuds[AdmissionStatusID]&amp;tblEnrolledStuds[StudID],0))</f>
        <v>#N/A</v>
      </c>
    </row>
    <row r="492" spans="2:25" x14ac:dyDescent="0.25">
      <c r="B492">
        <v>490</v>
      </c>
      <c r="C492">
        <v>53</v>
      </c>
      <c r="D492">
        <v>22</v>
      </c>
      <c r="P492" t="str">
        <f t="shared" si="10"/>
        <v>(NULL,"53","22"),</v>
      </c>
      <c r="Q492" t="str">
        <f>TextJoin(tblEnrolledSubjs[[#This Row],[CSubjID]:[EStudID]],"Value")</f>
        <v>"53","22"</v>
      </c>
      <c r="S492">
        <f>LOOKUP(LOOKUP(tblEnrolledSubjs[[#This Row],[CSubjID]], tblClassSubjs[CSubjID],tblClassSubjs[ClassID]),tblClasses[ClassID],tblClasses[STermID])</f>
        <v>1</v>
      </c>
      <c r="T492" t="str">
        <f>LOOKUP(S492,tblSchoolTerms[STermID],tblSchoolTerms[SemesterID]&amp;" Semester "&amp;tblSchoolTerms[SchoolYear])</f>
        <v>2 Semester S.Y. 2018-2019</v>
      </c>
      <c r="W4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2" t="e">
        <f t="array" ref="Y492">INDEX(tblEnrolledStuds[EStudID],MATCH(tblEnrolledSubjs[[#This Row],[EStudID]]&amp;S492,tblEnrolledStuds[AdmissionStatusID]&amp;tblEnrolledStuds[StudID],0))</f>
        <v>#N/A</v>
      </c>
    </row>
    <row r="493" spans="2:25" x14ac:dyDescent="0.25">
      <c r="B493">
        <v>491</v>
      </c>
      <c r="C493">
        <v>53</v>
      </c>
      <c r="D493">
        <v>27</v>
      </c>
      <c r="P493" t="str">
        <f t="shared" si="10"/>
        <v>(NULL,"53","27"),</v>
      </c>
      <c r="Q493" t="str">
        <f>TextJoin(tblEnrolledSubjs[[#This Row],[CSubjID]:[EStudID]],"Value")</f>
        <v>"53","27"</v>
      </c>
      <c r="S493">
        <f>LOOKUP(LOOKUP(tblEnrolledSubjs[[#This Row],[CSubjID]], tblClassSubjs[CSubjID],tblClassSubjs[ClassID]),tblClasses[ClassID],tblClasses[STermID])</f>
        <v>1</v>
      </c>
      <c r="T493" t="str">
        <f>LOOKUP(S493,tblSchoolTerms[STermID],tblSchoolTerms[SemesterID]&amp;" Semester "&amp;tblSchoolTerms[SchoolYear])</f>
        <v>2 Semester S.Y. 2018-2019</v>
      </c>
      <c r="W4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3">
        <f t="array" ref="Y493">INDEX(tblEnrolledStuds[EStudID],MATCH(tblEnrolledSubjs[[#This Row],[EStudID]]&amp;S493,tblEnrolledStuds[AdmissionStatusID]&amp;tblEnrolledStuds[StudID],0))</f>
        <v>190</v>
      </c>
    </row>
    <row r="494" spans="2:25" x14ac:dyDescent="0.25">
      <c r="B494">
        <v>492</v>
      </c>
      <c r="C494">
        <v>53</v>
      </c>
      <c r="D494">
        <v>63</v>
      </c>
      <c r="P494" t="str">
        <f t="shared" si="10"/>
        <v>(NULL,"53","63"),</v>
      </c>
      <c r="Q494" t="str">
        <f>TextJoin(tblEnrolledSubjs[[#This Row],[CSubjID]:[EStudID]],"Value")</f>
        <v>"53","63"</v>
      </c>
      <c r="S494">
        <f>LOOKUP(LOOKUP(tblEnrolledSubjs[[#This Row],[CSubjID]], tblClassSubjs[CSubjID],tblClassSubjs[ClassID]),tblClasses[ClassID],tblClasses[STermID])</f>
        <v>1</v>
      </c>
      <c r="T494" t="str">
        <f>LOOKUP(S494,tblSchoolTerms[STermID],tblSchoolTerms[SemesterID]&amp;" Semester "&amp;tblSchoolTerms[SchoolYear])</f>
        <v>2 Semester S.Y. 2018-2019</v>
      </c>
      <c r="W4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4" t="e">
        <f t="array" ref="Y494">INDEX(tblEnrolledStuds[EStudID],MATCH(tblEnrolledSubjs[[#This Row],[EStudID]]&amp;S494,tblEnrolledStuds[AdmissionStatusID]&amp;tblEnrolledStuds[StudID],0))</f>
        <v>#N/A</v>
      </c>
    </row>
    <row r="495" spans="2:25" x14ac:dyDescent="0.25">
      <c r="B495">
        <v>493</v>
      </c>
      <c r="C495">
        <v>53</v>
      </c>
      <c r="D495">
        <v>10</v>
      </c>
      <c r="P495" t="str">
        <f t="shared" si="10"/>
        <v>(NULL,"53","10"),</v>
      </c>
      <c r="Q495" t="str">
        <f>TextJoin(tblEnrolledSubjs[[#This Row],[CSubjID]:[EStudID]],"Value")</f>
        <v>"53","10"</v>
      </c>
      <c r="S495">
        <f>LOOKUP(LOOKUP(tblEnrolledSubjs[[#This Row],[CSubjID]], tblClassSubjs[CSubjID],tblClassSubjs[ClassID]),tblClasses[ClassID],tblClasses[STermID])</f>
        <v>1</v>
      </c>
      <c r="T495" t="str">
        <f>LOOKUP(S495,tblSchoolTerms[STermID],tblSchoolTerms[SemesterID]&amp;" Semester "&amp;tblSchoolTerms[SchoolYear])</f>
        <v>2 Semester S.Y. 2018-2019</v>
      </c>
      <c r="W4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5" t="e">
        <f t="array" ref="Y495">INDEX(tblEnrolledStuds[EStudID],MATCH(tblEnrolledSubjs[[#This Row],[EStudID]]&amp;S495,tblEnrolledStuds[AdmissionStatusID]&amp;tblEnrolledStuds[StudID],0))</f>
        <v>#N/A</v>
      </c>
    </row>
    <row r="496" spans="2:25" x14ac:dyDescent="0.25">
      <c r="B496">
        <v>494</v>
      </c>
      <c r="C496">
        <v>53</v>
      </c>
      <c r="D496">
        <v>23</v>
      </c>
      <c r="P496" t="str">
        <f t="shared" si="10"/>
        <v>(NULL,"53","23"),</v>
      </c>
      <c r="Q496" t="str">
        <f>TextJoin(tblEnrolledSubjs[[#This Row],[CSubjID]:[EStudID]],"Value")</f>
        <v>"53","23"</v>
      </c>
      <c r="S496">
        <f>LOOKUP(LOOKUP(tblEnrolledSubjs[[#This Row],[CSubjID]], tblClassSubjs[CSubjID],tblClassSubjs[ClassID]),tblClasses[ClassID],tblClasses[STermID])</f>
        <v>1</v>
      </c>
      <c r="T496" t="str">
        <f>LOOKUP(S496,tblSchoolTerms[STermID],tblSchoolTerms[SemesterID]&amp;" Semester "&amp;tblSchoolTerms[SchoolYear])</f>
        <v>2 Semester S.Y. 2018-2019</v>
      </c>
      <c r="W4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6" t="e">
        <f t="array" ref="Y496">INDEX(tblEnrolledStuds[EStudID],MATCH(tblEnrolledSubjs[[#This Row],[EStudID]]&amp;S496,tblEnrolledStuds[AdmissionStatusID]&amp;tblEnrolledStuds[StudID],0))</f>
        <v>#N/A</v>
      </c>
    </row>
    <row r="497" spans="2:25" x14ac:dyDescent="0.25">
      <c r="B497">
        <v>495</v>
      </c>
      <c r="C497">
        <v>53</v>
      </c>
      <c r="D497">
        <v>25</v>
      </c>
      <c r="K497" t="e">
        <f>LOOKUP(tblEnrolledSubjs[[#This Row],[EStudID]],#REF!,#REF!)</f>
        <v>#REF!</v>
      </c>
      <c r="L497" t="e">
        <f>LOOKUP(K497,tblStudents[StudID],tblStudents[SchoolIDNo])</f>
        <v>#REF!</v>
      </c>
      <c r="M497" t="e">
        <f t="shared" si="11"/>
        <v>#VALUE!</v>
      </c>
      <c r="P497" t="str">
        <f t="shared" si="10"/>
        <v>(NULL,"53","25"),</v>
      </c>
      <c r="Q497" t="str">
        <f>TextJoin(tblEnrolledSubjs[[#This Row],[CSubjID]:[EStudID]],"Value")</f>
        <v>"53","25"</v>
      </c>
      <c r="S497">
        <f>LOOKUP(LOOKUP(tblEnrolledSubjs[[#This Row],[CSubjID]], tblClassSubjs[CSubjID],tblClassSubjs[ClassID]),tblClasses[ClassID],tblClasses[STermID])</f>
        <v>1</v>
      </c>
      <c r="T497" t="str">
        <f>LOOKUP(S497,tblSchoolTerms[STermID],tblSchoolTerms[SemesterID]&amp;" Semester "&amp;tblSchoolTerms[SchoolYear])</f>
        <v>2 Semester S.Y. 2018-2019</v>
      </c>
      <c r="W4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7" t="e">
        <f t="array" ref="Y497">INDEX(tblEnrolledStuds[EStudID],MATCH(tblEnrolledSubjs[[#This Row],[EStudID]]&amp;S497,tblEnrolledStuds[AdmissionStatusID]&amp;tblEnrolledStuds[StudID],0))</f>
        <v>#N/A</v>
      </c>
    </row>
    <row r="498" spans="2:25" x14ac:dyDescent="0.25">
      <c r="B498">
        <v>496</v>
      </c>
      <c r="C498">
        <v>53</v>
      </c>
      <c r="D498">
        <v>26</v>
      </c>
      <c r="K498" t="e">
        <f>LOOKUP(tblEnrolledSubjs[[#This Row],[EStudID]],#REF!,#REF!)</f>
        <v>#REF!</v>
      </c>
      <c r="L498" t="e">
        <f>LOOKUP(K498,tblStudents[StudID],tblStudents[SchoolIDNo])</f>
        <v>#REF!</v>
      </c>
      <c r="M498" t="e">
        <f t="shared" si="11"/>
        <v>#VALUE!</v>
      </c>
      <c r="P498" t="str">
        <f t="shared" si="10"/>
        <v>(NULL,"53","26"),</v>
      </c>
      <c r="Q498" t="str">
        <f>TextJoin(tblEnrolledSubjs[[#This Row],[CSubjID]:[EStudID]],"Value")</f>
        <v>"53","26"</v>
      </c>
      <c r="S498">
        <f>LOOKUP(LOOKUP(tblEnrolledSubjs[[#This Row],[CSubjID]], tblClassSubjs[CSubjID],tblClassSubjs[ClassID]),tblClasses[ClassID],tblClasses[STermID])</f>
        <v>1</v>
      </c>
      <c r="T498" t="str">
        <f>LOOKUP(S498,tblSchoolTerms[STermID],tblSchoolTerms[SemesterID]&amp;" Semester "&amp;tblSchoolTerms[SchoolYear])</f>
        <v>2 Semester S.Y. 2018-2019</v>
      </c>
      <c r="W4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8" t="e">
        <f t="array" ref="Y498">INDEX(tblEnrolledStuds[EStudID],MATCH(tblEnrolledSubjs[[#This Row],[EStudID]]&amp;S498,tblEnrolledStuds[AdmissionStatusID]&amp;tblEnrolledStuds[StudID],0))</f>
        <v>#N/A</v>
      </c>
    </row>
    <row r="499" spans="2:25" x14ac:dyDescent="0.25">
      <c r="B499">
        <v>497</v>
      </c>
      <c r="C499">
        <v>53</v>
      </c>
      <c r="D499">
        <v>28</v>
      </c>
      <c r="K499" t="e">
        <f>LOOKUP(tblEnrolledSubjs[[#This Row],[EStudID]],#REF!,#REF!)</f>
        <v>#REF!</v>
      </c>
      <c r="L499" t="e">
        <f>LOOKUP(K499,tblStudents[StudID],tblStudents[SchoolIDNo])</f>
        <v>#REF!</v>
      </c>
      <c r="M499" t="e">
        <f t="shared" si="11"/>
        <v>#VALUE!</v>
      </c>
      <c r="P499" t="str">
        <f t="shared" si="10"/>
        <v>(NULL,"53","28"),</v>
      </c>
      <c r="Q499" t="str">
        <f>TextJoin(tblEnrolledSubjs[[#This Row],[CSubjID]:[EStudID]],"Value")</f>
        <v>"53","28"</v>
      </c>
      <c r="S499">
        <f>LOOKUP(LOOKUP(tblEnrolledSubjs[[#This Row],[CSubjID]], tblClassSubjs[CSubjID],tblClassSubjs[ClassID]),tblClasses[ClassID],tblClasses[STermID])</f>
        <v>1</v>
      </c>
      <c r="T499" t="str">
        <f>LOOKUP(S499,tblSchoolTerms[STermID],tblSchoolTerms[SemesterID]&amp;" Semester "&amp;tblSchoolTerms[SchoolYear])</f>
        <v>2 Semester S.Y. 2018-2019</v>
      </c>
      <c r="W4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499" t="e">
        <f t="array" ref="Y499">INDEX(tblEnrolledStuds[EStudID],MATCH(tblEnrolledSubjs[[#This Row],[EStudID]]&amp;S499,tblEnrolledStuds[AdmissionStatusID]&amp;tblEnrolledStuds[StudID],0))</f>
        <v>#N/A</v>
      </c>
    </row>
    <row r="500" spans="2:25" x14ac:dyDescent="0.25">
      <c r="B500">
        <v>498</v>
      </c>
      <c r="C500">
        <v>53</v>
      </c>
      <c r="D500">
        <v>33</v>
      </c>
      <c r="K500" t="e">
        <f>LOOKUP(tblEnrolledSubjs[[#This Row],[EStudID]],#REF!,#REF!)</f>
        <v>#REF!</v>
      </c>
      <c r="L500" t="e">
        <f>LOOKUP(K500,tblStudents[StudID],tblStudents[SchoolIDNo])</f>
        <v>#REF!</v>
      </c>
      <c r="M500" t="e">
        <f t="shared" si="11"/>
        <v>#VALUE!</v>
      </c>
      <c r="P500" t="str">
        <f t="shared" si="10"/>
        <v>(NULL,"53","33"),</v>
      </c>
      <c r="Q500" t="str">
        <f>TextJoin(tblEnrolledSubjs[[#This Row],[CSubjID]:[EStudID]],"Value")</f>
        <v>"53","33"</v>
      </c>
      <c r="S500">
        <f>LOOKUP(LOOKUP(tblEnrolledSubjs[[#This Row],[CSubjID]], tblClassSubjs[CSubjID],tblClassSubjs[ClassID]),tblClasses[ClassID],tblClasses[STermID])</f>
        <v>1</v>
      </c>
      <c r="T500" t="str">
        <f>LOOKUP(S500,tblSchoolTerms[STermID],tblSchoolTerms[SemesterID]&amp;" Semester "&amp;tblSchoolTerms[SchoolYear])</f>
        <v>2 Semester S.Y. 2018-2019</v>
      </c>
      <c r="W5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0">
        <f t="array" ref="Y500">INDEX(tblEnrolledStuds[EStudID],MATCH(tblEnrolledSubjs[[#This Row],[EStudID]]&amp;S500,tblEnrolledStuds[AdmissionStatusID]&amp;tblEnrolledStuds[StudID],0))</f>
        <v>31</v>
      </c>
    </row>
    <row r="501" spans="2:25" x14ac:dyDescent="0.25">
      <c r="B501">
        <v>499</v>
      </c>
      <c r="C501">
        <v>53</v>
      </c>
      <c r="D501">
        <v>43</v>
      </c>
      <c r="K501" t="e">
        <f>LOOKUP(tblEnrolledSubjs[[#This Row],[EStudID]],#REF!,#REF!)</f>
        <v>#REF!</v>
      </c>
      <c r="L501" t="e">
        <f>LOOKUP(K501,tblStudents[StudID],tblStudents[SchoolIDNo])</f>
        <v>#REF!</v>
      </c>
      <c r="M501" t="e">
        <f t="shared" si="11"/>
        <v>#VALUE!</v>
      </c>
      <c r="P501" t="str">
        <f t="shared" si="10"/>
        <v>(NULL,"53","43"),</v>
      </c>
      <c r="Q501" t="str">
        <f>TextJoin(tblEnrolledSubjs[[#This Row],[CSubjID]:[EStudID]],"Value")</f>
        <v>"53","43"</v>
      </c>
      <c r="S501">
        <f>LOOKUP(LOOKUP(tblEnrolledSubjs[[#This Row],[CSubjID]], tblClassSubjs[CSubjID],tblClassSubjs[ClassID]),tblClasses[ClassID],tblClasses[STermID])</f>
        <v>1</v>
      </c>
      <c r="T501" t="str">
        <f>LOOKUP(S501,tblSchoolTerms[STermID],tblSchoolTerms[SemesterID]&amp;" Semester "&amp;tblSchoolTerms[SchoolYear])</f>
        <v>2 Semester S.Y. 2018-2019</v>
      </c>
      <c r="W5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1" t="e">
        <f t="array" ref="Y501">INDEX(tblEnrolledStuds[EStudID],MATCH(tblEnrolledSubjs[[#This Row],[EStudID]]&amp;S501,tblEnrolledStuds[AdmissionStatusID]&amp;tblEnrolledStuds[StudID],0))</f>
        <v>#N/A</v>
      </c>
    </row>
    <row r="502" spans="2:25" x14ac:dyDescent="0.25">
      <c r="B502">
        <v>500</v>
      </c>
      <c r="C502">
        <v>53</v>
      </c>
      <c r="D502">
        <v>46</v>
      </c>
      <c r="P502" t="str">
        <f t="shared" si="10"/>
        <v>(NULL,"53","46"),</v>
      </c>
      <c r="Q502" t="str">
        <f>TextJoin(tblEnrolledSubjs[[#This Row],[CSubjID]:[EStudID]],"Value")</f>
        <v>"53","46"</v>
      </c>
      <c r="S502">
        <f>LOOKUP(LOOKUP(tblEnrolledSubjs[[#This Row],[CSubjID]], tblClassSubjs[CSubjID],tblClassSubjs[ClassID]),tblClasses[ClassID],tblClasses[STermID])</f>
        <v>1</v>
      </c>
      <c r="T502" t="str">
        <f>LOOKUP(S502,tblSchoolTerms[STermID],tblSchoolTerms[SemesterID]&amp;" Semester "&amp;tblSchoolTerms[SchoolYear])</f>
        <v>2 Semester S.Y. 2018-2019</v>
      </c>
      <c r="W5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2" t="e">
        <f t="array" ref="Y502">INDEX(tblEnrolledStuds[EStudID],MATCH(tblEnrolledSubjs[[#This Row],[EStudID]]&amp;S502,tblEnrolledStuds[AdmissionStatusID]&amp;tblEnrolledStuds[StudID],0))</f>
        <v>#N/A</v>
      </c>
    </row>
    <row r="503" spans="2:25" x14ac:dyDescent="0.25">
      <c r="B503">
        <v>501</v>
      </c>
      <c r="C503">
        <v>53</v>
      </c>
      <c r="D503">
        <v>56</v>
      </c>
      <c r="P503" t="str">
        <f t="shared" si="10"/>
        <v>(NULL,"53","56"),</v>
      </c>
      <c r="Q503" t="str">
        <f>TextJoin(tblEnrolledSubjs[[#This Row],[CSubjID]:[EStudID]],"Value")</f>
        <v>"53","56"</v>
      </c>
      <c r="S503">
        <f>LOOKUP(LOOKUP(tblEnrolledSubjs[[#This Row],[CSubjID]], tblClassSubjs[CSubjID],tblClassSubjs[ClassID]),tblClasses[ClassID],tblClasses[STermID])</f>
        <v>1</v>
      </c>
      <c r="T503" t="str">
        <f>LOOKUP(S503,tblSchoolTerms[STermID],tblSchoolTerms[SemesterID]&amp;" Semester "&amp;tblSchoolTerms[SchoolYear])</f>
        <v>2 Semester S.Y. 2018-2019</v>
      </c>
      <c r="W5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3" t="e">
        <f t="array" ref="Y503">INDEX(tblEnrolledStuds[EStudID],MATCH(tblEnrolledSubjs[[#This Row],[EStudID]]&amp;S503,tblEnrolledStuds[AdmissionStatusID]&amp;tblEnrolledStuds[StudID],0))</f>
        <v>#N/A</v>
      </c>
    </row>
    <row r="504" spans="2:25" x14ac:dyDescent="0.25">
      <c r="B504">
        <v>502</v>
      </c>
      <c r="C504">
        <v>53</v>
      </c>
      <c r="D504">
        <v>69</v>
      </c>
      <c r="P504" t="str">
        <f t="shared" si="10"/>
        <v>(NULL,"53","69"),</v>
      </c>
      <c r="Q504" t="str">
        <f>TextJoin(tblEnrolledSubjs[[#This Row],[CSubjID]:[EStudID]],"Value")</f>
        <v>"53","69"</v>
      </c>
      <c r="S504">
        <f>LOOKUP(LOOKUP(tblEnrolledSubjs[[#This Row],[CSubjID]], tblClassSubjs[CSubjID],tblClassSubjs[ClassID]),tblClasses[ClassID],tblClasses[STermID])</f>
        <v>1</v>
      </c>
      <c r="T504" t="str">
        <f>LOOKUP(S504,tblSchoolTerms[STermID],tblSchoolTerms[SemesterID]&amp;" Semester "&amp;tblSchoolTerms[SchoolYear])</f>
        <v>2 Semester S.Y. 2018-2019</v>
      </c>
      <c r="W5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4" t="e">
        <f t="array" ref="Y504">INDEX(tblEnrolledStuds[EStudID],MATCH(tblEnrolledSubjs[[#This Row],[EStudID]]&amp;S504,tblEnrolledStuds[AdmissionStatusID]&amp;tblEnrolledStuds[StudID],0))</f>
        <v>#N/A</v>
      </c>
    </row>
    <row r="505" spans="2:25" x14ac:dyDescent="0.25">
      <c r="B505">
        <v>503</v>
      </c>
      <c r="C505">
        <v>53</v>
      </c>
      <c r="D505">
        <v>20</v>
      </c>
      <c r="P505" t="str">
        <f t="shared" si="10"/>
        <v>(NULL,"53","20"),</v>
      </c>
      <c r="Q505" t="str">
        <f>TextJoin(tblEnrolledSubjs[[#This Row],[CSubjID]:[EStudID]],"Value")</f>
        <v>"53","20"</v>
      </c>
      <c r="S505">
        <f>LOOKUP(LOOKUP(tblEnrolledSubjs[[#This Row],[CSubjID]], tblClassSubjs[CSubjID],tblClassSubjs[ClassID]),tblClasses[ClassID],tblClasses[STermID])</f>
        <v>1</v>
      </c>
      <c r="T505" t="str">
        <f>LOOKUP(S505,tblSchoolTerms[STermID],tblSchoolTerms[SemesterID]&amp;" Semester "&amp;tblSchoolTerms[SchoolYear])</f>
        <v>2 Semester S.Y. 2018-2019</v>
      </c>
      <c r="W5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5" t="e">
        <f t="array" ref="Y505">INDEX(tblEnrolledStuds[EStudID],MATCH(tblEnrolledSubjs[[#This Row],[EStudID]]&amp;S505,tblEnrolledStuds[AdmissionStatusID]&amp;tblEnrolledStuds[StudID],0))</f>
        <v>#N/A</v>
      </c>
    </row>
    <row r="506" spans="2:25" x14ac:dyDescent="0.25">
      <c r="B506">
        <v>504</v>
      </c>
      <c r="C506">
        <v>54</v>
      </c>
      <c r="D506">
        <v>12</v>
      </c>
      <c r="P506" t="str">
        <f t="shared" si="10"/>
        <v>(NULL,"54","12"),</v>
      </c>
      <c r="Q506" t="str">
        <f>TextJoin(tblEnrolledSubjs[[#This Row],[CSubjID]:[EStudID]],"Value")</f>
        <v>"54","12"</v>
      </c>
      <c r="S506">
        <f>LOOKUP(LOOKUP(tblEnrolledSubjs[[#This Row],[CSubjID]], tblClassSubjs[CSubjID],tblClassSubjs[ClassID]),tblClasses[ClassID],tblClasses[STermID])</f>
        <v>1</v>
      </c>
      <c r="T506" t="str">
        <f>LOOKUP(S506,tblSchoolTerms[STermID],tblSchoolTerms[SemesterID]&amp;" Semester "&amp;tblSchoolTerms[SchoolYear])</f>
        <v>2 Semester S.Y. 2018-2019</v>
      </c>
      <c r="W5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6" t="e">
        <f t="array" ref="Y506">INDEX(tblEnrolledStuds[EStudID],MATCH(tblEnrolledSubjs[[#This Row],[EStudID]]&amp;S506,tblEnrolledStuds[AdmissionStatusID]&amp;tblEnrolledStuds[StudID],0))</f>
        <v>#N/A</v>
      </c>
    </row>
    <row r="507" spans="2:25" x14ac:dyDescent="0.25">
      <c r="B507">
        <v>505</v>
      </c>
      <c r="C507">
        <v>54</v>
      </c>
      <c r="D507">
        <v>37</v>
      </c>
      <c r="P507" t="str">
        <f t="shared" si="10"/>
        <v>(NULL,"54","37"),</v>
      </c>
      <c r="Q507" t="str">
        <f>TextJoin(tblEnrolledSubjs[[#This Row],[CSubjID]:[EStudID]],"Value")</f>
        <v>"54","37"</v>
      </c>
      <c r="S507">
        <f>LOOKUP(LOOKUP(tblEnrolledSubjs[[#This Row],[CSubjID]], tblClassSubjs[CSubjID],tblClassSubjs[ClassID]),tblClasses[ClassID],tblClasses[STermID])</f>
        <v>1</v>
      </c>
      <c r="T507" t="str">
        <f>LOOKUP(S507,tblSchoolTerms[STermID],tblSchoolTerms[SemesterID]&amp;" Semester "&amp;tblSchoolTerms[SchoolYear])</f>
        <v>2 Semester S.Y. 2018-2019</v>
      </c>
      <c r="W5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7">
        <f t="array" ref="Y507">INDEX(tblEnrolledStuds[EStudID],MATCH(tblEnrolledSubjs[[#This Row],[EStudID]]&amp;S507,tblEnrolledStuds[AdmissionStatusID]&amp;tblEnrolledStuds[StudID],0))</f>
        <v>71</v>
      </c>
    </row>
    <row r="508" spans="2:25" x14ac:dyDescent="0.25">
      <c r="B508">
        <v>506</v>
      </c>
      <c r="C508">
        <v>54</v>
      </c>
      <c r="D508">
        <v>47</v>
      </c>
      <c r="P508" t="str">
        <f t="shared" si="10"/>
        <v>(NULL,"54","47"),</v>
      </c>
      <c r="Q508" t="str">
        <f>TextJoin(tblEnrolledSubjs[[#This Row],[CSubjID]:[EStudID]],"Value")</f>
        <v>"54","47"</v>
      </c>
      <c r="S508">
        <f>LOOKUP(LOOKUP(tblEnrolledSubjs[[#This Row],[CSubjID]], tblClassSubjs[CSubjID],tblClassSubjs[ClassID]),tblClasses[ClassID],tblClasses[STermID])</f>
        <v>1</v>
      </c>
      <c r="T508" t="str">
        <f>LOOKUP(S508,tblSchoolTerms[STermID],tblSchoolTerms[SemesterID]&amp;" Semester "&amp;tblSchoolTerms[SchoolYear])</f>
        <v>2 Semester S.Y. 2018-2019</v>
      </c>
      <c r="W5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8" t="e">
        <f t="array" ref="Y508">INDEX(tblEnrolledStuds[EStudID],MATCH(tblEnrolledSubjs[[#This Row],[EStudID]]&amp;S508,tblEnrolledStuds[AdmissionStatusID]&amp;tblEnrolledStuds[StudID],0))</f>
        <v>#N/A</v>
      </c>
    </row>
    <row r="509" spans="2:25" x14ac:dyDescent="0.25">
      <c r="B509">
        <v>507</v>
      </c>
      <c r="C509">
        <v>54</v>
      </c>
      <c r="D509">
        <v>70</v>
      </c>
      <c r="P509" t="str">
        <f t="shared" si="10"/>
        <v>(NULL,"54","70"),</v>
      </c>
      <c r="Q509" t="str">
        <f>TextJoin(tblEnrolledSubjs[[#This Row],[CSubjID]:[EStudID]],"Value")</f>
        <v>"54","70"</v>
      </c>
      <c r="S509">
        <f>LOOKUP(LOOKUP(tblEnrolledSubjs[[#This Row],[CSubjID]], tblClassSubjs[CSubjID],tblClassSubjs[ClassID]),tblClasses[ClassID],tblClasses[STermID])</f>
        <v>1</v>
      </c>
      <c r="T509" t="str">
        <f>LOOKUP(S509,tblSchoolTerms[STermID],tblSchoolTerms[SemesterID]&amp;" Semester "&amp;tblSchoolTerms[SchoolYear])</f>
        <v>2 Semester S.Y. 2018-2019</v>
      </c>
      <c r="W5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09" t="e">
        <f t="array" ref="Y509">INDEX(tblEnrolledStuds[EStudID],MATCH(tblEnrolledSubjs[[#This Row],[EStudID]]&amp;S509,tblEnrolledStuds[AdmissionStatusID]&amp;tblEnrolledStuds[StudID],0))</f>
        <v>#N/A</v>
      </c>
    </row>
    <row r="510" spans="2:25" x14ac:dyDescent="0.25">
      <c r="B510">
        <v>508</v>
      </c>
      <c r="C510">
        <v>54</v>
      </c>
      <c r="D510">
        <v>71</v>
      </c>
      <c r="P510" t="str">
        <f t="shared" si="10"/>
        <v>(NULL,"54","71"),</v>
      </c>
      <c r="Q510" t="str">
        <f>TextJoin(tblEnrolledSubjs[[#This Row],[CSubjID]:[EStudID]],"Value")</f>
        <v>"54","71"</v>
      </c>
      <c r="S510">
        <f>LOOKUP(LOOKUP(tblEnrolledSubjs[[#This Row],[CSubjID]], tblClassSubjs[CSubjID],tblClassSubjs[ClassID]),tblClasses[ClassID],tblClasses[STermID])</f>
        <v>1</v>
      </c>
      <c r="T510" t="str">
        <f>LOOKUP(S510,tblSchoolTerms[STermID],tblSchoolTerms[SemesterID]&amp;" Semester "&amp;tblSchoolTerms[SchoolYear])</f>
        <v>2 Semester S.Y. 2018-2019</v>
      </c>
      <c r="W5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0" t="e">
        <f t="array" ref="Y510">INDEX(tblEnrolledStuds[EStudID],MATCH(tblEnrolledSubjs[[#This Row],[EStudID]]&amp;S510,tblEnrolledStuds[AdmissionStatusID]&amp;tblEnrolledStuds[StudID],0))</f>
        <v>#N/A</v>
      </c>
    </row>
    <row r="511" spans="2:25" x14ac:dyDescent="0.25">
      <c r="B511">
        <v>509</v>
      </c>
      <c r="C511">
        <v>55</v>
      </c>
      <c r="D511">
        <v>67</v>
      </c>
      <c r="P511" t="str">
        <f t="shared" si="10"/>
        <v>(NULL,"55","67"),</v>
      </c>
      <c r="Q511" t="str">
        <f>TextJoin(tblEnrolledSubjs[[#This Row],[CSubjID]:[EStudID]],"Value")</f>
        <v>"55","67"</v>
      </c>
      <c r="S511">
        <f>LOOKUP(LOOKUP(tblEnrolledSubjs[[#This Row],[CSubjID]], tblClassSubjs[CSubjID],tblClassSubjs[ClassID]),tblClasses[ClassID],tblClasses[STermID])</f>
        <v>1</v>
      </c>
      <c r="T511" t="str">
        <f>LOOKUP(S511,tblSchoolTerms[STermID],tblSchoolTerms[SemesterID]&amp;" Semester "&amp;tblSchoolTerms[SchoolYear])</f>
        <v>2 Semester S.Y. 2018-2019</v>
      </c>
      <c r="W5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1" t="e">
        <f t="array" ref="Y511">INDEX(tblEnrolledStuds[EStudID],MATCH(tblEnrolledSubjs[[#This Row],[EStudID]]&amp;S511,tblEnrolledStuds[AdmissionStatusID]&amp;tblEnrolledStuds[StudID],0))</f>
        <v>#N/A</v>
      </c>
    </row>
    <row r="512" spans="2:25" x14ac:dyDescent="0.25">
      <c r="B512">
        <v>510</v>
      </c>
      <c r="C512">
        <v>56</v>
      </c>
      <c r="D512">
        <v>67</v>
      </c>
      <c r="P512" t="str">
        <f t="shared" si="10"/>
        <v>(NULL,"56","67"),</v>
      </c>
      <c r="Q512" t="str">
        <f>TextJoin(tblEnrolledSubjs[[#This Row],[CSubjID]:[EStudID]],"Value")</f>
        <v>"56","67"</v>
      </c>
      <c r="S512">
        <f>LOOKUP(LOOKUP(tblEnrolledSubjs[[#This Row],[CSubjID]], tblClassSubjs[CSubjID],tblClassSubjs[ClassID]),tblClasses[ClassID],tblClasses[STermID])</f>
        <v>1</v>
      </c>
      <c r="T512" t="str">
        <f>LOOKUP(S512,tblSchoolTerms[STermID],tblSchoolTerms[SemesterID]&amp;" Semester "&amp;tblSchoolTerms[SchoolYear])</f>
        <v>2 Semester S.Y. 2018-2019</v>
      </c>
      <c r="W5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2" t="e">
        <f t="array" ref="Y512">INDEX(tblEnrolledStuds[EStudID],MATCH(tblEnrolledSubjs[[#This Row],[EStudID]]&amp;S512,tblEnrolledStuds[AdmissionStatusID]&amp;tblEnrolledStuds[StudID],0))</f>
        <v>#N/A</v>
      </c>
    </row>
    <row r="513" spans="2:25" x14ac:dyDescent="0.25">
      <c r="B513">
        <v>511</v>
      </c>
      <c r="C513">
        <v>57</v>
      </c>
      <c r="D513">
        <v>12</v>
      </c>
      <c r="P513" t="str">
        <f t="shared" si="10"/>
        <v>(NULL,"57","12"),</v>
      </c>
      <c r="Q513" t="str">
        <f>TextJoin(tblEnrolledSubjs[[#This Row],[CSubjID]:[EStudID]],"Value")</f>
        <v>"57","12"</v>
      </c>
      <c r="S513">
        <f>LOOKUP(LOOKUP(tblEnrolledSubjs[[#This Row],[CSubjID]], tblClassSubjs[CSubjID],tblClassSubjs[ClassID]),tblClasses[ClassID],tblClasses[STermID])</f>
        <v>1</v>
      </c>
      <c r="T513" t="str">
        <f>LOOKUP(S513,tblSchoolTerms[STermID],tblSchoolTerms[SemesterID]&amp;" Semester "&amp;tblSchoolTerms[SchoolYear])</f>
        <v>2 Semester S.Y. 2018-2019</v>
      </c>
      <c r="W5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3" t="e">
        <f t="array" ref="Y513">INDEX(tblEnrolledStuds[EStudID],MATCH(tblEnrolledSubjs[[#This Row],[EStudID]]&amp;S513,tblEnrolledStuds[AdmissionStatusID]&amp;tblEnrolledStuds[StudID],0))</f>
        <v>#N/A</v>
      </c>
    </row>
    <row r="514" spans="2:25" x14ac:dyDescent="0.25">
      <c r="B514">
        <v>512</v>
      </c>
      <c r="C514">
        <v>57</v>
      </c>
      <c r="D514">
        <v>67</v>
      </c>
      <c r="P514" t="str">
        <f t="shared" si="10"/>
        <v>(NULL,"57","67"),</v>
      </c>
      <c r="Q514" t="str">
        <f>TextJoin(tblEnrolledSubjs[[#This Row],[CSubjID]:[EStudID]],"Value")</f>
        <v>"57","67"</v>
      </c>
      <c r="S514">
        <f>LOOKUP(LOOKUP(tblEnrolledSubjs[[#This Row],[CSubjID]], tblClassSubjs[CSubjID],tblClassSubjs[ClassID]),tblClasses[ClassID],tblClasses[STermID])</f>
        <v>1</v>
      </c>
      <c r="T514" t="str">
        <f>LOOKUP(S514,tblSchoolTerms[STermID],tblSchoolTerms[SemesterID]&amp;" Semester "&amp;tblSchoolTerms[SchoolYear])</f>
        <v>2 Semester S.Y. 2018-2019</v>
      </c>
      <c r="W5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4" t="e">
        <f t="array" ref="Y514">INDEX(tblEnrolledStuds[EStudID],MATCH(tblEnrolledSubjs[[#This Row],[EStudID]]&amp;S514,tblEnrolledStuds[AdmissionStatusID]&amp;tblEnrolledStuds[StudID],0))</f>
        <v>#N/A</v>
      </c>
    </row>
    <row r="515" spans="2:25" x14ac:dyDescent="0.25">
      <c r="B515">
        <v>513</v>
      </c>
      <c r="C515">
        <v>57</v>
      </c>
      <c r="D515">
        <v>70</v>
      </c>
      <c r="P515" t="str">
        <f t="shared" si="10"/>
        <v>(NULL,"57","70"),</v>
      </c>
      <c r="Q515" t="str">
        <f>TextJoin(tblEnrolledSubjs[[#This Row],[CSubjID]:[EStudID]],"Value")</f>
        <v>"57","70"</v>
      </c>
      <c r="S515">
        <f>LOOKUP(LOOKUP(tblEnrolledSubjs[[#This Row],[CSubjID]], tblClassSubjs[CSubjID],tblClassSubjs[ClassID]),tblClasses[ClassID],tblClasses[STermID])</f>
        <v>1</v>
      </c>
      <c r="T515" t="str">
        <f>LOOKUP(S515,tblSchoolTerms[STermID],tblSchoolTerms[SemesterID]&amp;" Semester "&amp;tblSchoolTerms[SchoolYear])</f>
        <v>2 Semester S.Y. 2018-2019</v>
      </c>
      <c r="W5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5" t="e">
        <f t="array" ref="Y515">INDEX(tblEnrolledStuds[EStudID],MATCH(tblEnrolledSubjs[[#This Row],[EStudID]]&amp;S515,tblEnrolledStuds[AdmissionStatusID]&amp;tblEnrolledStuds[StudID],0))</f>
        <v>#N/A</v>
      </c>
    </row>
    <row r="516" spans="2:25" x14ac:dyDescent="0.25">
      <c r="B516">
        <v>514</v>
      </c>
      <c r="C516">
        <v>57</v>
      </c>
      <c r="D516">
        <v>47</v>
      </c>
      <c r="P516" t="str">
        <f t="shared" ref="P516:P579" si="12">"(NULL,"&amp;Q516&amp;")"&amp;IF(P517&lt;&gt;"",",",";")</f>
        <v>(NULL,"57","47"),</v>
      </c>
      <c r="Q516" t="str">
        <f>TextJoin(tblEnrolledSubjs[[#This Row],[CSubjID]:[EStudID]],"Value")</f>
        <v>"57","47"</v>
      </c>
      <c r="S516">
        <f>LOOKUP(LOOKUP(tblEnrolledSubjs[[#This Row],[CSubjID]], tblClassSubjs[CSubjID],tblClassSubjs[ClassID]),tblClasses[ClassID],tblClasses[STermID])</f>
        <v>1</v>
      </c>
      <c r="T516" t="str">
        <f>LOOKUP(S516,tblSchoolTerms[STermID],tblSchoolTerms[SemesterID]&amp;" Semester "&amp;tblSchoolTerms[SchoolYear])</f>
        <v>2 Semester S.Y. 2018-2019</v>
      </c>
      <c r="W5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6" t="e">
        <f t="array" ref="Y516">INDEX(tblEnrolledStuds[EStudID],MATCH(tblEnrolledSubjs[[#This Row],[EStudID]]&amp;S516,tblEnrolledStuds[AdmissionStatusID]&amp;tblEnrolledStuds[StudID],0))</f>
        <v>#N/A</v>
      </c>
    </row>
    <row r="517" spans="2:25" x14ac:dyDescent="0.25">
      <c r="B517">
        <v>515</v>
      </c>
      <c r="C517">
        <v>58</v>
      </c>
      <c r="D517">
        <v>1</v>
      </c>
      <c r="P517" t="str">
        <f t="shared" si="12"/>
        <v>(NULL,"58","1"),</v>
      </c>
      <c r="Q517" t="str">
        <f>TextJoin(tblEnrolledSubjs[[#This Row],[CSubjID]:[EStudID]],"Value")</f>
        <v>"58","1"</v>
      </c>
      <c r="S517">
        <f>LOOKUP(LOOKUP(tblEnrolledSubjs[[#This Row],[CSubjID]], tblClassSubjs[CSubjID],tblClassSubjs[ClassID]),tblClasses[ClassID],tblClasses[STermID])</f>
        <v>1</v>
      </c>
      <c r="T517" t="str">
        <f>LOOKUP(S517,tblSchoolTerms[STermID],tblSchoolTerms[SemesterID]&amp;" Semester "&amp;tblSchoolTerms[SchoolYear])</f>
        <v>2 Semester S.Y. 2018-2019</v>
      </c>
      <c r="W5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7" t="e">
        <f t="array" ref="Y517">INDEX(tblEnrolledStuds[EStudID],MATCH(tblEnrolledSubjs[[#This Row],[EStudID]]&amp;S517,tblEnrolledStuds[AdmissionStatusID]&amp;tblEnrolledStuds[StudID],0))</f>
        <v>#N/A</v>
      </c>
    </row>
    <row r="518" spans="2:25" x14ac:dyDescent="0.25">
      <c r="B518">
        <v>516</v>
      </c>
      <c r="C518">
        <v>58</v>
      </c>
      <c r="D518">
        <v>7</v>
      </c>
      <c r="P518" t="str">
        <f t="shared" si="12"/>
        <v>(NULL,"58","7"),</v>
      </c>
      <c r="Q518" t="str">
        <f>TextJoin(tblEnrolledSubjs[[#This Row],[CSubjID]:[EStudID]],"Value")</f>
        <v>"58","7"</v>
      </c>
      <c r="S518">
        <f>LOOKUP(LOOKUP(tblEnrolledSubjs[[#This Row],[CSubjID]], tblClassSubjs[CSubjID],tblClassSubjs[ClassID]),tblClasses[ClassID],tblClasses[STermID])</f>
        <v>1</v>
      </c>
      <c r="T518" t="str">
        <f>LOOKUP(S518,tblSchoolTerms[STermID],tblSchoolTerms[SemesterID]&amp;" Semester "&amp;tblSchoolTerms[SchoolYear])</f>
        <v>2 Semester S.Y. 2018-2019</v>
      </c>
      <c r="W5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8" t="e">
        <f t="array" ref="Y518">INDEX(tblEnrolledStuds[EStudID],MATCH(tblEnrolledSubjs[[#This Row],[EStudID]]&amp;S518,tblEnrolledStuds[AdmissionStatusID]&amp;tblEnrolledStuds[StudID],0))</f>
        <v>#N/A</v>
      </c>
    </row>
    <row r="519" spans="2:25" x14ac:dyDescent="0.25">
      <c r="B519">
        <v>517</v>
      </c>
      <c r="C519">
        <v>58</v>
      </c>
      <c r="D519">
        <v>19</v>
      </c>
      <c r="P519" t="str">
        <f t="shared" si="12"/>
        <v>(NULL,"58","19"),</v>
      </c>
      <c r="Q519" t="str">
        <f>TextJoin(tblEnrolledSubjs[[#This Row],[CSubjID]:[EStudID]],"Value")</f>
        <v>"58","19"</v>
      </c>
      <c r="S519">
        <f>LOOKUP(LOOKUP(tblEnrolledSubjs[[#This Row],[CSubjID]], tblClassSubjs[CSubjID],tblClassSubjs[ClassID]),tblClasses[ClassID],tblClasses[STermID])</f>
        <v>1</v>
      </c>
      <c r="T519" t="str">
        <f>LOOKUP(S519,tblSchoolTerms[STermID],tblSchoolTerms[SemesterID]&amp;" Semester "&amp;tblSchoolTerms[SchoolYear])</f>
        <v>2 Semester S.Y. 2018-2019</v>
      </c>
      <c r="W5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19" t="e">
        <f t="array" ref="Y519">INDEX(tblEnrolledStuds[EStudID],MATCH(tblEnrolledSubjs[[#This Row],[EStudID]]&amp;S519,tblEnrolledStuds[AdmissionStatusID]&amp;tblEnrolledStuds[StudID],0))</f>
        <v>#N/A</v>
      </c>
    </row>
    <row r="520" spans="2:25" x14ac:dyDescent="0.25">
      <c r="B520">
        <v>518</v>
      </c>
      <c r="C520">
        <v>58</v>
      </c>
      <c r="D520">
        <v>32</v>
      </c>
      <c r="P520" t="str">
        <f t="shared" si="12"/>
        <v>(NULL,"58","32"),</v>
      </c>
      <c r="Q520" t="str">
        <f>TextJoin(tblEnrolledSubjs[[#This Row],[CSubjID]:[EStudID]],"Value")</f>
        <v>"58","32"</v>
      </c>
      <c r="S520">
        <f>LOOKUP(LOOKUP(tblEnrolledSubjs[[#This Row],[CSubjID]], tblClassSubjs[CSubjID],tblClassSubjs[ClassID]),tblClasses[ClassID],tblClasses[STermID])</f>
        <v>1</v>
      </c>
      <c r="T520" t="str">
        <f>LOOKUP(S520,tblSchoolTerms[STermID],tblSchoolTerms[SemesterID]&amp;" Semester "&amp;tblSchoolTerms[SchoolYear])</f>
        <v>2 Semester S.Y. 2018-2019</v>
      </c>
      <c r="W5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0">
        <f t="array" ref="Y520">INDEX(tblEnrolledStuds[EStudID],MATCH(tblEnrolledSubjs[[#This Row],[EStudID]]&amp;S520,tblEnrolledStuds[AdmissionStatusID]&amp;tblEnrolledStuds[StudID],0))</f>
        <v>21</v>
      </c>
    </row>
    <row r="521" spans="2:25" x14ac:dyDescent="0.25">
      <c r="B521">
        <v>519</v>
      </c>
      <c r="C521">
        <v>58</v>
      </c>
      <c r="D521">
        <v>40</v>
      </c>
      <c r="P521" t="str">
        <f t="shared" si="12"/>
        <v>(NULL,"58","40"),</v>
      </c>
      <c r="Q521" t="str">
        <f>TextJoin(tblEnrolledSubjs[[#This Row],[CSubjID]:[EStudID]],"Value")</f>
        <v>"58","40"</v>
      </c>
      <c r="S521">
        <f>LOOKUP(LOOKUP(tblEnrolledSubjs[[#This Row],[CSubjID]], tblClassSubjs[CSubjID],tblClassSubjs[ClassID]),tblClasses[ClassID],tblClasses[STermID])</f>
        <v>1</v>
      </c>
      <c r="T521" t="str">
        <f>LOOKUP(S521,tblSchoolTerms[STermID],tblSchoolTerms[SemesterID]&amp;" Semester "&amp;tblSchoolTerms[SchoolYear])</f>
        <v>2 Semester S.Y. 2018-2019</v>
      </c>
      <c r="W5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1" t="e">
        <f t="array" ref="Y521">INDEX(tblEnrolledStuds[EStudID],MATCH(tblEnrolledSubjs[[#This Row],[EStudID]]&amp;S521,tblEnrolledStuds[AdmissionStatusID]&amp;tblEnrolledStuds[StudID],0))</f>
        <v>#N/A</v>
      </c>
    </row>
    <row r="522" spans="2:25" x14ac:dyDescent="0.25">
      <c r="B522">
        <v>520</v>
      </c>
      <c r="C522">
        <v>58</v>
      </c>
      <c r="D522">
        <v>51</v>
      </c>
      <c r="P522" t="str">
        <f t="shared" si="12"/>
        <v>(NULL,"58","51"),</v>
      </c>
      <c r="Q522" t="str">
        <f>TextJoin(tblEnrolledSubjs[[#This Row],[CSubjID]:[EStudID]],"Value")</f>
        <v>"58","51"</v>
      </c>
      <c r="S522">
        <f>LOOKUP(LOOKUP(tblEnrolledSubjs[[#This Row],[CSubjID]], tblClassSubjs[CSubjID],tblClassSubjs[ClassID]),tblClasses[ClassID],tblClasses[STermID])</f>
        <v>1</v>
      </c>
      <c r="T522" t="str">
        <f>LOOKUP(S522,tblSchoolTerms[STermID],tblSchoolTerms[SemesterID]&amp;" Semester "&amp;tblSchoolTerms[SchoolYear])</f>
        <v>2 Semester S.Y. 2018-2019</v>
      </c>
      <c r="W5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2" t="e">
        <f t="array" ref="Y522">INDEX(tblEnrolledStuds[EStudID],MATCH(tblEnrolledSubjs[[#This Row],[EStudID]]&amp;S522,tblEnrolledStuds[AdmissionStatusID]&amp;tblEnrolledStuds[StudID],0))</f>
        <v>#N/A</v>
      </c>
    </row>
    <row r="523" spans="2:25" x14ac:dyDescent="0.25">
      <c r="B523">
        <v>521</v>
      </c>
      <c r="C523">
        <v>58</v>
      </c>
      <c r="D523">
        <v>54</v>
      </c>
      <c r="P523" t="str">
        <f t="shared" si="12"/>
        <v>(NULL,"58","54"),</v>
      </c>
      <c r="Q523" t="str">
        <f>TextJoin(tblEnrolledSubjs[[#This Row],[CSubjID]:[EStudID]],"Value")</f>
        <v>"58","54"</v>
      </c>
      <c r="S523">
        <f>LOOKUP(LOOKUP(tblEnrolledSubjs[[#This Row],[CSubjID]], tblClassSubjs[CSubjID],tblClassSubjs[ClassID]),tblClasses[ClassID],tblClasses[STermID])</f>
        <v>1</v>
      </c>
      <c r="T523" t="str">
        <f>LOOKUP(S523,tblSchoolTerms[STermID],tblSchoolTerms[SemesterID]&amp;" Semester "&amp;tblSchoolTerms[SchoolYear])</f>
        <v>2 Semester S.Y. 2018-2019</v>
      </c>
      <c r="W5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3" t="e">
        <f t="array" ref="Y523">INDEX(tblEnrolledStuds[EStudID],MATCH(tblEnrolledSubjs[[#This Row],[EStudID]]&amp;S523,tblEnrolledStuds[AdmissionStatusID]&amp;tblEnrolledStuds[StudID],0))</f>
        <v>#N/A</v>
      </c>
    </row>
    <row r="524" spans="2:25" x14ac:dyDescent="0.25">
      <c r="B524">
        <v>522</v>
      </c>
      <c r="C524">
        <v>59</v>
      </c>
      <c r="D524">
        <v>11</v>
      </c>
      <c r="P524" t="str">
        <f t="shared" si="12"/>
        <v>(NULL,"59","11"),</v>
      </c>
      <c r="Q524" t="str">
        <f>TextJoin(tblEnrolledSubjs[[#This Row],[CSubjID]:[EStudID]],"Value")</f>
        <v>"59","11"</v>
      </c>
      <c r="S524">
        <f>LOOKUP(LOOKUP(tblEnrolledSubjs[[#This Row],[CSubjID]], tblClassSubjs[CSubjID],tblClassSubjs[ClassID]),tblClasses[ClassID],tblClasses[STermID])</f>
        <v>1</v>
      </c>
      <c r="T524" t="str">
        <f>LOOKUP(S524,tblSchoolTerms[STermID],tblSchoolTerms[SemesterID]&amp;" Semester "&amp;tblSchoolTerms[SchoolYear])</f>
        <v>2 Semester S.Y. 2018-2019</v>
      </c>
      <c r="W5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4" t="e">
        <f t="array" ref="Y524">INDEX(tblEnrolledStuds[EStudID],MATCH(tblEnrolledSubjs[[#This Row],[EStudID]]&amp;S524,tblEnrolledStuds[AdmissionStatusID]&amp;tblEnrolledStuds[StudID],0))</f>
        <v>#N/A</v>
      </c>
    </row>
    <row r="525" spans="2:25" x14ac:dyDescent="0.25">
      <c r="B525">
        <v>523</v>
      </c>
      <c r="C525">
        <v>60</v>
      </c>
      <c r="D525">
        <v>11</v>
      </c>
      <c r="P525" t="str">
        <f t="shared" si="12"/>
        <v>(NULL,"60","11"),</v>
      </c>
      <c r="Q525" t="str">
        <f>TextJoin(tblEnrolledSubjs[[#This Row],[CSubjID]:[EStudID]],"Value")</f>
        <v>"60","11"</v>
      </c>
      <c r="S525">
        <f>LOOKUP(LOOKUP(tblEnrolledSubjs[[#This Row],[CSubjID]], tblClassSubjs[CSubjID],tblClassSubjs[ClassID]),tblClasses[ClassID],tblClasses[STermID])</f>
        <v>1</v>
      </c>
      <c r="T525" t="str">
        <f>LOOKUP(S525,tblSchoolTerms[STermID],tblSchoolTerms[SemesterID]&amp;" Semester "&amp;tblSchoolTerms[SchoolYear])</f>
        <v>2 Semester S.Y. 2018-2019</v>
      </c>
      <c r="W5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5" t="e">
        <f t="array" ref="Y525">INDEX(tblEnrolledStuds[EStudID],MATCH(tblEnrolledSubjs[[#This Row],[EStudID]]&amp;S525,tblEnrolledStuds[AdmissionStatusID]&amp;tblEnrolledStuds[StudID],0))</f>
        <v>#N/A</v>
      </c>
    </row>
    <row r="526" spans="2:25" x14ac:dyDescent="0.25">
      <c r="B526">
        <v>524</v>
      </c>
      <c r="C526">
        <v>61</v>
      </c>
      <c r="D526">
        <v>11</v>
      </c>
      <c r="P526" t="str">
        <f t="shared" si="12"/>
        <v>(NULL,"61","11"),</v>
      </c>
      <c r="Q526" t="str">
        <f>TextJoin(tblEnrolledSubjs[[#This Row],[CSubjID]:[EStudID]],"Value")</f>
        <v>"61","11"</v>
      </c>
      <c r="S526">
        <f>LOOKUP(LOOKUP(tblEnrolledSubjs[[#This Row],[CSubjID]], tblClassSubjs[CSubjID],tblClassSubjs[ClassID]),tblClasses[ClassID],tblClasses[STermID])</f>
        <v>1</v>
      </c>
      <c r="T526" t="str">
        <f>LOOKUP(S526,tblSchoolTerms[STermID],tblSchoolTerms[SemesterID]&amp;" Semester "&amp;tblSchoolTerms[SchoolYear])</f>
        <v>2 Semester S.Y. 2018-2019</v>
      </c>
      <c r="W5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6" t="e">
        <f t="array" ref="Y526">INDEX(tblEnrolledStuds[EStudID],MATCH(tblEnrolledSubjs[[#This Row],[EStudID]]&amp;S526,tblEnrolledStuds[AdmissionStatusID]&amp;tblEnrolledStuds[StudID],0))</f>
        <v>#N/A</v>
      </c>
    </row>
    <row r="527" spans="2:25" x14ac:dyDescent="0.25">
      <c r="B527">
        <v>525</v>
      </c>
      <c r="C527">
        <v>62</v>
      </c>
      <c r="D527">
        <v>37</v>
      </c>
      <c r="P527" t="str">
        <f t="shared" si="12"/>
        <v>(NULL,"62","37"),</v>
      </c>
      <c r="Q527" t="str">
        <f>TextJoin(tblEnrolledSubjs[[#This Row],[CSubjID]:[EStudID]],"Value")</f>
        <v>"62","37"</v>
      </c>
      <c r="S527">
        <f>LOOKUP(LOOKUP(tblEnrolledSubjs[[#This Row],[CSubjID]], tblClassSubjs[CSubjID],tblClassSubjs[ClassID]),tblClasses[ClassID],tblClasses[STermID])</f>
        <v>1</v>
      </c>
      <c r="T527" t="str">
        <f>LOOKUP(S527,tblSchoolTerms[STermID],tblSchoolTerms[SemesterID]&amp;" Semester "&amp;tblSchoolTerms[SchoolYear])</f>
        <v>2 Semester S.Y. 2018-2019</v>
      </c>
      <c r="W5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7">
        <f t="array" ref="Y527">INDEX(tblEnrolledStuds[EStudID],MATCH(tblEnrolledSubjs[[#This Row],[EStudID]]&amp;S527,tblEnrolledStuds[AdmissionStatusID]&amp;tblEnrolledStuds[StudID],0))</f>
        <v>71</v>
      </c>
    </row>
    <row r="528" spans="2:25" x14ac:dyDescent="0.25">
      <c r="B528">
        <v>526</v>
      </c>
      <c r="C528">
        <v>63</v>
      </c>
      <c r="D528">
        <v>37</v>
      </c>
      <c r="P528" t="str">
        <f t="shared" si="12"/>
        <v>(NULL,"63","37"),</v>
      </c>
      <c r="Q528" t="str">
        <f>TextJoin(tblEnrolledSubjs[[#This Row],[CSubjID]:[EStudID]],"Value")</f>
        <v>"63","37"</v>
      </c>
      <c r="S528">
        <f>LOOKUP(LOOKUP(tblEnrolledSubjs[[#This Row],[CSubjID]], tblClassSubjs[CSubjID],tblClassSubjs[ClassID]),tblClasses[ClassID],tblClasses[STermID])</f>
        <v>1</v>
      </c>
      <c r="T528" t="str">
        <f>LOOKUP(S528,tblSchoolTerms[STermID],tblSchoolTerms[SemesterID]&amp;" Semester "&amp;tblSchoolTerms[SchoolYear])</f>
        <v>2 Semester S.Y. 2018-2019</v>
      </c>
      <c r="W5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8">
        <f t="array" ref="Y528">INDEX(tblEnrolledStuds[EStudID],MATCH(tblEnrolledSubjs[[#This Row],[EStudID]]&amp;S528,tblEnrolledStuds[AdmissionStatusID]&amp;tblEnrolledStuds[StudID],0))</f>
        <v>71</v>
      </c>
    </row>
    <row r="529" spans="2:25" x14ac:dyDescent="0.25">
      <c r="B529">
        <v>527</v>
      </c>
      <c r="C529">
        <v>64</v>
      </c>
      <c r="D529">
        <v>46</v>
      </c>
      <c r="P529" t="str">
        <f t="shared" si="12"/>
        <v>(NULL,"64","46"),</v>
      </c>
      <c r="Q529" t="str">
        <f>TextJoin(tblEnrolledSubjs[[#This Row],[CSubjID]:[EStudID]],"Value")</f>
        <v>"64","46"</v>
      </c>
      <c r="S529">
        <f>LOOKUP(LOOKUP(tblEnrolledSubjs[[#This Row],[CSubjID]], tblClassSubjs[CSubjID],tblClassSubjs[ClassID]),tblClasses[ClassID],tblClasses[STermID])</f>
        <v>1</v>
      </c>
      <c r="T529" t="str">
        <f>LOOKUP(S529,tblSchoolTerms[STermID],tblSchoolTerms[SemesterID]&amp;" Semester "&amp;tblSchoolTerms[SchoolYear])</f>
        <v>2 Semester S.Y. 2018-2019</v>
      </c>
      <c r="W5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29" t="e">
        <f t="array" ref="Y529">INDEX(tblEnrolledStuds[EStudID],MATCH(tblEnrolledSubjs[[#This Row],[EStudID]]&amp;S529,tblEnrolledStuds[AdmissionStatusID]&amp;tblEnrolledStuds[StudID],0))</f>
        <v>#N/A</v>
      </c>
    </row>
    <row r="530" spans="2:25" x14ac:dyDescent="0.25">
      <c r="B530">
        <v>528</v>
      </c>
      <c r="C530">
        <v>97</v>
      </c>
      <c r="D530">
        <v>72</v>
      </c>
      <c r="E530" s="28"/>
      <c r="F530" s="28"/>
      <c r="G530" s="28"/>
      <c r="H530" s="28"/>
      <c r="I530" s="28">
        <v>2</v>
      </c>
      <c r="P530" t="str">
        <f t="shared" si="12"/>
        <v>(NULL,"97","72"),</v>
      </c>
      <c r="Q530" t="str">
        <f>TextJoin(tblEnrolledSubjs[[#This Row],[CSubjID]:[EStudID]],"Value")</f>
        <v>"97","72"</v>
      </c>
      <c r="S530">
        <f>LOOKUP(LOOKUP(tblEnrolledSubjs[[#This Row],[CSubjID]], tblClassSubjs[CSubjID],tblClassSubjs[ClassID]),tblClasses[ClassID],tblClasses[STermID])</f>
        <v>2</v>
      </c>
      <c r="T530" t="str">
        <f>LOOKUP(S530,tblSchoolTerms[STermID],tblSchoolTerms[SemesterID]&amp;" Semester "&amp;tblSchoolTerms[SchoolYear])</f>
        <v>1 Semester S.Y. 2018-2019</v>
      </c>
      <c r="W5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0" t="e">
        <f t="array" ref="Y530">INDEX(tblEnrolledStuds[EStudID],MATCH(tblEnrolledSubjs[[#This Row],[EStudID]]&amp;S530,tblEnrolledStuds[AdmissionStatusID]&amp;tblEnrolledStuds[StudID],0))</f>
        <v>#N/A</v>
      </c>
    </row>
    <row r="531" spans="2:25" x14ac:dyDescent="0.25">
      <c r="B531">
        <v>529</v>
      </c>
      <c r="C531">
        <v>97</v>
      </c>
      <c r="D531">
        <v>73</v>
      </c>
      <c r="P531" t="str">
        <f t="shared" si="12"/>
        <v>(NULL,"97","73"),</v>
      </c>
      <c r="Q531" t="str">
        <f>TextJoin(tblEnrolledSubjs[[#This Row],[CSubjID]:[EStudID]],"Value")</f>
        <v>"97","73"</v>
      </c>
      <c r="S531">
        <f>LOOKUP(LOOKUP(tblEnrolledSubjs[[#This Row],[CSubjID]], tblClassSubjs[CSubjID],tblClassSubjs[ClassID]),tblClasses[ClassID],tblClasses[STermID])</f>
        <v>2</v>
      </c>
      <c r="T531" t="str">
        <f>LOOKUP(S531,tblSchoolTerms[STermID],tblSchoolTerms[SemesterID]&amp;" Semester "&amp;tblSchoolTerms[SchoolYear])</f>
        <v>1 Semester S.Y. 2018-2019</v>
      </c>
      <c r="W5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1" t="e">
        <f t="array" ref="Y531">INDEX(tblEnrolledStuds[EStudID],MATCH(tblEnrolledSubjs[[#This Row],[EStudID]]&amp;S531,tblEnrolledStuds[AdmissionStatusID]&amp;tblEnrolledStuds[StudID],0))</f>
        <v>#N/A</v>
      </c>
    </row>
    <row r="532" spans="2:25" x14ac:dyDescent="0.25">
      <c r="B532">
        <v>530</v>
      </c>
      <c r="C532">
        <v>97</v>
      </c>
      <c r="D532">
        <v>74</v>
      </c>
      <c r="P532" t="str">
        <f t="shared" si="12"/>
        <v>(NULL,"97","74"),</v>
      </c>
      <c r="Q532" t="str">
        <f>TextJoin(tblEnrolledSubjs[[#This Row],[CSubjID]:[EStudID]],"Value")</f>
        <v>"97","74"</v>
      </c>
      <c r="S532">
        <f>LOOKUP(LOOKUP(tblEnrolledSubjs[[#This Row],[CSubjID]], tblClassSubjs[CSubjID],tblClassSubjs[ClassID]),tblClasses[ClassID],tblClasses[STermID])</f>
        <v>2</v>
      </c>
      <c r="T532" t="str">
        <f>LOOKUP(S532,tblSchoolTerms[STermID],tblSchoolTerms[SemesterID]&amp;" Semester "&amp;tblSchoolTerms[SchoolYear])</f>
        <v>1 Semester S.Y. 2018-2019</v>
      </c>
      <c r="W5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2" t="e">
        <f t="array" ref="Y532">INDEX(tblEnrolledStuds[EStudID],MATCH(tblEnrolledSubjs[[#This Row],[EStudID]]&amp;S532,tblEnrolledStuds[AdmissionStatusID]&amp;tblEnrolledStuds[StudID],0))</f>
        <v>#N/A</v>
      </c>
    </row>
    <row r="533" spans="2:25" x14ac:dyDescent="0.25">
      <c r="B533">
        <v>531</v>
      </c>
      <c r="C533">
        <v>97</v>
      </c>
      <c r="D533">
        <v>76</v>
      </c>
      <c r="P533" t="str">
        <f t="shared" si="12"/>
        <v>(NULL,"97","76"),</v>
      </c>
      <c r="Q533" t="str">
        <f>TextJoin(tblEnrolledSubjs[[#This Row],[CSubjID]:[EStudID]],"Value")</f>
        <v>"97","76"</v>
      </c>
      <c r="S533">
        <f>LOOKUP(LOOKUP(tblEnrolledSubjs[[#This Row],[CSubjID]], tblClassSubjs[CSubjID],tblClassSubjs[ClassID]),tblClasses[ClassID],tblClasses[STermID])</f>
        <v>2</v>
      </c>
      <c r="T533" t="str">
        <f>LOOKUP(S533,tblSchoolTerms[STermID],tblSchoolTerms[SemesterID]&amp;" Semester "&amp;tblSchoolTerms[SchoolYear])</f>
        <v>1 Semester S.Y. 2018-2019</v>
      </c>
      <c r="W5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3" t="e">
        <f t="array" ref="Y533">INDEX(tblEnrolledStuds[EStudID],MATCH(tblEnrolledSubjs[[#This Row],[EStudID]]&amp;S533,tblEnrolledStuds[AdmissionStatusID]&amp;tblEnrolledStuds[StudID],0))</f>
        <v>#N/A</v>
      </c>
    </row>
    <row r="534" spans="2:25" x14ac:dyDescent="0.25">
      <c r="B534">
        <v>532</v>
      </c>
      <c r="C534">
        <v>97</v>
      </c>
      <c r="D534">
        <v>77</v>
      </c>
      <c r="P534" t="str">
        <f t="shared" si="12"/>
        <v>(NULL,"97","77"),</v>
      </c>
      <c r="Q534" t="str">
        <f>TextJoin(tblEnrolledSubjs[[#This Row],[CSubjID]:[EStudID]],"Value")</f>
        <v>"97","77"</v>
      </c>
      <c r="S534">
        <f>LOOKUP(LOOKUP(tblEnrolledSubjs[[#This Row],[CSubjID]], tblClassSubjs[CSubjID],tblClassSubjs[ClassID]),tblClasses[ClassID],tblClasses[STermID])</f>
        <v>2</v>
      </c>
      <c r="T534" t="str">
        <f>LOOKUP(S534,tblSchoolTerms[STermID],tblSchoolTerms[SemesterID]&amp;" Semester "&amp;tblSchoolTerms[SchoolYear])</f>
        <v>1 Semester S.Y. 2018-2019</v>
      </c>
      <c r="W5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4" t="e">
        <f t="array" ref="Y534">INDEX(tblEnrolledStuds[EStudID],MATCH(tblEnrolledSubjs[[#This Row],[EStudID]]&amp;S534,tblEnrolledStuds[AdmissionStatusID]&amp;tblEnrolledStuds[StudID],0))</f>
        <v>#N/A</v>
      </c>
    </row>
    <row r="535" spans="2:25" x14ac:dyDescent="0.25">
      <c r="B535">
        <v>533</v>
      </c>
      <c r="C535">
        <v>97</v>
      </c>
      <c r="D535">
        <v>79</v>
      </c>
      <c r="P535" t="str">
        <f t="shared" si="12"/>
        <v>(NULL,"97","79"),</v>
      </c>
      <c r="Q535" t="str">
        <f>TextJoin(tblEnrolledSubjs[[#This Row],[CSubjID]:[EStudID]],"Value")</f>
        <v>"97","79"</v>
      </c>
      <c r="S535">
        <f>LOOKUP(LOOKUP(tblEnrolledSubjs[[#This Row],[CSubjID]], tblClassSubjs[CSubjID],tblClassSubjs[ClassID]),tblClasses[ClassID],tblClasses[STermID])</f>
        <v>2</v>
      </c>
      <c r="T535" t="str">
        <f>LOOKUP(S535,tblSchoolTerms[STermID],tblSchoolTerms[SemesterID]&amp;" Semester "&amp;tblSchoolTerms[SchoolYear])</f>
        <v>1 Semester S.Y. 2018-2019</v>
      </c>
      <c r="W5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5" t="e">
        <f t="array" ref="Y535">INDEX(tblEnrolledStuds[EStudID],MATCH(tblEnrolledSubjs[[#This Row],[EStudID]]&amp;S535,tblEnrolledStuds[AdmissionStatusID]&amp;tblEnrolledStuds[StudID],0))</f>
        <v>#N/A</v>
      </c>
    </row>
    <row r="536" spans="2:25" x14ac:dyDescent="0.25">
      <c r="B536">
        <v>534</v>
      </c>
      <c r="C536">
        <v>97</v>
      </c>
      <c r="D536">
        <v>80</v>
      </c>
      <c r="P536" t="str">
        <f t="shared" si="12"/>
        <v>(NULL,"97","80"),</v>
      </c>
      <c r="Q536" t="str">
        <f>TextJoin(tblEnrolledSubjs[[#This Row],[CSubjID]:[EStudID]],"Value")</f>
        <v>"97","80"</v>
      </c>
      <c r="S536">
        <f>LOOKUP(LOOKUP(tblEnrolledSubjs[[#This Row],[CSubjID]], tblClassSubjs[CSubjID],tblClassSubjs[ClassID]),tblClasses[ClassID],tblClasses[STermID])</f>
        <v>2</v>
      </c>
      <c r="T536" t="str">
        <f>LOOKUP(S536,tblSchoolTerms[STermID],tblSchoolTerms[SemesterID]&amp;" Semester "&amp;tblSchoolTerms[SchoolYear])</f>
        <v>1 Semester S.Y. 2018-2019</v>
      </c>
      <c r="W5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6" t="e">
        <f t="array" ref="Y536">INDEX(tblEnrolledStuds[EStudID],MATCH(tblEnrolledSubjs[[#This Row],[EStudID]]&amp;S536,tblEnrolledStuds[AdmissionStatusID]&amp;tblEnrolledStuds[StudID],0))</f>
        <v>#N/A</v>
      </c>
    </row>
    <row r="537" spans="2:25" x14ac:dyDescent="0.25">
      <c r="B537">
        <v>535</v>
      </c>
      <c r="C537">
        <v>97</v>
      </c>
      <c r="D537">
        <v>82</v>
      </c>
      <c r="P537" t="str">
        <f t="shared" si="12"/>
        <v>(NULL,"97","82"),</v>
      </c>
      <c r="Q537" t="str">
        <f>TextJoin(tblEnrolledSubjs[[#This Row],[CSubjID]:[EStudID]],"Value")</f>
        <v>"97","82"</v>
      </c>
      <c r="S537">
        <f>LOOKUP(LOOKUP(tblEnrolledSubjs[[#This Row],[CSubjID]], tblClassSubjs[CSubjID],tblClassSubjs[ClassID]),tblClasses[ClassID],tblClasses[STermID])</f>
        <v>2</v>
      </c>
      <c r="T537" t="str">
        <f>LOOKUP(S537,tblSchoolTerms[STermID],tblSchoolTerms[SemesterID]&amp;" Semester "&amp;tblSchoolTerms[SchoolYear])</f>
        <v>1 Semester S.Y. 2018-2019</v>
      </c>
      <c r="W5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7" t="e">
        <f t="array" ref="Y537">INDEX(tblEnrolledStuds[EStudID],MATCH(tblEnrolledSubjs[[#This Row],[EStudID]]&amp;S537,tblEnrolledStuds[AdmissionStatusID]&amp;tblEnrolledStuds[StudID],0))</f>
        <v>#N/A</v>
      </c>
    </row>
    <row r="538" spans="2:25" x14ac:dyDescent="0.25">
      <c r="B538">
        <v>536</v>
      </c>
      <c r="C538">
        <v>97</v>
      </c>
      <c r="D538">
        <v>84</v>
      </c>
      <c r="P538" t="str">
        <f t="shared" si="12"/>
        <v>(NULL,"97","84"),</v>
      </c>
      <c r="Q538" t="str">
        <f>TextJoin(tblEnrolledSubjs[[#This Row],[CSubjID]:[EStudID]],"Value")</f>
        <v>"97","84"</v>
      </c>
      <c r="S538">
        <f>LOOKUP(LOOKUP(tblEnrolledSubjs[[#This Row],[CSubjID]], tblClassSubjs[CSubjID],tblClassSubjs[ClassID]),tblClasses[ClassID],tblClasses[STermID])</f>
        <v>2</v>
      </c>
      <c r="T538" t="str">
        <f>LOOKUP(S538,tblSchoolTerms[STermID],tblSchoolTerms[SemesterID]&amp;" Semester "&amp;tblSchoolTerms[SchoolYear])</f>
        <v>1 Semester S.Y. 2018-2019</v>
      </c>
      <c r="W5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8" t="e">
        <f t="array" ref="Y538">INDEX(tblEnrolledStuds[EStudID],MATCH(tblEnrolledSubjs[[#This Row],[EStudID]]&amp;S538,tblEnrolledStuds[AdmissionStatusID]&amp;tblEnrolledStuds[StudID],0))</f>
        <v>#N/A</v>
      </c>
    </row>
    <row r="539" spans="2:25" x14ac:dyDescent="0.25">
      <c r="B539">
        <v>537</v>
      </c>
      <c r="C539">
        <v>97</v>
      </c>
      <c r="D539">
        <v>85</v>
      </c>
      <c r="P539" t="str">
        <f t="shared" si="12"/>
        <v>(NULL,"97","85"),</v>
      </c>
      <c r="Q539" t="str">
        <f>TextJoin(tblEnrolledSubjs[[#This Row],[CSubjID]:[EStudID]],"Value")</f>
        <v>"97","85"</v>
      </c>
      <c r="S539">
        <f>LOOKUP(LOOKUP(tblEnrolledSubjs[[#This Row],[CSubjID]], tblClassSubjs[CSubjID],tblClassSubjs[ClassID]),tblClasses[ClassID],tblClasses[STermID])</f>
        <v>2</v>
      </c>
      <c r="T539" t="str">
        <f>LOOKUP(S539,tblSchoolTerms[STermID],tblSchoolTerms[SemesterID]&amp;" Semester "&amp;tblSchoolTerms[SchoolYear])</f>
        <v>1 Semester S.Y. 2018-2019</v>
      </c>
      <c r="W5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39" t="e">
        <f t="array" ref="Y539">INDEX(tblEnrolledStuds[EStudID],MATCH(tblEnrolledSubjs[[#This Row],[EStudID]]&amp;S539,tblEnrolledStuds[AdmissionStatusID]&amp;tblEnrolledStuds[StudID],0))</f>
        <v>#N/A</v>
      </c>
    </row>
    <row r="540" spans="2:25" x14ac:dyDescent="0.25">
      <c r="B540">
        <v>538</v>
      </c>
      <c r="C540">
        <v>97</v>
      </c>
      <c r="D540">
        <v>78</v>
      </c>
      <c r="P540" t="str">
        <f t="shared" si="12"/>
        <v>(NULL,"97","78"),</v>
      </c>
      <c r="Q540" t="str">
        <f>TextJoin(tblEnrolledSubjs[[#This Row],[CSubjID]:[EStudID]],"Value")</f>
        <v>"97","78"</v>
      </c>
      <c r="S540">
        <f>LOOKUP(LOOKUP(tblEnrolledSubjs[[#This Row],[CSubjID]], tblClassSubjs[CSubjID],tblClassSubjs[ClassID]),tblClasses[ClassID],tblClasses[STermID])</f>
        <v>2</v>
      </c>
      <c r="T540" t="str">
        <f>LOOKUP(S540,tblSchoolTerms[STermID],tblSchoolTerms[SemesterID]&amp;" Semester "&amp;tblSchoolTerms[SchoolYear])</f>
        <v>1 Semester S.Y. 2018-2019</v>
      </c>
      <c r="W5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0" t="e">
        <f t="array" ref="Y540">INDEX(tblEnrolledStuds[EStudID],MATCH(tblEnrolledSubjs[[#This Row],[EStudID]]&amp;S540,tblEnrolledStuds[AdmissionStatusID]&amp;tblEnrolledStuds[StudID],0))</f>
        <v>#N/A</v>
      </c>
    </row>
    <row r="541" spans="2:25" x14ac:dyDescent="0.25">
      <c r="B541">
        <v>539</v>
      </c>
      <c r="C541">
        <v>98</v>
      </c>
      <c r="D541">
        <v>72</v>
      </c>
      <c r="P541" t="str">
        <f t="shared" si="12"/>
        <v>(NULL,"98","72"),</v>
      </c>
      <c r="Q541" t="str">
        <f>TextJoin(tblEnrolledSubjs[[#This Row],[CSubjID]:[EStudID]],"Value")</f>
        <v>"98","72"</v>
      </c>
      <c r="S541">
        <f>LOOKUP(LOOKUP(tblEnrolledSubjs[[#This Row],[CSubjID]], tblClassSubjs[CSubjID],tblClassSubjs[ClassID]),tblClasses[ClassID],tblClasses[STermID])</f>
        <v>2</v>
      </c>
      <c r="T541" t="str">
        <f>LOOKUP(S541,tblSchoolTerms[STermID],tblSchoolTerms[SemesterID]&amp;" Semester "&amp;tblSchoolTerms[SchoolYear])</f>
        <v>1 Semester S.Y. 2018-2019</v>
      </c>
      <c r="W5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1" t="e">
        <f t="array" ref="Y541">INDEX(tblEnrolledStuds[EStudID],MATCH(tblEnrolledSubjs[[#This Row],[EStudID]]&amp;S541,tblEnrolledStuds[AdmissionStatusID]&amp;tblEnrolledStuds[StudID],0))</f>
        <v>#N/A</v>
      </c>
    </row>
    <row r="542" spans="2:25" x14ac:dyDescent="0.25">
      <c r="B542">
        <v>540</v>
      </c>
      <c r="C542">
        <v>98</v>
      </c>
      <c r="D542">
        <v>73</v>
      </c>
      <c r="P542" t="str">
        <f t="shared" si="12"/>
        <v>(NULL,"98","73"),</v>
      </c>
      <c r="Q542" t="str">
        <f>TextJoin(tblEnrolledSubjs[[#This Row],[CSubjID]:[EStudID]],"Value")</f>
        <v>"98","73"</v>
      </c>
      <c r="S542">
        <f>LOOKUP(LOOKUP(tblEnrolledSubjs[[#This Row],[CSubjID]], tblClassSubjs[CSubjID],tblClassSubjs[ClassID]),tblClasses[ClassID],tblClasses[STermID])</f>
        <v>2</v>
      </c>
      <c r="T542" t="str">
        <f>LOOKUP(S542,tblSchoolTerms[STermID],tblSchoolTerms[SemesterID]&amp;" Semester "&amp;tblSchoolTerms[SchoolYear])</f>
        <v>1 Semester S.Y. 2018-2019</v>
      </c>
      <c r="W5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2" t="e">
        <f t="array" ref="Y542">INDEX(tblEnrolledStuds[EStudID],MATCH(tblEnrolledSubjs[[#This Row],[EStudID]]&amp;S542,tblEnrolledStuds[AdmissionStatusID]&amp;tblEnrolledStuds[StudID],0))</f>
        <v>#N/A</v>
      </c>
    </row>
    <row r="543" spans="2:25" x14ac:dyDescent="0.25">
      <c r="B543">
        <v>541</v>
      </c>
      <c r="C543">
        <v>98</v>
      </c>
      <c r="D543">
        <v>74</v>
      </c>
      <c r="P543" t="str">
        <f t="shared" si="12"/>
        <v>(NULL,"98","74"),</v>
      </c>
      <c r="Q543" t="str">
        <f>TextJoin(tblEnrolledSubjs[[#This Row],[CSubjID]:[EStudID]],"Value")</f>
        <v>"98","74"</v>
      </c>
      <c r="S543">
        <f>LOOKUP(LOOKUP(tblEnrolledSubjs[[#This Row],[CSubjID]], tblClassSubjs[CSubjID],tblClassSubjs[ClassID]),tblClasses[ClassID],tblClasses[STermID])</f>
        <v>2</v>
      </c>
      <c r="T543" t="str">
        <f>LOOKUP(S543,tblSchoolTerms[STermID],tblSchoolTerms[SemesterID]&amp;" Semester "&amp;tblSchoolTerms[SchoolYear])</f>
        <v>1 Semester S.Y. 2018-2019</v>
      </c>
      <c r="W5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3" t="e">
        <f t="array" ref="Y543">INDEX(tblEnrolledStuds[EStudID],MATCH(tblEnrolledSubjs[[#This Row],[EStudID]]&amp;S543,tblEnrolledStuds[AdmissionStatusID]&amp;tblEnrolledStuds[StudID],0))</f>
        <v>#N/A</v>
      </c>
    </row>
    <row r="544" spans="2:25" x14ac:dyDescent="0.25">
      <c r="B544">
        <v>542</v>
      </c>
      <c r="C544">
        <v>98</v>
      </c>
      <c r="D544">
        <v>76</v>
      </c>
      <c r="P544" t="str">
        <f t="shared" si="12"/>
        <v>(NULL,"98","76"),</v>
      </c>
      <c r="Q544" t="str">
        <f>TextJoin(tblEnrolledSubjs[[#This Row],[CSubjID]:[EStudID]],"Value")</f>
        <v>"98","76"</v>
      </c>
      <c r="S544">
        <f>LOOKUP(LOOKUP(tblEnrolledSubjs[[#This Row],[CSubjID]], tblClassSubjs[CSubjID],tblClassSubjs[ClassID]),tblClasses[ClassID],tblClasses[STermID])</f>
        <v>2</v>
      </c>
      <c r="T544" t="str">
        <f>LOOKUP(S544,tblSchoolTerms[STermID],tblSchoolTerms[SemesterID]&amp;" Semester "&amp;tblSchoolTerms[SchoolYear])</f>
        <v>1 Semester S.Y. 2018-2019</v>
      </c>
      <c r="W5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4" t="e">
        <f t="array" ref="Y544">INDEX(tblEnrolledStuds[EStudID],MATCH(tblEnrolledSubjs[[#This Row],[EStudID]]&amp;S544,tblEnrolledStuds[AdmissionStatusID]&amp;tblEnrolledStuds[StudID],0))</f>
        <v>#N/A</v>
      </c>
    </row>
    <row r="545" spans="2:25" x14ac:dyDescent="0.25">
      <c r="B545">
        <v>543</v>
      </c>
      <c r="C545">
        <v>98</v>
      </c>
      <c r="D545">
        <v>77</v>
      </c>
      <c r="P545" t="str">
        <f t="shared" si="12"/>
        <v>(NULL,"98","77"),</v>
      </c>
      <c r="Q545" t="str">
        <f>TextJoin(tblEnrolledSubjs[[#This Row],[CSubjID]:[EStudID]],"Value")</f>
        <v>"98","77"</v>
      </c>
      <c r="S545">
        <f>LOOKUP(LOOKUP(tblEnrolledSubjs[[#This Row],[CSubjID]], tblClassSubjs[CSubjID],tblClassSubjs[ClassID]),tblClasses[ClassID],tblClasses[STermID])</f>
        <v>2</v>
      </c>
      <c r="T545" t="str">
        <f>LOOKUP(S545,tblSchoolTerms[STermID],tblSchoolTerms[SemesterID]&amp;" Semester "&amp;tblSchoolTerms[SchoolYear])</f>
        <v>1 Semester S.Y. 2018-2019</v>
      </c>
      <c r="W5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5" t="e">
        <f t="array" ref="Y545">INDEX(tblEnrolledStuds[EStudID],MATCH(tblEnrolledSubjs[[#This Row],[EStudID]]&amp;S545,tblEnrolledStuds[AdmissionStatusID]&amp;tblEnrolledStuds[StudID],0))</f>
        <v>#N/A</v>
      </c>
    </row>
    <row r="546" spans="2:25" x14ac:dyDescent="0.25">
      <c r="B546">
        <v>544</v>
      </c>
      <c r="C546">
        <v>98</v>
      </c>
      <c r="D546">
        <v>79</v>
      </c>
      <c r="P546" t="str">
        <f t="shared" si="12"/>
        <v>(NULL,"98","79"),</v>
      </c>
      <c r="Q546" t="str">
        <f>TextJoin(tblEnrolledSubjs[[#This Row],[CSubjID]:[EStudID]],"Value")</f>
        <v>"98","79"</v>
      </c>
      <c r="S546">
        <f>LOOKUP(LOOKUP(tblEnrolledSubjs[[#This Row],[CSubjID]], tblClassSubjs[CSubjID],tblClassSubjs[ClassID]),tblClasses[ClassID],tblClasses[STermID])</f>
        <v>2</v>
      </c>
      <c r="T546" t="str">
        <f>LOOKUP(S546,tblSchoolTerms[STermID],tblSchoolTerms[SemesterID]&amp;" Semester "&amp;tblSchoolTerms[SchoolYear])</f>
        <v>1 Semester S.Y. 2018-2019</v>
      </c>
      <c r="W5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6" t="e">
        <f t="array" ref="Y546">INDEX(tblEnrolledStuds[EStudID],MATCH(tblEnrolledSubjs[[#This Row],[EStudID]]&amp;S546,tblEnrolledStuds[AdmissionStatusID]&amp;tblEnrolledStuds[StudID],0))</f>
        <v>#N/A</v>
      </c>
    </row>
    <row r="547" spans="2:25" x14ac:dyDescent="0.25">
      <c r="B547">
        <v>545</v>
      </c>
      <c r="C547">
        <v>98</v>
      </c>
      <c r="D547">
        <v>80</v>
      </c>
      <c r="P547" t="str">
        <f t="shared" si="12"/>
        <v>(NULL,"98","80"),</v>
      </c>
      <c r="Q547" t="str">
        <f>TextJoin(tblEnrolledSubjs[[#This Row],[CSubjID]:[EStudID]],"Value")</f>
        <v>"98","80"</v>
      </c>
      <c r="S547">
        <f>LOOKUP(LOOKUP(tblEnrolledSubjs[[#This Row],[CSubjID]], tblClassSubjs[CSubjID],tblClassSubjs[ClassID]),tblClasses[ClassID],tblClasses[STermID])</f>
        <v>2</v>
      </c>
      <c r="T547" t="str">
        <f>LOOKUP(S547,tblSchoolTerms[STermID],tblSchoolTerms[SemesterID]&amp;" Semester "&amp;tblSchoolTerms[SchoolYear])</f>
        <v>1 Semester S.Y. 2018-2019</v>
      </c>
      <c r="W5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7" t="e">
        <f t="array" ref="Y547">INDEX(tblEnrolledStuds[EStudID],MATCH(tblEnrolledSubjs[[#This Row],[EStudID]]&amp;S547,tblEnrolledStuds[AdmissionStatusID]&amp;tblEnrolledStuds[StudID],0))</f>
        <v>#N/A</v>
      </c>
    </row>
    <row r="548" spans="2:25" x14ac:dyDescent="0.25">
      <c r="B548">
        <v>546</v>
      </c>
      <c r="C548">
        <v>98</v>
      </c>
      <c r="D548">
        <v>82</v>
      </c>
      <c r="P548" t="str">
        <f t="shared" si="12"/>
        <v>(NULL,"98","82"),</v>
      </c>
      <c r="Q548" t="str">
        <f>TextJoin(tblEnrolledSubjs[[#This Row],[CSubjID]:[EStudID]],"Value")</f>
        <v>"98","82"</v>
      </c>
      <c r="S548">
        <f>LOOKUP(LOOKUP(tblEnrolledSubjs[[#This Row],[CSubjID]], tblClassSubjs[CSubjID],tblClassSubjs[ClassID]),tblClasses[ClassID],tblClasses[STermID])</f>
        <v>2</v>
      </c>
      <c r="T548" t="str">
        <f>LOOKUP(S548,tblSchoolTerms[STermID],tblSchoolTerms[SemesterID]&amp;" Semester "&amp;tblSchoolTerms[SchoolYear])</f>
        <v>1 Semester S.Y. 2018-2019</v>
      </c>
      <c r="W5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8" t="e">
        <f t="array" ref="Y548">INDEX(tblEnrolledStuds[EStudID],MATCH(tblEnrolledSubjs[[#This Row],[EStudID]]&amp;S548,tblEnrolledStuds[AdmissionStatusID]&amp;tblEnrolledStuds[StudID],0))</f>
        <v>#N/A</v>
      </c>
    </row>
    <row r="549" spans="2:25" x14ac:dyDescent="0.25">
      <c r="B549">
        <v>547</v>
      </c>
      <c r="C549">
        <v>98</v>
      </c>
      <c r="D549">
        <v>84</v>
      </c>
      <c r="P549" t="str">
        <f t="shared" si="12"/>
        <v>(NULL,"98","84"),</v>
      </c>
      <c r="Q549" t="str">
        <f>TextJoin(tblEnrolledSubjs[[#This Row],[CSubjID]:[EStudID]],"Value")</f>
        <v>"98","84"</v>
      </c>
      <c r="S549">
        <f>LOOKUP(LOOKUP(tblEnrolledSubjs[[#This Row],[CSubjID]], tblClassSubjs[CSubjID],tblClassSubjs[ClassID]),tblClasses[ClassID],tblClasses[STermID])</f>
        <v>2</v>
      </c>
      <c r="T549" t="str">
        <f>LOOKUP(S549,tblSchoolTerms[STermID],tblSchoolTerms[SemesterID]&amp;" Semester "&amp;tblSchoolTerms[SchoolYear])</f>
        <v>1 Semester S.Y. 2018-2019</v>
      </c>
      <c r="W5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49" t="e">
        <f t="array" ref="Y549">INDEX(tblEnrolledStuds[EStudID],MATCH(tblEnrolledSubjs[[#This Row],[EStudID]]&amp;S549,tblEnrolledStuds[AdmissionStatusID]&amp;tblEnrolledStuds[StudID],0))</f>
        <v>#N/A</v>
      </c>
    </row>
    <row r="550" spans="2:25" x14ac:dyDescent="0.25">
      <c r="B550">
        <v>548</v>
      </c>
      <c r="C550">
        <v>98</v>
      </c>
      <c r="D550">
        <v>85</v>
      </c>
      <c r="P550" t="str">
        <f t="shared" si="12"/>
        <v>(NULL,"98","85"),</v>
      </c>
      <c r="Q550" t="str">
        <f>TextJoin(tblEnrolledSubjs[[#This Row],[CSubjID]:[EStudID]],"Value")</f>
        <v>"98","85"</v>
      </c>
      <c r="S550">
        <f>LOOKUP(LOOKUP(tblEnrolledSubjs[[#This Row],[CSubjID]], tblClassSubjs[CSubjID],tblClassSubjs[ClassID]),tblClasses[ClassID],tblClasses[STermID])</f>
        <v>2</v>
      </c>
      <c r="T550" t="str">
        <f>LOOKUP(S550,tblSchoolTerms[STermID],tblSchoolTerms[SemesterID]&amp;" Semester "&amp;tblSchoolTerms[SchoolYear])</f>
        <v>1 Semester S.Y. 2018-2019</v>
      </c>
      <c r="W5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0" t="e">
        <f t="array" ref="Y550">INDEX(tblEnrolledStuds[EStudID],MATCH(tblEnrolledSubjs[[#This Row],[EStudID]]&amp;S550,tblEnrolledStuds[AdmissionStatusID]&amp;tblEnrolledStuds[StudID],0))</f>
        <v>#N/A</v>
      </c>
    </row>
    <row r="551" spans="2:25" x14ac:dyDescent="0.25">
      <c r="B551">
        <v>549</v>
      </c>
      <c r="C551">
        <v>98</v>
      </c>
      <c r="D551">
        <v>78</v>
      </c>
      <c r="P551" t="str">
        <f t="shared" si="12"/>
        <v>(NULL,"98","78"),</v>
      </c>
      <c r="Q551" t="str">
        <f>TextJoin(tblEnrolledSubjs[[#This Row],[CSubjID]:[EStudID]],"Value")</f>
        <v>"98","78"</v>
      </c>
      <c r="S551">
        <f>LOOKUP(LOOKUP(tblEnrolledSubjs[[#This Row],[CSubjID]], tblClassSubjs[CSubjID],tblClassSubjs[ClassID]),tblClasses[ClassID],tblClasses[STermID])</f>
        <v>2</v>
      </c>
      <c r="T551" t="str">
        <f>LOOKUP(S551,tblSchoolTerms[STermID],tblSchoolTerms[SemesterID]&amp;" Semester "&amp;tblSchoolTerms[SchoolYear])</f>
        <v>1 Semester S.Y. 2018-2019</v>
      </c>
      <c r="W5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1" t="e">
        <f t="array" ref="Y551">INDEX(tblEnrolledStuds[EStudID],MATCH(tblEnrolledSubjs[[#This Row],[EStudID]]&amp;S551,tblEnrolledStuds[AdmissionStatusID]&amp;tblEnrolledStuds[StudID],0))</f>
        <v>#N/A</v>
      </c>
    </row>
    <row r="552" spans="2:25" x14ac:dyDescent="0.25">
      <c r="B552">
        <v>550</v>
      </c>
      <c r="C552">
        <v>99</v>
      </c>
      <c r="D552">
        <v>72</v>
      </c>
      <c r="P552" t="str">
        <f t="shared" si="12"/>
        <v>(NULL,"99","72"),</v>
      </c>
      <c r="Q552" t="str">
        <f>TextJoin(tblEnrolledSubjs[[#This Row],[CSubjID]:[EStudID]],"Value")</f>
        <v>"99","72"</v>
      </c>
      <c r="S552">
        <f>LOOKUP(LOOKUP(tblEnrolledSubjs[[#This Row],[CSubjID]], tblClassSubjs[CSubjID],tblClassSubjs[ClassID]),tblClasses[ClassID],tblClasses[STermID])</f>
        <v>2</v>
      </c>
      <c r="T552" t="str">
        <f>LOOKUP(S552,tblSchoolTerms[STermID],tblSchoolTerms[SemesterID]&amp;" Semester "&amp;tblSchoolTerms[SchoolYear])</f>
        <v>1 Semester S.Y. 2018-2019</v>
      </c>
      <c r="W5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2" t="e">
        <f t="array" ref="Y552">INDEX(tblEnrolledStuds[EStudID],MATCH(tblEnrolledSubjs[[#This Row],[EStudID]]&amp;S552,tblEnrolledStuds[AdmissionStatusID]&amp;tblEnrolledStuds[StudID],0))</f>
        <v>#N/A</v>
      </c>
    </row>
    <row r="553" spans="2:25" x14ac:dyDescent="0.25">
      <c r="B553">
        <v>551</v>
      </c>
      <c r="C553">
        <v>99</v>
      </c>
      <c r="D553">
        <v>73</v>
      </c>
      <c r="P553" t="str">
        <f t="shared" si="12"/>
        <v>(NULL,"99","73"),</v>
      </c>
      <c r="Q553" t="str">
        <f>TextJoin(tblEnrolledSubjs[[#This Row],[CSubjID]:[EStudID]],"Value")</f>
        <v>"99","73"</v>
      </c>
      <c r="S553">
        <f>LOOKUP(LOOKUP(tblEnrolledSubjs[[#This Row],[CSubjID]], tblClassSubjs[CSubjID],tblClassSubjs[ClassID]),tblClasses[ClassID],tblClasses[STermID])</f>
        <v>2</v>
      </c>
      <c r="T553" t="str">
        <f>LOOKUP(S553,tblSchoolTerms[STermID],tblSchoolTerms[SemesterID]&amp;" Semester "&amp;tblSchoolTerms[SchoolYear])</f>
        <v>1 Semester S.Y. 2018-2019</v>
      </c>
      <c r="W5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3" t="e">
        <f t="array" ref="Y553">INDEX(tblEnrolledStuds[EStudID],MATCH(tblEnrolledSubjs[[#This Row],[EStudID]]&amp;S553,tblEnrolledStuds[AdmissionStatusID]&amp;tblEnrolledStuds[StudID],0))</f>
        <v>#N/A</v>
      </c>
    </row>
    <row r="554" spans="2:25" x14ac:dyDescent="0.25">
      <c r="B554">
        <v>552</v>
      </c>
      <c r="C554">
        <v>99</v>
      </c>
      <c r="D554">
        <v>74</v>
      </c>
      <c r="P554" t="str">
        <f t="shared" si="12"/>
        <v>(NULL,"99","74"),</v>
      </c>
      <c r="Q554" t="str">
        <f>TextJoin(tblEnrolledSubjs[[#This Row],[CSubjID]:[EStudID]],"Value")</f>
        <v>"99","74"</v>
      </c>
      <c r="S554">
        <f>LOOKUP(LOOKUP(tblEnrolledSubjs[[#This Row],[CSubjID]], tblClassSubjs[CSubjID],tblClassSubjs[ClassID]),tblClasses[ClassID],tblClasses[STermID])</f>
        <v>2</v>
      </c>
      <c r="T554" t="str">
        <f>LOOKUP(S554,tblSchoolTerms[STermID],tblSchoolTerms[SemesterID]&amp;" Semester "&amp;tblSchoolTerms[SchoolYear])</f>
        <v>1 Semester S.Y. 2018-2019</v>
      </c>
      <c r="W5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4" t="e">
        <f t="array" ref="Y554">INDEX(tblEnrolledStuds[EStudID],MATCH(tblEnrolledSubjs[[#This Row],[EStudID]]&amp;S554,tblEnrolledStuds[AdmissionStatusID]&amp;tblEnrolledStuds[StudID],0))</f>
        <v>#N/A</v>
      </c>
    </row>
    <row r="555" spans="2:25" x14ac:dyDescent="0.25">
      <c r="B555">
        <v>553</v>
      </c>
      <c r="C555">
        <v>99</v>
      </c>
      <c r="D555">
        <v>76</v>
      </c>
      <c r="P555" t="str">
        <f t="shared" si="12"/>
        <v>(NULL,"99","76"),</v>
      </c>
      <c r="Q555" t="str">
        <f>TextJoin(tblEnrolledSubjs[[#This Row],[CSubjID]:[EStudID]],"Value")</f>
        <v>"99","76"</v>
      </c>
      <c r="S555">
        <f>LOOKUP(LOOKUP(tblEnrolledSubjs[[#This Row],[CSubjID]], tblClassSubjs[CSubjID],tblClassSubjs[ClassID]),tblClasses[ClassID],tblClasses[STermID])</f>
        <v>2</v>
      </c>
      <c r="T555" t="str">
        <f>LOOKUP(S555,tblSchoolTerms[STermID],tblSchoolTerms[SemesterID]&amp;" Semester "&amp;tblSchoolTerms[SchoolYear])</f>
        <v>1 Semester S.Y. 2018-2019</v>
      </c>
      <c r="W5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5" t="e">
        <f t="array" ref="Y555">INDEX(tblEnrolledStuds[EStudID],MATCH(tblEnrolledSubjs[[#This Row],[EStudID]]&amp;S555,tblEnrolledStuds[AdmissionStatusID]&amp;tblEnrolledStuds[StudID],0))</f>
        <v>#N/A</v>
      </c>
    </row>
    <row r="556" spans="2:25" x14ac:dyDescent="0.25">
      <c r="B556">
        <v>554</v>
      </c>
      <c r="C556">
        <v>99</v>
      </c>
      <c r="D556">
        <v>77</v>
      </c>
      <c r="P556" t="str">
        <f t="shared" si="12"/>
        <v>(NULL,"99","77"),</v>
      </c>
      <c r="Q556" t="str">
        <f>TextJoin(tblEnrolledSubjs[[#This Row],[CSubjID]:[EStudID]],"Value")</f>
        <v>"99","77"</v>
      </c>
      <c r="S556">
        <f>LOOKUP(LOOKUP(tblEnrolledSubjs[[#This Row],[CSubjID]], tblClassSubjs[CSubjID],tblClassSubjs[ClassID]),tblClasses[ClassID],tblClasses[STermID])</f>
        <v>2</v>
      </c>
      <c r="T556" t="str">
        <f>LOOKUP(S556,tblSchoolTerms[STermID],tblSchoolTerms[SemesterID]&amp;" Semester "&amp;tblSchoolTerms[SchoolYear])</f>
        <v>1 Semester S.Y. 2018-2019</v>
      </c>
      <c r="W5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6" t="e">
        <f t="array" ref="Y556">INDEX(tblEnrolledStuds[EStudID],MATCH(tblEnrolledSubjs[[#This Row],[EStudID]]&amp;S556,tblEnrolledStuds[AdmissionStatusID]&amp;tblEnrolledStuds[StudID],0))</f>
        <v>#N/A</v>
      </c>
    </row>
    <row r="557" spans="2:25" x14ac:dyDescent="0.25">
      <c r="B557">
        <v>555</v>
      </c>
      <c r="C557">
        <v>99</v>
      </c>
      <c r="D557">
        <v>79</v>
      </c>
      <c r="P557" t="str">
        <f t="shared" si="12"/>
        <v>(NULL,"99","79"),</v>
      </c>
      <c r="Q557" t="str">
        <f>TextJoin(tblEnrolledSubjs[[#This Row],[CSubjID]:[EStudID]],"Value")</f>
        <v>"99","79"</v>
      </c>
      <c r="S557">
        <f>LOOKUP(LOOKUP(tblEnrolledSubjs[[#This Row],[CSubjID]], tblClassSubjs[CSubjID],tblClassSubjs[ClassID]),tblClasses[ClassID],tblClasses[STermID])</f>
        <v>2</v>
      </c>
      <c r="T557" t="str">
        <f>LOOKUP(S557,tblSchoolTerms[STermID],tblSchoolTerms[SemesterID]&amp;" Semester "&amp;tblSchoolTerms[SchoolYear])</f>
        <v>1 Semester S.Y. 2018-2019</v>
      </c>
      <c r="W5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7" t="e">
        <f t="array" ref="Y557">INDEX(tblEnrolledStuds[EStudID],MATCH(tblEnrolledSubjs[[#This Row],[EStudID]]&amp;S557,tblEnrolledStuds[AdmissionStatusID]&amp;tblEnrolledStuds[StudID],0))</f>
        <v>#N/A</v>
      </c>
    </row>
    <row r="558" spans="2:25" x14ac:dyDescent="0.25">
      <c r="B558">
        <v>556</v>
      </c>
      <c r="C558">
        <v>99</v>
      </c>
      <c r="D558">
        <v>80</v>
      </c>
      <c r="P558" t="str">
        <f t="shared" si="12"/>
        <v>(NULL,"99","80"),</v>
      </c>
      <c r="Q558" t="str">
        <f>TextJoin(tblEnrolledSubjs[[#This Row],[CSubjID]:[EStudID]],"Value")</f>
        <v>"99","80"</v>
      </c>
      <c r="S558">
        <f>LOOKUP(LOOKUP(tblEnrolledSubjs[[#This Row],[CSubjID]], tblClassSubjs[CSubjID],tblClassSubjs[ClassID]),tblClasses[ClassID],tblClasses[STermID])</f>
        <v>2</v>
      </c>
      <c r="T558" t="str">
        <f>LOOKUP(S558,tblSchoolTerms[STermID],tblSchoolTerms[SemesterID]&amp;" Semester "&amp;tblSchoolTerms[SchoolYear])</f>
        <v>1 Semester S.Y. 2018-2019</v>
      </c>
      <c r="W5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8" t="e">
        <f t="array" ref="Y558">INDEX(tblEnrolledStuds[EStudID],MATCH(tblEnrolledSubjs[[#This Row],[EStudID]]&amp;S558,tblEnrolledStuds[AdmissionStatusID]&amp;tblEnrolledStuds[StudID],0))</f>
        <v>#N/A</v>
      </c>
    </row>
    <row r="559" spans="2:25" x14ac:dyDescent="0.25">
      <c r="B559">
        <v>557</v>
      </c>
      <c r="C559">
        <v>99</v>
      </c>
      <c r="D559">
        <v>82</v>
      </c>
      <c r="P559" t="str">
        <f t="shared" si="12"/>
        <v>(NULL,"99","82"),</v>
      </c>
      <c r="Q559" t="str">
        <f>TextJoin(tblEnrolledSubjs[[#This Row],[CSubjID]:[EStudID]],"Value")</f>
        <v>"99","82"</v>
      </c>
      <c r="S559">
        <f>LOOKUP(LOOKUP(tblEnrolledSubjs[[#This Row],[CSubjID]], tblClassSubjs[CSubjID],tblClassSubjs[ClassID]),tblClasses[ClassID],tblClasses[STermID])</f>
        <v>2</v>
      </c>
      <c r="T559" t="str">
        <f>LOOKUP(S559,tblSchoolTerms[STermID],tblSchoolTerms[SemesterID]&amp;" Semester "&amp;tblSchoolTerms[SchoolYear])</f>
        <v>1 Semester S.Y. 2018-2019</v>
      </c>
      <c r="W5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59" t="e">
        <f t="array" ref="Y559">INDEX(tblEnrolledStuds[EStudID],MATCH(tblEnrolledSubjs[[#This Row],[EStudID]]&amp;S559,tblEnrolledStuds[AdmissionStatusID]&amp;tblEnrolledStuds[StudID],0))</f>
        <v>#N/A</v>
      </c>
    </row>
    <row r="560" spans="2:25" x14ac:dyDescent="0.25">
      <c r="B560">
        <v>558</v>
      </c>
      <c r="C560">
        <v>99</v>
      </c>
      <c r="D560">
        <v>84</v>
      </c>
      <c r="P560" t="str">
        <f t="shared" si="12"/>
        <v>(NULL,"99","84"),</v>
      </c>
      <c r="Q560" t="str">
        <f>TextJoin(tblEnrolledSubjs[[#This Row],[CSubjID]:[EStudID]],"Value")</f>
        <v>"99","84"</v>
      </c>
      <c r="S560">
        <f>LOOKUP(LOOKUP(tblEnrolledSubjs[[#This Row],[CSubjID]], tblClassSubjs[CSubjID],tblClassSubjs[ClassID]),tblClasses[ClassID],tblClasses[STermID])</f>
        <v>2</v>
      </c>
      <c r="T560" t="str">
        <f>LOOKUP(S560,tblSchoolTerms[STermID],tblSchoolTerms[SemesterID]&amp;" Semester "&amp;tblSchoolTerms[SchoolYear])</f>
        <v>1 Semester S.Y. 2018-2019</v>
      </c>
      <c r="W5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0" t="e">
        <f t="array" ref="Y560">INDEX(tblEnrolledStuds[EStudID],MATCH(tblEnrolledSubjs[[#This Row],[EStudID]]&amp;S560,tblEnrolledStuds[AdmissionStatusID]&amp;tblEnrolledStuds[StudID],0))</f>
        <v>#N/A</v>
      </c>
    </row>
    <row r="561" spans="2:25" x14ac:dyDescent="0.25">
      <c r="B561">
        <v>559</v>
      </c>
      <c r="C561">
        <v>99</v>
      </c>
      <c r="D561">
        <v>85</v>
      </c>
      <c r="P561" t="str">
        <f t="shared" si="12"/>
        <v>(NULL,"99","85"),</v>
      </c>
      <c r="Q561" t="str">
        <f>TextJoin(tblEnrolledSubjs[[#This Row],[CSubjID]:[EStudID]],"Value")</f>
        <v>"99","85"</v>
      </c>
      <c r="S561">
        <f>LOOKUP(LOOKUP(tblEnrolledSubjs[[#This Row],[CSubjID]], tblClassSubjs[CSubjID],tblClassSubjs[ClassID]),tblClasses[ClassID],tblClasses[STermID])</f>
        <v>2</v>
      </c>
      <c r="T561" t="str">
        <f>LOOKUP(S561,tblSchoolTerms[STermID],tblSchoolTerms[SemesterID]&amp;" Semester "&amp;tblSchoolTerms[SchoolYear])</f>
        <v>1 Semester S.Y. 2018-2019</v>
      </c>
      <c r="W5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1" t="e">
        <f t="array" ref="Y561">INDEX(tblEnrolledStuds[EStudID],MATCH(tblEnrolledSubjs[[#This Row],[EStudID]]&amp;S561,tblEnrolledStuds[AdmissionStatusID]&amp;tblEnrolledStuds[StudID],0))</f>
        <v>#N/A</v>
      </c>
    </row>
    <row r="562" spans="2:25" x14ac:dyDescent="0.25">
      <c r="B562">
        <v>560</v>
      </c>
      <c r="C562">
        <v>99</v>
      </c>
      <c r="D562">
        <v>78</v>
      </c>
      <c r="P562" t="str">
        <f t="shared" si="12"/>
        <v>(NULL,"99","78"),</v>
      </c>
      <c r="Q562" t="str">
        <f>TextJoin(tblEnrolledSubjs[[#This Row],[CSubjID]:[EStudID]],"Value")</f>
        <v>"99","78"</v>
      </c>
      <c r="S562">
        <f>LOOKUP(LOOKUP(tblEnrolledSubjs[[#This Row],[CSubjID]], tblClassSubjs[CSubjID],tblClassSubjs[ClassID]),tblClasses[ClassID],tblClasses[STermID])</f>
        <v>2</v>
      </c>
      <c r="T562" t="str">
        <f>LOOKUP(S562,tblSchoolTerms[STermID],tblSchoolTerms[SemesterID]&amp;" Semester "&amp;tblSchoolTerms[SchoolYear])</f>
        <v>1 Semester S.Y. 2018-2019</v>
      </c>
      <c r="W5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2" t="e">
        <f t="array" ref="Y562">INDEX(tblEnrolledStuds[EStudID],MATCH(tblEnrolledSubjs[[#This Row],[EStudID]]&amp;S562,tblEnrolledStuds[AdmissionStatusID]&amp;tblEnrolledStuds[StudID],0))</f>
        <v>#N/A</v>
      </c>
    </row>
    <row r="563" spans="2:25" x14ac:dyDescent="0.25">
      <c r="B563">
        <v>561</v>
      </c>
      <c r="C563">
        <v>100</v>
      </c>
      <c r="D563">
        <v>72</v>
      </c>
      <c r="P563" t="str">
        <f t="shared" si="12"/>
        <v>(NULL,"100","72"),</v>
      </c>
      <c r="Q563" t="str">
        <f>TextJoin(tblEnrolledSubjs[[#This Row],[CSubjID]:[EStudID]],"Value")</f>
        <v>"100","72"</v>
      </c>
      <c r="S563">
        <f>LOOKUP(LOOKUP(tblEnrolledSubjs[[#This Row],[CSubjID]], tblClassSubjs[CSubjID],tblClassSubjs[ClassID]),tblClasses[ClassID],tblClasses[STermID])</f>
        <v>2</v>
      </c>
      <c r="T563" t="str">
        <f>LOOKUP(S563,tblSchoolTerms[STermID],tblSchoolTerms[SemesterID]&amp;" Semester "&amp;tblSchoolTerms[SchoolYear])</f>
        <v>1 Semester S.Y. 2018-2019</v>
      </c>
      <c r="W5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3" t="e">
        <f t="array" ref="Y563">INDEX(tblEnrolledStuds[EStudID],MATCH(tblEnrolledSubjs[[#This Row],[EStudID]]&amp;S563,tblEnrolledStuds[AdmissionStatusID]&amp;tblEnrolledStuds[StudID],0))</f>
        <v>#N/A</v>
      </c>
    </row>
    <row r="564" spans="2:25" x14ac:dyDescent="0.25">
      <c r="B564">
        <v>562</v>
      </c>
      <c r="C564">
        <v>100</v>
      </c>
      <c r="D564">
        <v>73</v>
      </c>
      <c r="P564" t="str">
        <f t="shared" si="12"/>
        <v>(NULL,"100","73"),</v>
      </c>
      <c r="Q564" t="str">
        <f>TextJoin(tblEnrolledSubjs[[#This Row],[CSubjID]:[EStudID]],"Value")</f>
        <v>"100","73"</v>
      </c>
      <c r="S564">
        <f>LOOKUP(LOOKUP(tblEnrolledSubjs[[#This Row],[CSubjID]], tblClassSubjs[CSubjID],tblClassSubjs[ClassID]),tblClasses[ClassID],tblClasses[STermID])</f>
        <v>2</v>
      </c>
      <c r="T564" t="str">
        <f>LOOKUP(S564,tblSchoolTerms[STermID],tblSchoolTerms[SemesterID]&amp;" Semester "&amp;tblSchoolTerms[SchoolYear])</f>
        <v>1 Semester S.Y. 2018-2019</v>
      </c>
      <c r="W5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4" t="e">
        <f t="array" ref="Y564">INDEX(tblEnrolledStuds[EStudID],MATCH(tblEnrolledSubjs[[#This Row],[EStudID]]&amp;S564,tblEnrolledStuds[AdmissionStatusID]&amp;tblEnrolledStuds[StudID],0))</f>
        <v>#N/A</v>
      </c>
    </row>
    <row r="565" spans="2:25" x14ac:dyDescent="0.25">
      <c r="B565">
        <v>563</v>
      </c>
      <c r="C565">
        <v>100</v>
      </c>
      <c r="D565">
        <v>74</v>
      </c>
      <c r="P565" t="str">
        <f t="shared" si="12"/>
        <v>(NULL,"100","74"),</v>
      </c>
      <c r="Q565" t="str">
        <f>TextJoin(tblEnrolledSubjs[[#This Row],[CSubjID]:[EStudID]],"Value")</f>
        <v>"100","74"</v>
      </c>
      <c r="S565">
        <f>LOOKUP(LOOKUP(tblEnrolledSubjs[[#This Row],[CSubjID]], tblClassSubjs[CSubjID],tblClassSubjs[ClassID]),tblClasses[ClassID],tblClasses[STermID])</f>
        <v>2</v>
      </c>
      <c r="T565" t="str">
        <f>LOOKUP(S565,tblSchoolTerms[STermID],tblSchoolTerms[SemesterID]&amp;" Semester "&amp;tblSchoolTerms[SchoolYear])</f>
        <v>1 Semester S.Y. 2018-2019</v>
      </c>
      <c r="W5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5" t="e">
        <f t="array" ref="Y565">INDEX(tblEnrolledStuds[EStudID],MATCH(tblEnrolledSubjs[[#This Row],[EStudID]]&amp;S565,tblEnrolledStuds[AdmissionStatusID]&amp;tblEnrolledStuds[StudID],0))</f>
        <v>#N/A</v>
      </c>
    </row>
    <row r="566" spans="2:25" x14ac:dyDescent="0.25">
      <c r="B566">
        <v>564</v>
      </c>
      <c r="C566">
        <v>100</v>
      </c>
      <c r="D566">
        <v>76</v>
      </c>
      <c r="P566" t="str">
        <f t="shared" si="12"/>
        <v>(NULL,"100","76"),</v>
      </c>
      <c r="Q566" t="str">
        <f>TextJoin(tblEnrolledSubjs[[#This Row],[CSubjID]:[EStudID]],"Value")</f>
        <v>"100","76"</v>
      </c>
      <c r="S566">
        <f>LOOKUP(LOOKUP(tblEnrolledSubjs[[#This Row],[CSubjID]], tblClassSubjs[CSubjID],tblClassSubjs[ClassID]),tblClasses[ClassID],tblClasses[STermID])</f>
        <v>2</v>
      </c>
      <c r="T566" t="str">
        <f>LOOKUP(S566,tblSchoolTerms[STermID],tblSchoolTerms[SemesterID]&amp;" Semester "&amp;tblSchoolTerms[SchoolYear])</f>
        <v>1 Semester S.Y. 2018-2019</v>
      </c>
      <c r="W5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6" t="e">
        <f t="array" ref="Y566">INDEX(tblEnrolledStuds[EStudID],MATCH(tblEnrolledSubjs[[#This Row],[EStudID]]&amp;S566,tblEnrolledStuds[AdmissionStatusID]&amp;tblEnrolledStuds[StudID],0))</f>
        <v>#N/A</v>
      </c>
    </row>
    <row r="567" spans="2:25" x14ac:dyDescent="0.25">
      <c r="B567">
        <v>565</v>
      </c>
      <c r="C567">
        <v>100</v>
      </c>
      <c r="D567">
        <v>77</v>
      </c>
      <c r="P567" t="str">
        <f t="shared" si="12"/>
        <v>(NULL,"100","77"),</v>
      </c>
      <c r="Q567" t="str">
        <f>TextJoin(tblEnrolledSubjs[[#This Row],[CSubjID]:[EStudID]],"Value")</f>
        <v>"100","77"</v>
      </c>
      <c r="S567">
        <f>LOOKUP(LOOKUP(tblEnrolledSubjs[[#This Row],[CSubjID]], tblClassSubjs[CSubjID],tblClassSubjs[ClassID]),tblClasses[ClassID],tblClasses[STermID])</f>
        <v>2</v>
      </c>
      <c r="T567" t="str">
        <f>LOOKUP(S567,tblSchoolTerms[STermID],tblSchoolTerms[SemesterID]&amp;" Semester "&amp;tblSchoolTerms[SchoolYear])</f>
        <v>1 Semester S.Y. 2018-2019</v>
      </c>
      <c r="W5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7" t="e">
        <f t="array" ref="Y567">INDEX(tblEnrolledStuds[EStudID],MATCH(tblEnrolledSubjs[[#This Row],[EStudID]]&amp;S567,tblEnrolledStuds[AdmissionStatusID]&amp;tblEnrolledStuds[StudID],0))</f>
        <v>#N/A</v>
      </c>
    </row>
    <row r="568" spans="2:25" x14ac:dyDescent="0.25">
      <c r="B568">
        <v>566</v>
      </c>
      <c r="C568">
        <v>100</v>
      </c>
      <c r="D568">
        <v>79</v>
      </c>
      <c r="P568" t="str">
        <f t="shared" si="12"/>
        <v>(NULL,"100","79"),</v>
      </c>
      <c r="Q568" t="str">
        <f>TextJoin(tblEnrolledSubjs[[#This Row],[CSubjID]:[EStudID]],"Value")</f>
        <v>"100","79"</v>
      </c>
      <c r="S568">
        <f>LOOKUP(LOOKUP(tblEnrolledSubjs[[#This Row],[CSubjID]], tblClassSubjs[CSubjID],tblClassSubjs[ClassID]),tblClasses[ClassID],tblClasses[STermID])</f>
        <v>2</v>
      </c>
      <c r="T568" t="str">
        <f>LOOKUP(S568,tblSchoolTerms[STermID],tblSchoolTerms[SemesterID]&amp;" Semester "&amp;tblSchoolTerms[SchoolYear])</f>
        <v>1 Semester S.Y. 2018-2019</v>
      </c>
      <c r="W5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8" t="e">
        <f t="array" ref="Y568">INDEX(tblEnrolledStuds[EStudID],MATCH(tblEnrolledSubjs[[#This Row],[EStudID]]&amp;S568,tblEnrolledStuds[AdmissionStatusID]&amp;tblEnrolledStuds[StudID],0))</f>
        <v>#N/A</v>
      </c>
    </row>
    <row r="569" spans="2:25" x14ac:dyDescent="0.25">
      <c r="B569">
        <v>567</v>
      </c>
      <c r="C569">
        <v>100</v>
      </c>
      <c r="D569">
        <v>80</v>
      </c>
      <c r="P569" t="str">
        <f t="shared" si="12"/>
        <v>(NULL,"100","80"),</v>
      </c>
      <c r="Q569" t="str">
        <f>TextJoin(tblEnrolledSubjs[[#This Row],[CSubjID]:[EStudID]],"Value")</f>
        <v>"100","80"</v>
      </c>
      <c r="S569">
        <f>LOOKUP(LOOKUP(tblEnrolledSubjs[[#This Row],[CSubjID]], tblClassSubjs[CSubjID],tblClassSubjs[ClassID]),tblClasses[ClassID],tblClasses[STermID])</f>
        <v>2</v>
      </c>
      <c r="T569" t="str">
        <f>LOOKUP(S569,tblSchoolTerms[STermID],tblSchoolTerms[SemesterID]&amp;" Semester "&amp;tblSchoolTerms[SchoolYear])</f>
        <v>1 Semester S.Y. 2018-2019</v>
      </c>
      <c r="W5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69" t="e">
        <f t="array" ref="Y569">INDEX(tblEnrolledStuds[EStudID],MATCH(tblEnrolledSubjs[[#This Row],[EStudID]]&amp;S569,tblEnrolledStuds[AdmissionStatusID]&amp;tblEnrolledStuds[StudID],0))</f>
        <v>#N/A</v>
      </c>
    </row>
    <row r="570" spans="2:25" x14ac:dyDescent="0.25">
      <c r="B570">
        <v>568</v>
      </c>
      <c r="C570">
        <v>100</v>
      </c>
      <c r="D570">
        <v>82</v>
      </c>
      <c r="P570" t="str">
        <f t="shared" si="12"/>
        <v>(NULL,"100","82"),</v>
      </c>
      <c r="Q570" t="str">
        <f>TextJoin(tblEnrolledSubjs[[#This Row],[CSubjID]:[EStudID]],"Value")</f>
        <v>"100","82"</v>
      </c>
      <c r="S570">
        <f>LOOKUP(LOOKUP(tblEnrolledSubjs[[#This Row],[CSubjID]], tblClassSubjs[CSubjID],tblClassSubjs[ClassID]),tblClasses[ClassID],tblClasses[STermID])</f>
        <v>2</v>
      </c>
      <c r="T570" t="str">
        <f>LOOKUP(S570,tblSchoolTerms[STermID],tblSchoolTerms[SemesterID]&amp;" Semester "&amp;tblSchoolTerms[SchoolYear])</f>
        <v>1 Semester S.Y. 2018-2019</v>
      </c>
      <c r="W5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0" t="e">
        <f t="array" ref="Y570">INDEX(tblEnrolledStuds[EStudID],MATCH(tblEnrolledSubjs[[#This Row],[EStudID]]&amp;S570,tblEnrolledStuds[AdmissionStatusID]&amp;tblEnrolledStuds[StudID],0))</f>
        <v>#N/A</v>
      </c>
    </row>
    <row r="571" spans="2:25" x14ac:dyDescent="0.25">
      <c r="B571">
        <v>569</v>
      </c>
      <c r="C571">
        <v>100</v>
      </c>
      <c r="D571">
        <v>84</v>
      </c>
      <c r="P571" t="str">
        <f t="shared" si="12"/>
        <v>(NULL,"100","84"),</v>
      </c>
      <c r="Q571" t="str">
        <f>TextJoin(tblEnrolledSubjs[[#This Row],[CSubjID]:[EStudID]],"Value")</f>
        <v>"100","84"</v>
      </c>
      <c r="S571">
        <f>LOOKUP(LOOKUP(tblEnrolledSubjs[[#This Row],[CSubjID]], tblClassSubjs[CSubjID],tblClassSubjs[ClassID]),tblClasses[ClassID],tblClasses[STermID])</f>
        <v>2</v>
      </c>
      <c r="T571" t="str">
        <f>LOOKUP(S571,tblSchoolTerms[STermID],tblSchoolTerms[SemesterID]&amp;" Semester "&amp;tblSchoolTerms[SchoolYear])</f>
        <v>1 Semester S.Y. 2018-2019</v>
      </c>
      <c r="W5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1" t="e">
        <f t="array" ref="Y571">INDEX(tblEnrolledStuds[EStudID],MATCH(tblEnrolledSubjs[[#This Row],[EStudID]]&amp;S571,tblEnrolledStuds[AdmissionStatusID]&amp;tblEnrolledStuds[StudID],0))</f>
        <v>#N/A</v>
      </c>
    </row>
    <row r="572" spans="2:25" x14ac:dyDescent="0.25">
      <c r="B572">
        <v>570</v>
      </c>
      <c r="C572">
        <v>100</v>
      </c>
      <c r="D572">
        <v>85</v>
      </c>
      <c r="P572" t="str">
        <f t="shared" si="12"/>
        <v>(NULL,"100","85"),</v>
      </c>
      <c r="Q572" t="str">
        <f>TextJoin(tblEnrolledSubjs[[#This Row],[CSubjID]:[EStudID]],"Value")</f>
        <v>"100","85"</v>
      </c>
      <c r="S572">
        <f>LOOKUP(LOOKUP(tblEnrolledSubjs[[#This Row],[CSubjID]], tblClassSubjs[CSubjID],tblClassSubjs[ClassID]),tblClasses[ClassID],tblClasses[STermID])</f>
        <v>2</v>
      </c>
      <c r="T572" t="str">
        <f>LOOKUP(S572,tblSchoolTerms[STermID],tblSchoolTerms[SemesterID]&amp;" Semester "&amp;tblSchoolTerms[SchoolYear])</f>
        <v>1 Semester S.Y. 2018-2019</v>
      </c>
      <c r="W5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2" t="e">
        <f t="array" ref="Y572">INDEX(tblEnrolledStuds[EStudID],MATCH(tblEnrolledSubjs[[#This Row],[EStudID]]&amp;S572,tblEnrolledStuds[AdmissionStatusID]&amp;tblEnrolledStuds[StudID],0))</f>
        <v>#N/A</v>
      </c>
    </row>
    <row r="573" spans="2:25" x14ac:dyDescent="0.25">
      <c r="B573">
        <v>571</v>
      </c>
      <c r="C573">
        <v>100</v>
      </c>
      <c r="D573">
        <v>78</v>
      </c>
      <c r="P573" t="str">
        <f t="shared" si="12"/>
        <v>(NULL,"100","78"),</v>
      </c>
      <c r="Q573" t="str">
        <f>TextJoin(tblEnrolledSubjs[[#This Row],[CSubjID]:[EStudID]],"Value")</f>
        <v>"100","78"</v>
      </c>
      <c r="S573">
        <f>LOOKUP(LOOKUP(tblEnrolledSubjs[[#This Row],[CSubjID]], tblClassSubjs[CSubjID],tblClassSubjs[ClassID]),tblClasses[ClassID],tblClasses[STermID])</f>
        <v>2</v>
      </c>
      <c r="T573" t="str">
        <f>LOOKUP(S573,tblSchoolTerms[STermID],tblSchoolTerms[SemesterID]&amp;" Semester "&amp;tblSchoolTerms[SchoolYear])</f>
        <v>1 Semester S.Y. 2018-2019</v>
      </c>
      <c r="W5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3" t="e">
        <f t="array" ref="Y573">INDEX(tblEnrolledStuds[EStudID],MATCH(tblEnrolledSubjs[[#This Row],[EStudID]]&amp;S573,tblEnrolledStuds[AdmissionStatusID]&amp;tblEnrolledStuds[StudID],0))</f>
        <v>#N/A</v>
      </c>
    </row>
    <row r="574" spans="2:25" x14ac:dyDescent="0.25">
      <c r="B574">
        <v>572</v>
      </c>
      <c r="C574">
        <v>101</v>
      </c>
      <c r="D574">
        <v>72</v>
      </c>
      <c r="P574" t="str">
        <f t="shared" si="12"/>
        <v>(NULL,"101","72"),</v>
      </c>
      <c r="Q574" t="str">
        <f>TextJoin(tblEnrolledSubjs[[#This Row],[CSubjID]:[EStudID]],"Value")</f>
        <v>"101","72"</v>
      </c>
      <c r="S574">
        <f>LOOKUP(LOOKUP(tblEnrolledSubjs[[#This Row],[CSubjID]], tblClassSubjs[CSubjID],tblClassSubjs[ClassID]),tblClasses[ClassID],tblClasses[STermID])</f>
        <v>2</v>
      </c>
      <c r="T574" t="str">
        <f>LOOKUP(S574,tblSchoolTerms[STermID],tblSchoolTerms[SemesterID]&amp;" Semester "&amp;tblSchoolTerms[SchoolYear])</f>
        <v>1 Semester S.Y. 2018-2019</v>
      </c>
      <c r="W5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4" t="e">
        <f t="array" ref="Y574">INDEX(tblEnrolledStuds[EStudID],MATCH(tblEnrolledSubjs[[#This Row],[EStudID]]&amp;S574,tblEnrolledStuds[AdmissionStatusID]&amp;tblEnrolledStuds[StudID],0))</f>
        <v>#N/A</v>
      </c>
    </row>
    <row r="575" spans="2:25" x14ac:dyDescent="0.25">
      <c r="B575">
        <v>573</v>
      </c>
      <c r="C575">
        <v>101</v>
      </c>
      <c r="D575">
        <v>73</v>
      </c>
      <c r="P575" t="str">
        <f t="shared" si="12"/>
        <v>(NULL,"101","73"),</v>
      </c>
      <c r="Q575" t="str">
        <f>TextJoin(tblEnrolledSubjs[[#This Row],[CSubjID]:[EStudID]],"Value")</f>
        <v>"101","73"</v>
      </c>
      <c r="S575">
        <f>LOOKUP(LOOKUP(tblEnrolledSubjs[[#This Row],[CSubjID]], tblClassSubjs[CSubjID],tblClassSubjs[ClassID]),tblClasses[ClassID],tblClasses[STermID])</f>
        <v>2</v>
      </c>
      <c r="T575" t="str">
        <f>LOOKUP(S575,tblSchoolTerms[STermID],tblSchoolTerms[SemesterID]&amp;" Semester "&amp;tblSchoolTerms[SchoolYear])</f>
        <v>1 Semester S.Y. 2018-2019</v>
      </c>
      <c r="W5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5" t="e">
        <f t="array" ref="Y575">INDEX(tblEnrolledStuds[EStudID],MATCH(tblEnrolledSubjs[[#This Row],[EStudID]]&amp;S575,tblEnrolledStuds[AdmissionStatusID]&amp;tblEnrolledStuds[StudID],0))</f>
        <v>#N/A</v>
      </c>
    </row>
    <row r="576" spans="2:25" x14ac:dyDescent="0.25">
      <c r="B576">
        <v>574</v>
      </c>
      <c r="C576">
        <v>101</v>
      </c>
      <c r="D576">
        <v>74</v>
      </c>
      <c r="P576" t="str">
        <f t="shared" si="12"/>
        <v>(NULL,"101","74"),</v>
      </c>
      <c r="Q576" t="str">
        <f>TextJoin(tblEnrolledSubjs[[#This Row],[CSubjID]:[EStudID]],"Value")</f>
        <v>"101","74"</v>
      </c>
      <c r="S576">
        <f>LOOKUP(LOOKUP(tblEnrolledSubjs[[#This Row],[CSubjID]], tblClassSubjs[CSubjID],tblClassSubjs[ClassID]),tblClasses[ClassID],tblClasses[STermID])</f>
        <v>2</v>
      </c>
      <c r="T576" t="str">
        <f>LOOKUP(S576,tblSchoolTerms[STermID],tblSchoolTerms[SemesterID]&amp;" Semester "&amp;tblSchoolTerms[SchoolYear])</f>
        <v>1 Semester S.Y. 2018-2019</v>
      </c>
      <c r="W5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6" t="e">
        <f t="array" ref="Y576">INDEX(tblEnrolledStuds[EStudID],MATCH(tblEnrolledSubjs[[#This Row],[EStudID]]&amp;S576,tblEnrolledStuds[AdmissionStatusID]&amp;tblEnrolledStuds[StudID],0))</f>
        <v>#N/A</v>
      </c>
    </row>
    <row r="577" spans="2:25" x14ac:dyDescent="0.25">
      <c r="B577">
        <v>575</v>
      </c>
      <c r="C577">
        <v>101</v>
      </c>
      <c r="D577">
        <v>76</v>
      </c>
      <c r="P577" t="str">
        <f t="shared" si="12"/>
        <v>(NULL,"101","76"),</v>
      </c>
      <c r="Q577" t="str">
        <f>TextJoin(tblEnrolledSubjs[[#This Row],[CSubjID]:[EStudID]],"Value")</f>
        <v>"101","76"</v>
      </c>
      <c r="S577">
        <f>LOOKUP(LOOKUP(tblEnrolledSubjs[[#This Row],[CSubjID]], tblClassSubjs[CSubjID],tblClassSubjs[ClassID]),tblClasses[ClassID],tblClasses[STermID])</f>
        <v>2</v>
      </c>
      <c r="T577" t="str">
        <f>LOOKUP(S577,tblSchoolTerms[STermID],tblSchoolTerms[SemesterID]&amp;" Semester "&amp;tblSchoolTerms[SchoolYear])</f>
        <v>1 Semester S.Y. 2018-2019</v>
      </c>
      <c r="W5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7" t="e">
        <f t="array" ref="Y577">INDEX(tblEnrolledStuds[EStudID],MATCH(tblEnrolledSubjs[[#This Row],[EStudID]]&amp;S577,tblEnrolledStuds[AdmissionStatusID]&amp;tblEnrolledStuds[StudID],0))</f>
        <v>#N/A</v>
      </c>
    </row>
    <row r="578" spans="2:25" x14ac:dyDescent="0.25">
      <c r="B578">
        <v>576</v>
      </c>
      <c r="C578">
        <v>101</v>
      </c>
      <c r="D578">
        <v>77</v>
      </c>
      <c r="P578" t="str">
        <f t="shared" si="12"/>
        <v>(NULL,"101","77"),</v>
      </c>
      <c r="Q578" t="str">
        <f>TextJoin(tblEnrolledSubjs[[#This Row],[CSubjID]:[EStudID]],"Value")</f>
        <v>"101","77"</v>
      </c>
      <c r="S578">
        <f>LOOKUP(LOOKUP(tblEnrolledSubjs[[#This Row],[CSubjID]], tblClassSubjs[CSubjID],tblClassSubjs[ClassID]),tblClasses[ClassID],tblClasses[STermID])</f>
        <v>2</v>
      </c>
      <c r="T578" t="str">
        <f>LOOKUP(S578,tblSchoolTerms[STermID],tblSchoolTerms[SemesterID]&amp;" Semester "&amp;tblSchoolTerms[SchoolYear])</f>
        <v>1 Semester S.Y. 2018-2019</v>
      </c>
      <c r="W5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8" t="e">
        <f t="array" ref="Y578">INDEX(tblEnrolledStuds[EStudID],MATCH(tblEnrolledSubjs[[#This Row],[EStudID]]&amp;S578,tblEnrolledStuds[AdmissionStatusID]&amp;tblEnrolledStuds[StudID],0))</f>
        <v>#N/A</v>
      </c>
    </row>
    <row r="579" spans="2:25" x14ac:dyDescent="0.25">
      <c r="B579">
        <v>577</v>
      </c>
      <c r="C579">
        <v>101</v>
      </c>
      <c r="D579">
        <v>79</v>
      </c>
      <c r="P579" t="str">
        <f t="shared" si="12"/>
        <v>(NULL,"101","79"),</v>
      </c>
      <c r="Q579" t="str">
        <f>TextJoin(tblEnrolledSubjs[[#This Row],[CSubjID]:[EStudID]],"Value")</f>
        <v>"101","79"</v>
      </c>
      <c r="S579">
        <f>LOOKUP(LOOKUP(tblEnrolledSubjs[[#This Row],[CSubjID]], tblClassSubjs[CSubjID],tblClassSubjs[ClassID]),tblClasses[ClassID],tblClasses[STermID])</f>
        <v>2</v>
      </c>
      <c r="T579" t="str">
        <f>LOOKUP(S579,tblSchoolTerms[STermID],tblSchoolTerms[SemesterID]&amp;" Semester "&amp;tblSchoolTerms[SchoolYear])</f>
        <v>1 Semester S.Y. 2018-2019</v>
      </c>
      <c r="W5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79" t="e">
        <f t="array" ref="Y579">INDEX(tblEnrolledStuds[EStudID],MATCH(tblEnrolledSubjs[[#This Row],[EStudID]]&amp;S579,tblEnrolledStuds[AdmissionStatusID]&amp;tblEnrolledStuds[StudID],0))</f>
        <v>#N/A</v>
      </c>
    </row>
    <row r="580" spans="2:25" x14ac:dyDescent="0.25">
      <c r="B580">
        <v>578</v>
      </c>
      <c r="C580">
        <v>101</v>
      </c>
      <c r="D580">
        <v>80</v>
      </c>
      <c r="P580" t="str">
        <f t="shared" ref="P580:P643" si="13">"(NULL,"&amp;Q580&amp;")"&amp;IF(P581&lt;&gt;"",",",";")</f>
        <v>(NULL,"101","80"),</v>
      </c>
      <c r="Q580" t="str">
        <f>TextJoin(tblEnrolledSubjs[[#This Row],[CSubjID]:[EStudID]],"Value")</f>
        <v>"101","80"</v>
      </c>
      <c r="S580">
        <f>LOOKUP(LOOKUP(tblEnrolledSubjs[[#This Row],[CSubjID]], tblClassSubjs[CSubjID],tblClassSubjs[ClassID]),tblClasses[ClassID],tblClasses[STermID])</f>
        <v>2</v>
      </c>
      <c r="T580" t="str">
        <f>LOOKUP(S580,tblSchoolTerms[STermID],tblSchoolTerms[SemesterID]&amp;" Semester "&amp;tblSchoolTerms[SchoolYear])</f>
        <v>1 Semester S.Y. 2018-2019</v>
      </c>
      <c r="W5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0" t="e">
        <f t="array" ref="Y580">INDEX(tblEnrolledStuds[EStudID],MATCH(tblEnrolledSubjs[[#This Row],[EStudID]]&amp;S580,tblEnrolledStuds[AdmissionStatusID]&amp;tblEnrolledStuds[StudID],0))</f>
        <v>#N/A</v>
      </c>
    </row>
    <row r="581" spans="2:25" x14ac:dyDescent="0.25">
      <c r="B581">
        <v>579</v>
      </c>
      <c r="C581">
        <v>101</v>
      </c>
      <c r="D581">
        <v>82</v>
      </c>
      <c r="P581" t="str">
        <f t="shared" si="13"/>
        <v>(NULL,"101","82"),</v>
      </c>
      <c r="Q581" t="str">
        <f>TextJoin(tblEnrolledSubjs[[#This Row],[CSubjID]:[EStudID]],"Value")</f>
        <v>"101","82"</v>
      </c>
      <c r="S581">
        <f>LOOKUP(LOOKUP(tblEnrolledSubjs[[#This Row],[CSubjID]], tblClassSubjs[CSubjID],tblClassSubjs[ClassID]),tblClasses[ClassID],tblClasses[STermID])</f>
        <v>2</v>
      </c>
      <c r="T581" t="str">
        <f>LOOKUP(S581,tblSchoolTerms[STermID],tblSchoolTerms[SemesterID]&amp;" Semester "&amp;tblSchoolTerms[SchoolYear])</f>
        <v>1 Semester S.Y. 2018-2019</v>
      </c>
      <c r="W5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1" t="e">
        <f t="array" ref="Y581">INDEX(tblEnrolledStuds[EStudID],MATCH(tblEnrolledSubjs[[#This Row],[EStudID]]&amp;S581,tblEnrolledStuds[AdmissionStatusID]&amp;tblEnrolledStuds[StudID],0))</f>
        <v>#N/A</v>
      </c>
    </row>
    <row r="582" spans="2:25" x14ac:dyDescent="0.25">
      <c r="B582">
        <v>580</v>
      </c>
      <c r="C582">
        <v>101</v>
      </c>
      <c r="D582">
        <v>84</v>
      </c>
      <c r="P582" t="str">
        <f t="shared" si="13"/>
        <v>(NULL,"101","84"),</v>
      </c>
      <c r="Q582" t="str">
        <f>TextJoin(tblEnrolledSubjs[[#This Row],[CSubjID]:[EStudID]],"Value")</f>
        <v>"101","84"</v>
      </c>
      <c r="S582">
        <f>LOOKUP(LOOKUP(tblEnrolledSubjs[[#This Row],[CSubjID]], tblClassSubjs[CSubjID],tblClassSubjs[ClassID]),tblClasses[ClassID],tblClasses[STermID])</f>
        <v>2</v>
      </c>
      <c r="T582" t="str">
        <f>LOOKUP(S582,tblSchoolTerms[STermID],tblSchoolTerms[SemesterID]&amp;" Semester "&amp;tblSchoolTerms[SchoolYear])</f>
        <v>1 Semester S.Y. 2018-2019</v>
      </c>
      <c r="W5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2" t="e">
        <f t="array" ref="Y582">INDEX(tblEnrolledStuds[EStudID],MATCH(tblEnrolledSubjs[[#This Row],[EStudID]]&amp;S582,tblEnrolledStuds[AdmissionStatusID]&amp;tblEnrolledStuds[StudID],0))</f>
        <v>#N/A</v>
      </c>
    </row>
    <row r="583" spans="2:25" x14ac:dyDescent="0.25">
      <c r="B583">
        <v>581</v>
      </c>
      <c r="C583">
        <v>101</v>
      </c>
      <c r="D583">
        <v>85</v>
      </c>
      <c r="P583" t="str">
        <f t="shared" si="13"/>
        <v>(NULL,"101","85"),</v>
      </c>
      <c r="Q583" t="str">
        <f>TextJoin(tblEnrolledSubjs[[#This Row],[CSubjID]:[EStudID]],"Value")</f>
        <v>"101","85"</v>
      </c>
      <c r="S583">
        <f>LOOKUP(LOOKUP(tblEnrolledSubjs[[#This Row],[CSubjID]], tblClassSubjs[CSubjID],tblClassSubjs[ClassID]),tblClasses[ClassID],tblClasses[STermID])</f>
        <v>2</v>
      </c>
      <c r="T583" t="str">
        <f>LOOKUP(S583,tblSchoolTerms[STermID],tblSchoolTerms[SemesterID]&amp;" Semester "&amp;tblSchoolTerms[SchoolYear])</f>
        <v>1 Semester S.Y. 2018-2019</v>
      </c>
      <c r="W5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3" t="e">
        <f t="array" ref="Y583">INDEX(tblEnrolledStuds[EStudID],MATCH(tblEnrolledSubjs[[#This Row],[EStudID]]&amp;S583,tblEnrolledStuds[AdmissionStatusID]&amp;tblEnrolledStuds[StudID],0))</f>
        <v>#N/A</v>
      </c>
    </row>
    <row r="584" spans="2:25" x14ac:dyDescent="0.25">
      <c r="B584">
        <v>582</v>
      </c>
      <c r="C584">
        <v>101</v>
      </c>
      <c r="D584">
        <v>78</v>
      </c>
      <c r="P584" t="str">
        <f t="shared" si="13"/>
        <v>(NULL,"101","78"),</v>
      </c>
      <c r="Q584" t="str">
        <f>TextJoin(tblEnrolledSubjs[[#This Row],[CSubjID]:[EStudID]],"Value")</f>
        <v>"101","78"</v>
      </c>
      <c r="S584">
        <f>LOOKUP(LOOKUP(tblEnrolledSubjs[[#This Row],[CSubjID]], tblClassSubjs[CSubjID],tblClassSubjs[ClassID]),tblClasses[ClassID],tblClasses[STermID])</f>
        <v>2</v>
      </c>
      <c r="T584" t="str">
        <f>LOOKUP(S584,tblSchoolTerms[STermID],tblSchoolTerms[SemesterID]&amp;" Semester "&amp;tblSchoolTerms[SchoolYear])</f>
        <v>1 Semester S.Y. 2018-2019</v>
      </c>
      <c r="W5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4" t="e">
        <f t="array" ref="Y584">INDEX(tblEnrolledStuds[EStudID],MATCH(tblEnrolledSubjs[[#This Row],[EStudID]]&amp;S584,tblEnrolledStuds[AdmissionStatusID]&amp;tblEnrolledStuds[StudID],0))</f>
        <v>#N/A</v>
      </c>
    </row>
    <row r="585" spans="2:25" x14ac:dyDescent="0.25">
      <c r="B585">
        <v>583</v>
      </c>
      <c r="C585">
        <v>102</v>
      </c>
      <c r="D585">
        <v>72</v>
      </c>
      <c r="E585" s="4"/>
      <c r="F585" s="4"/>
      <c r="G585" s="4"/>
      <c r="H585" s="4"/>
      <c r="I585" s="4"/>
      <c r="P585" t="str">
        <f t="shared" si="13"/>
        <v>(NULL,"102","72"),</v>
      </c>
      <c r="Q585" t="str">
        <f>TextJoin(tblEnrolledSubjs[[#This Row],[CSubjID]:[EStudID]],"Value")</f>
        <v>"102","72"</v>
      </c>
      <c r="S585">
        <f>LOOKUP(LOOKUP(tblEnrolledSubjs[[#This Row],[CSubjID]], tblClassSubjs[CSubjID],tblClassSubjs[ClassID]),tblClasses[ClassID],tblClasses[STermID])</f>
        <v>2</v>
      </c>
      <c r="T585" t="str">
        <f>LOOKUP(S585,tblSchoolTerms[STermID],tblSchoolTerms[SemesterID]&amp;" Semester "&amp;tblSchoolTerms[SchoolYear])</f>
        <v>1 Semester S.Y. 2018-2019</v>
      </c>
      <c r="W5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5" t="e">
        <f t="array" ref="Y585">INDEX(tblEnrolledStuds[EStudID],MATCH(tblEnrolledSubjs[[#This Row],[EStudID]]&amp;S585,tblEnrolledStuds[AdmissionStatusID]&amp;tblEnrolledStuds[StudID],0))</f>
        <v>#N/A</v>
      </c>
    </row>
    <row r="586" spans="2:25" x14ac:dyDescent="0.25">
      <c r="B586">
        <v>584</v>
      </c>
      <c r="C586">
        <v>102</v>
      </c>
      <c r="D586">
        <v>73</v>
      </c>
      <c r="P586" t="str">
        <f t="shared" si="13"/>
        <v>(NULL,"102","73"),</v>
      </c>
      <c r="Q586" t="str">
        <f>TextJoin(tblEnrolledSubjs[[#This Row],[CSubjID]:[EStudID]],"Value")</f>
        <v>"102","73"</v>
      </c>
      <c r="S586">
        <f>LOOKUP(LOOKUP(tblEnrolledSubjs[[#This Row],[CSubjID]], tblClassSubjs[CSubjID],tblClassSubjs[ClassID]),tblClasses[ClassID],tblClasses[STermID])</f>
        <v>2</v>
      </c>
      <c r="T586" t="str">
        <f>LOOKUP(S586,tblSchoolTerms[STermID],tblSchoolTerms[SemesterID]&amp;" Semester "&amp;tblSchoolTerms[SchoolYear])</f>
        <v>1 Semester S.Y. 2018-2019</v>
      </c>
      <c r="W5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6" t="e">
        <f t="array" ref="Y586">INDEX(tblEnrolledStuds[EStudID],MATCH(tblEnrolledSubjs[[#This Row],[EStudID]]&amp;S586,tblEnrolledStuds[AdmissionStatusID]&amp;tblEnrolledStuds[StudID],0))</f>
        <v>#N/A</v>
      </c>
    </row>
    <row r="587" spans="2:25" x14ac:dyDescent="0.25">
      <c r="B587">
        <v>585</v>
      </c>
      <c r="C587">
        <v>102</v>
      </c>
      <c r="D587">
        <v>74</v>
      </c>
      <c r="P587" t="str">
        <f t="shared" si="13"/>
        <v>(NULL,"102","74"),</v>
      </c>
      <c r="Q587" t="str">
        <f>TextJoin(tblEnrolledSubjs[[#This Row],[CSubjID]:[EStudID]],"Value")</f>
        <v>"102","74"</v>
      </c>
      <c r="S587">
        <f>LOOKUP(LOOKUP(tblEnrolledSubjs[[#This Row],[CSubjID]], tblClassSubjs[CSubjID],tblClassSubjs[ClassID]),tblClasses[ClassID],tblClasses[STermID])</f>
        <v>2</v>
      </c>
      <c r="T587" t="str">
        <f>LOOKUP(S587,tblSchoolTerms[STermID],tblSchoolTerms[SemesterID]&amp;" Semester "&amp;tblSchoolTerms[SchoolYear])</f>
        <v>1 Semester S.Y. 2018-2019</v>
      </c>
      <c r="W5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7" t="e">
        <f t="array" ref="Y587">INDEX(tblEnrolledStuds[EStudID],MATCH(tblEnrolledSubjs[[#This Row],[EStudID]]&amp;S587,tblEnrolledStuds[AdmissionStatusID]&amp;tblEnrolledStuds[StudID],0))</f>
        <v>#N/A</v>
      </c>
    </row>
    <row r="588" spans="2:25" x14ac:dyDescent="0.25">
      <c r="B588">
        <v>586</v>
      </c>
      <c r="C588">
        <v>102</v>
      </c>
      <c r="D588">
        <v>76</v>
      </c>
      <c r="P588" t="str">
        <f t="shared" si="13"/>
        <v>(NULL,"102","76"),</v>
      </c>
      <c r="Q588" t="str">
        <f>TextJoin(tblEnrolledSubjs[[#This Row],[CSubjID]:[EStudID]],"Value")</f>
        <v>"102","76"</v>
      </c>
      <c r="S588">
        <f>LOOKUP(LOOKUP(tblEnrolledSubjs[[#This Row],[CSubjID]], tblClassSubjs[CSubjID],tblClassSubjs[ClassID]),tblClasses[ClassID],tblClasses[STermID])</f>
        <v>2</v>
      </c>
      <c r="T588" t="str">
        <f>LOOKUP(S588,tblSchoolTerms[STermID],tblSchoolTerms[SemesterID]&amp;" Semester "&amp;tblSchoolTerms[SchoolYear])</f>
        <v>1 Semester S.Y. 2018-2019</v>
      </c>
      <c r="W5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8" t="e">
        <f t="array" ref="Y588">INDEX(tblEnrolledStuds[EStudID],MATCH(tblEnrolledSubjs[[#This Row],[EStudID]]&amp;S588,tblEnrolledStuds[AdmissionStatusID]&amp;tblEnrolledStuds[StudID],0))</f>
        <v>#N/A</v>
      </c>
    </row>
    <row r="589" spans="2:25" x14ac:dyDescent="0.25">
      <c r="B589">
        <v>587</v>
      </c>
      <c r="C589">
        <v>102</v>
      </c>
      <c r="D589">
        <v>77</v>
      </c>
      <c r="P589" t="str">
        <f t="shared" si="13"/>
        <v>(NULL,"102","77"),</v>
      </c>
      <c r="Q589" t="str">
        <f>TextJoin(tblEnrolledSubjs[[#This Row],[CSubjID]:[EStudID]],"Value")</f>
        <v>"102","77"</v>
      </c>
      <c r="S589">
        <f>LOOKUP(LOOKUP(tblEnrolledSubjs[[#This Row],[CSubjID]], tblClassSubjs[CSubjID],tblClassSubjs[ClassID]),tblClasses[ClassID],tblClasses[STermID])</f>
        <v>2</v>
      </c>
      <c r="T589" t="str">
        <f>LOOKUP(S589,tblSchoolTerms[STermID],tblSchoolTerms[SemesterID]&amp;" Semester "&amp;tblSchoolTerms[SchoolYear])</f>
        <v>1 Semester S.Y. 2018-2019</v>
      </c>
      <c r="W5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89" t="e">
        <f t="array" ref="Y589">INDEX(tblEnrolledStuds[EStudID],MATCH(tblEnrolledSubjs[[#This Row],[EStudID]]&amp;S589,tblEnrolledStuds[AdmissionStatusID]&amp;tblEnrolledStuds[StudID],0))</f>
        <v>#N/A</v>
      </c>
    </row>
    <row r="590" spans="2:25" x14ac:dyDescent="0.25">
      <c r="B590">
        <v>588</v>
      </c>
      <c r="C590">
        <v>102</v>
      </c>
      <c r="D590">
        <v>79</v>
      </c>
      <c r="P590" t="str">
        <f t="shared" si="13"/>
        <v>(NULL,"102","79"),</v>
      </c>
      <c r="Q590" t="str">
        <f>TextJoin(tblEnrolledSubjs[[#This Row],[CSubjID]:[EStudID]],"Value")</f>
        <v>"102","79"</v>
      </c>
      <c r="S590">
        <f>LOOKUP(LOOKUP(tblEnrolledSubjs[[#This Row],[CSubjID]], tblClassSubjs[CSubjID],tblClassSubjs[ClassID]),tblClasses[ClassID],tblClasses[STermID])</f>
        <v>2</v>
      </c>
      <c r="T590" t="str">
        <f>LOOKUP(S590,tblSchoolTerms[STermID],tblSchoolTerms[SemesterID]&amp;" Semester "&amp;tblSchoolTerms[SchoolYear])</f>
        <v>1 Semester S.Y. 2018-2019</v>
      </c>
      <c r="W5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0" t="e">
        <f t="array" ref="Y590">INDEX(tblEnrolledStuds[EStudID],MATCH(tblEnrolledSubjs[[#This Row],[EStudID]]&amp;S590,tblEnrolledStuds[AdmissionStatusID]&amp;tblEnrolledStuds[StudID],0))</f>
        <v>#N/A</v>
      </c>
    </row>
    <row r="591" spans="2:25" x14ac:dyDescent="0.25">
      <c r="B591">
        <v>589</v>
      </c>
      <c r="C591">
        <v>102</v>
      </c>
      <c r="D591">
        <v>80</v>
      </c>
      <c r="P591" t="str">
        <f t="shared" si="13"/>
        <v>(NULL,"102","80"),</v>
      </c>
      <c r="Q591" t="str">
        <f>TextJoin(tblEnrolledSubjs[[#This Row],[CSubjID]:[EStudID]],"Value")</f>
        <v>"102","80"</v>
      </c>
      <c r="S591">
        <f>LOOKUP(LOOKUP(tblEnrolledSubjs[[#This Row],[CSubjID]], tblClassSubjs[CSubjID],tblClassSubjs[ClassID]),tblClasses[ClassID],tblClasses[STermID])</f>
        <v>2</v>
      </c>
      <c r="T591" t="str">
        <f>LOOKUP(S591,tblSchoolTerms[STermID],tblSchoolTerms[SemesterID]&amp;" Semester "&amp;tblSchoolTerms[SchoolYear])</f>
        <v>1 Semester S.Y. 2018-2019</v>
      </c>
      <c r="W5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1" t="e">
        <f t="array" ref="Y591">INDEX(tblEnrolledStuds[EStudID],MATCH(tblEnrolledSubjs[[#This Row],[EStudID]]&amp;S591,tblEnrolledStuds[AdmissionStatusID]&amp;tblEnrolledStuds[StudID],0))</f>
        <v>#N/A</v>
      </c>
    </row>
    <row r="592" spans="2:25" x14ac:dyDescent="0.25">
      <c r="B592">
        <v>590</v>
      </c>
      <c r="C592">
        <v>102</v>
      </c>
      <c r="D592">
        <v>82</v>
      </c>
      <c r="P592" t="str">
        <f t="shared" si="13"/>
        <v>(NULL,"102","82"),</v>
      </c>
      <c r="Q592" t="str">
        <f>TextJoin(tblEnrolledSubjs[[#This Row],[CSubjID]:[EStudID]],"Value")</f>
        <v>"102","82"</v>
      </c>
      <c r="S592">
        <f>LOOKUP(LOOKUP(tblEnrolledSubjs[[#This Row],[CSubjID]], tblClassSubjs[CSubjID],tblClassSubjs[ClassID]),tblClasses[ClassID],tblClasses[STermID])</f>
        <v>2</v>
      </c>
      <c r="T592" t="str">
        <f>LOOKUP(S592,tblSchoolTerms[STermID],tblSchoolTerms[SemesterID]&amp;" Semester "&amp;tblSchoolTerms[SchoolYear])</f>
        <v>1 Semester S.Y. 2018-2019</v>
      </c>
      <c r="W5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2" t="e">
        <f t="array" ref="Y592">INDEX(tblEnrolledStuds[EStudID],MATCH(tblEnrolledSubjs[[#This Row],[EStudID]]&amp;S592,tblEnrolledStuds[AdmissionStatusID]&amp;tblEnrolledStuds[StudID],0))</f>
        <v>#N/A</v>
      </c>
    </row>
    <row r="593" spans="2:25" x14ac:dyDescent="0.25">
      <c r="B593">
        <v>591</v>
      </c>
      <c r="C593">
        <v>102</v>
      </c>
      <c r="D593">
        <v>84</v>
      </c>
      <c r="P593" t="str">
        <f t="shared" si="13"/>
        <v>(NULL,"102","84"),</v>
      </c>
      <c r="Q593" t="str">
        <f>TextJoin(tblEnrolledSubjs[[#This Row],[CSubjID]:[EStudID]],"Value")</f>
        <v>"102","84"</v>
      </c>
      <c r="S593">
        <f>LOOKUP(LOOKUP(tblEnrolledSubjs[[#This Row],[CSubjID]], tblClassSubjs[CSubjID],tblClassSubjs[ClassID]),tblClasses[ClassID],tblClasses[STermID])</f>
        <v>2</v>
      </c>
      <c r="T593" t="str">
        <f>LOOKUP(S593,tblSchoolTerms[STermID],tblSchoolTerms[SemesterID]&amp;" Semester "&amp;tblSchoolTerms[SchoolYear])</f>
        <v>1 Semester S.Y. 2018-2019</v>
      </c>
      <c r="W5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3" t="e">
        <f t="array" ref="Y593">INDEX(tblEnrolledStuds[EStudID],MATCH(tblEnrolledSubjs[[#This Row],[EStudID]]&amp;S593,tblEnrolledStuds[AdmissionStatusID]&amp;tblEnrolledStuds[StudID],0))</f>
        <v>#N/A</v>
      </c>
    </row>
    <row r="594" spans="2:25" x14ac:dyDescent="0.25">
      <c r="B594">
        <v>592</v>
      </c>
      <c r="C594">
        <v>102</v>
      </c>
      <c r="D594">
        <v>85</v>
      </c>
      <c r="P594" t="str">
        <f t="shared" si="13"/>
        <v>(NULL,"102","85"),</v>
      </c>
      <c r="Q594" t="str">
        <f>TextJoin(tblEnrolledSubjs[[#This Row],[CSubjID]:[EStudID]],"Value")</f>
        <v>"102","85"</v>
      </c>
      <c r="S594">
        <f>LOOKUP(LOOKUP(tblEnrolledSubjs[[#This Row],[CSubjID]], tblClassSubjs[CSubjID],tblClassSubjs[ClassID]),tblClasses[ClassID],tblClasses[STermID])</f>
        <v>2</v>
      </c>
      <c r="T594" t="str">
        <f>LOOKUP(S594,tblSchoolTerms[STermID],tblSchoolTerms[SemesterID]&amp;" Semester "&amp;tblSchoolTerms[SchoolYear])</f>
        <v>1 Semester S.Y. 2018-2019</v>
      </c>
      <c r="W5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4" t="e">
        <f t="array" ref="Y594">INDEX(tblEnrolledStuds[EStudID],MATCH(tblEnrolledSubjs[[#This Row],[EStudID]]&amp;S594,tblEnrolledStuds[AdmissionStatusID]&amp;tblEnrolledStuds[StudID],0))</f>
        <v>#N/A</v>
      </c>
    </row>
    <row r="595" spans="2:25" x14ac:dyDescent="0.25">
      <c r="B595">
        <v>593</v>
      </c>
      <c r="C595">
        <v>102</v>
      </c>
      <c r="D595">
        <v>78</v>
      </c>
      <c r="P595" t="str">
        <f t="shared" si="13"/>
        <v>(NULL,"102","78"),</v>
      </c>
      <c r="Q595" t="str">
        <f>TextJoin(tblEnrolledSubjs[[#This Row],[CSubjID]:[EStudID]],"Value")</f>
        <v>"102","78"</v>
      </c>
      <c r="S595">
        <f>LOOKUP(LOOKUP(tblEnrolledSubjs[[#This Row],[CSubjID]], tblClassSubjs[CSubjID],tblClassSubjs[ClassID]),tblClasses[ClassID],tblClasses[STermID])</f>
        <v>2</v>
      </c>
      <c r="T595" t="str">
        <f>LOOKUP(S595,tblSchoolTerms[STermID],tblSchoolTerms[SemesterID]&amp;" Semester "&amp;tblSchoolTerms[SchoolYear])</f>
        <v>1 Semester S.Y. 2018-2019</v>
      </c>
      <c r="W5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5" t="e">
        <f t="array" ref="Y595">INDEX(tblEnrolledStuds[EStudID],MATCH(tblEnrolledSubjs[[#This Row],[EStudID]]&amp;S595,tblEnrolledStuds[AdmissionStatusID]&amp;tblEnrolledStuds[StudID],0))</f>
        <v>#N/A</v>
      </c>
    </row>
    <row r="596" spans="2:25" x14ac:dyDescent="0.25">
      <c r="B596">
        <v>594</v>
      </c>
      <c r="C596">
        <v>103</v>
      </c>
      <c r="D596">
        <v>72</v>
      </c>
      <c r="P596" t="str">
        <f t="shared" si="13"/>
        <v>(NULL,"103","72"),</v>
      </c>
      <c r="Q596" t="str">
        <f>TextJoin(tblEnrolledSubjs[[#This Row],[CSubjID]:[EStudID]],"Value")</f>
        <v>"103","72"</v>
      </c>
      <c r="S596">
        <f>LOOKUP(LOOKUP(tblEnrolledSubjs[[#This Row],[CSubjID]], tblClassSubjs[CSubjID],tblClassSubjs[ClassID]),tblClasses[ClassID],tblClasses[STermID])</f>
        <v>2</v>
      </c>
      <c r="T596" t="str">
        <f>LOOKUP(S596,tblSchoolTerms[STermID],tblSchoolTerms[SemesterID]&amp;" Semester "&amp;tblSchoolTerms[SchoolYear])</f>
        <v>1 Semester S.Y. 2018-2019</v>
      </c>
      <c r="W5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6" t="e">
        <f t="array" ref="Y596">INDEX(tblEnrolledStuds[EStudID],MATCH(tblEnrolledSubjs[[#This Row],[EStudID]]&amp;S596,tblEnrolledStuds[AdmissionStatusID]&amp;tblEnrolledStuds[StudID],0))</f>
        <v>#N/A</v>
      </c>
    </row>
    <row r="597" spans="2:25" x14ac:dyDescent="0.25">
      <c r="B597">
        <v>595</v>
      </c>
      <c r="C597">
        <v>103</v>
      </c>
      <c r="D597">
        <v>73</v>
      </c>
      <c r="P597" t="str">
        <f t="shared" si="13"/>
        <v>(NULL,"103","73"),</v>
      </c>
      <c r="Q597" t="str">
        <f>TextJoin(tblEnrolledSubjs[[#This Row],[CSubjID]:[EStudID]],"Value")</f>
        <v>"103","73"</v>
      </c>
      <c r="S597">
        <f>LOOKUP(LOOKUP(tblEnrolledSubjs[[#This Row],[CSubjID]], tblClassSubjs[CSubjID],tblClassSubjs[ClassID]),tblClasses[ClassID],tblClasses[STermID])</f>
        <v>2</v>
      </c>
      <c r="T597" t="str">
        <f>LOOKUP(S597,tblSchoolTerms[STermID],tblSchoolTerms[SemesterID]&amp;" Semester "&amp;tblSchoolTerms[SchoolYear])</f>
        <v>1 Semester S.Y. 2018-2019</v>
      </c>
      <c r="W5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7" t="e">
        <f t="array" ref="Y597">INDEX(tblEnrolledStuds[EStudID],MATCH(tblEnrolledSubjs[[#This Row],[EStudID]]&amp;S597,tblEnrolledStuds[AdmissionStatusID]&amp;tblEnrolledStuds[StudID],0))</f>
        <v>#N/A</v>
      </c>
    </row>
    <row r="598" spans="2:25" x14ac:dyDescent="0.25">
      <c r="B598">
        <v>596</v>
      </c>
      <c r="C598">
        <v>103</v>
      </c>
      <c r="D598">
        <v>74</v>
      </c>
      <c r="P598" t="str">
        <f t="shared" si="13"/>
        <v>(NULL,"103","74"),</v>
      </c>
      <c r="Q598" t="str">
        <f>TextJoin(tblEnrolledSubjs[[#This Row],[CSubjID]:[EStudID]],"Value")</f>
        <v>"103","74"</v>
      </c>
      <c r="S598">
        <f>LOOKUP(LOOKUP(tblEnrolledSubjs[[#This Row],[CSubjID]], tblClassSubjs[CSubjID],tblClassSubjs[ClassID]),tblClasses[ClassID],tblClasses[STermID])</f>
        <v>2</v>
      </c>
      <c r="T598" t="str">
        <f>LOOKUP(S598,tblSchoolTerms[STermID],tblSchoolTerms[SemesterID]&amp;" Semester "&amp;tblSchoolTerms[SchoolYear])</f>
        <v>1 Semester S.Y. 2018-2019</v>
      </c>
      <c r="W5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8" t="e">
        <f t="array" ref="Y598">INDEX(tblEnrolledStuds[EStudID],MATCH(tblEnrolledSubjs[[#This Row],[EStudID]]&amp;S598,tblEnrolledStuds[AdmissionStatusID]&amp;tblEnrolledStuds[StudID],0))</f>
        <v>#N/A</v>
      </c>
    </row>
    <row r="599" spans="2:25" x14ac:dyDescent="0.25">
      <c r="B599">
        <v>597</v>
      </c>
      <c r="C599">
        <v>103</v>
      </c>
      <c r="D599">
        <v>76</v>
      </c>
      <c r="P599" t="str">
        <f t="shared" si="13"/>
        <v>(NULL,"103","76"),</v>
      </c>
      <c r="Q599" t="str">
        <f>TextJoin(tblEnrolledSubjs[[#This Row],[CSubjID]:[EStudID]],"Value")</f>
        <v>"103","76"</v>
      </c>
      <c r="S599">
        <f>LOOKUP(LOOKUP(tblEnrolledSubjs[[#This Row],[CSubjID]], tblClassSubjs[CSubjID],tblClassSubjs[ClassID]),tblClasses[ClassID],tblClasses[STermID])</f>
        <v>2</v>
      </c>
      <c r="T599" t="str">
        <f>LOOKUP(S599,tblSchoolTerms[STermID],tblSchoolTerms[SemesterID]&amp;" Semester "&amp;tblSchoolTerms[SchoolYear])</f>
        <v>1 Semester S.Y. 2018-2019</v>
      </c>
      <c r="W5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599" t="e">
        <f t="array" ref="Y599">INDEX(tblEnrolledStuds[EStudID],MATCH(tblEnrolledSubjs[[#This Row],[EStudID]]&amp;S599,tblEnrolledStuds[AdmissionStatusID]&amp;tblEnrolledStuds[StudID],0))</f>
        <v>#N/A</v>
      </c>
    </row>
    <row r="600" spans="2:25" x14ac:dyDescent="0.25">
      <c r="B600">
        <v>598</v>
      </c>
      <c r="C600">
        <v>103</v>
      </c>
      <c r="D600">
        <v>77</v>
      </c>
      <c r="P600" t="str">
        <f t="shared" si="13"/>
        <v>(NULL,"103","77"),</v>
      </c>
      <c r="Q600" t="str">
        <f>TextJoin(tblEnrolledSubjs[[#This Row],[CSubjID]:[EStudID]],"Value")</f>
        <v>"103","77"</v>
      </c>
      <c r="S600">
        <f>LOOKUP(LOOKUP(tblEnrolledSubjs[[#This Row],[CSubjID]], tblClassSubjs[CSubjID],tblClassSubjs[ClassID]),tblClasses[ClassID],tblClasses[STermID])</f>
        <v>2</v>
      </c>
      <c r="T600" t="str">
        <f>LOOKUP(S600,tblSchoolTerms[STermID],tblSchoolTerms[SemesterID]&amp;" Semester "&amp;tblSchoolTerms[SchoolYear])</f>
        <v>1 Semester S.Y. 2018-2019</v>
      </c>
      <c r="W6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0" t="e">
        <f t="array" ref="Y600">INDEX(tblEnrolledStuds[EStudID],MATCH(tblEnrolledSubjs[[#This Row],[EStudID]]&amp;S600,tblEnrolledStuds[AdmissionStatusID]&amp;tblEnrolledStuds[StudID],0))</f>
        <v>#N/A</v>
      </c>
    </row>
    <row r="601" spans="2:25" x14ac:dyDescent="0.25">
      <c r="B601">
        <v>599</v>
      </c>
      <c r="C601">
        <v>103</v>
      </c>
      <c r="D601">
        <v>79</v>
      </c>
      <c r="P601" t="str">
        <f t="shared" si="13"/>
        <v>(NULL,"103","79"),</v>
      </c>
      <c r="Q601" t="str">
        <f>TextJoin(tblEnrolledSubjs[[#This Row],[CSubjID]:[EStudID]],"Value")</f>
        <v>"103","79"</v>
      </c>
      <c r="S601">
        <f>LOOKUP(LOOKUP(tblEnrolledSubjs[[#This Row],[CSubjID]], tblClassSubjs[CSubjID],tblClassSubjs[ClassID]),tblClasses[ClassID],tblClasses[STermID])</f>
        <v>2</v>
      </c>
      <c r="T601" t="str">
        <f>LOOKUP(S601,tblSchoolTerms[STermID],tblSchoolTerms[SemesterID]&amp;" Semester "&amp;tblSchoolTerms[SchoolYear])</f>
        <v>1 Semester S.Y. 2018-2019</v>
      </c>
      <c r="W6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1" t="e">
        <f t="array" ref="Y601">INDEX(tblEnrolledStuds[EStudID],MATCH(tblEnrolledSubjs[[#This Row],[EStudID]]&amp;S601,tblEnrolledStuds[AdmissionStatusID]&amp;tblEnrolledStuds[StudID],0))</f>
        <v>#N/A</v>
      </c>
    </row>
    <row r="602" spans="2:25" x14ac:dyDescent="0.25">
      <c r="B602">
        <v>600</v>
      </c>
      <c r="C602">
        <v>103</v>
      </c>
      <c r="D602">
        <v>80</v>
      </c>
      <c r="P602" t="str">
        <f t="shared" si="13"/>
        <v>(NULL,"103","80"),</v>
      </c>
      <c r="Q602" t="str">
        <f>TextJoin(tblEnrolledSubjs[[#This Row],[CSubjID]:[EStudID]],"Value")</f>
        <v>"103","80"</v>
      </c>
      <c r="S602">
        <f>LOOKUP(LOOKUP(tblEnrolledSubjs[[#This Row],[CSubjID]], tblClassSubjs[CSubjID],tblClassSubjs[ClassID]),tblClasses[ClassID],tblClasses[STermID])</f>
        <v>2</v>
      </c>
      <c r="T602" t="str">
        <f>LOOKUP(S602,tblSchoolTerms[STermID],tblSchoolTerms[SemesterID]&amp;" Semester "&amp;tblSchoolTerms[SchoolYear])</f>
        <v>1 Semester S.Y. 2018-2019</v>
      </c>
      <c r="W6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2" t="e">
        <f t="array" ref="Y602">INDEX(tblEnrolledStuds[EStudID],MATCH(tblEnrolledSubjs[[#This Row],[EStudID]]&amp;S602,tblEnrolledStuds[AdmissionStatusID]&amp;tblEnrolledStuds[StudID],0))</f>
        <v>#N/A</v>
      </c>
    </row>
    <row r="603" spans="2:25" x14ac:dyDescent="0.25">
      <c r="B603">
        <v>601</v>
      </c>
      <c r="C603">
        <v>103</v>
      </c>
      <c r="D603">
        <v>82</v>
      </c>
      <c r="P603" t="str">
        <f t="shared" si="13"/>
        <v>(NULL,"103","82"),</v>
      </c>
      <c r="Q603" t="str">
        <f>TextJoin(tblEnrolledSubjs[[#This Row],[CSubjID]:[EStudID]],"Value")</f>
        <v>"103","82"</v>
      </c>
      <c r="S603">
        <f>LOOKUP(LOOKUP(tblEnrolledSubjs[[#This Row],[CSubjID]], tblClassSubjs[CSubjID],tblClassSubjs[ClassID]),tblClasses[ClassID],tblClasses[STermID])</f>
        <v>2</v>
      </c>
      <c r="T603" t="str">
        <f>LOOKUP(S603,tblSchoolTerms[STermID],tblSchoolTerms[SemesterID]&amp;" Semester "&amp;tblSchoolTerms[SchoolYear])</f>
        <v>1 Semester S.Y. 2018-2019</v>
      </c>
      <c r="W6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3" t="e">
        <f t="array" ref="Y603">INDEX(tblEnrolledStuds[EStudID],MATCH(tblEnrolledSubjs[[#This Row],[EStudID]]&amp;S603,tblEnrolledStuds[AdmissionStatusID]&amp;tblEnrolledStuds[StudID],0))</f>
        <v>#N/A</v>
      </c>
    </row>
    <row r="604" spans="2:25" x14ac:dyDescent="0.25">
      <c r="B604">
        <v>602</v>
      </c>
      <c r="C604">
        <v>103</v>
      </c>
      <c r="D604">
        <v>84</v>
      </c>
      <c r="P604" t="str">
        <f t="shared" si="13"/>
        <v>(NULL,"103","84"),</v>
      </c>
      <c r="Q604" t="str">
        <f>TextJoin(tblEnrolledSubjs[[#This Row],[CSubjID]:[EStudID]],"Value")</f>
        <v>"103","84"</v>
      </c>
      <c r="S604">
        <f>LOOKUP(LOOKUP(tblEnrolledSubjs[[#This Row],[CSubjID]], tblClassSubjs[CSubjID],tblClassSubjs[ClassID]),tblClasses[ClassID],tblClasses[STermID])</f>
        <v>2</v>
      </c>
      <c r="T604" t="str">
        <f>LOOKUP(S604,tblSchoolTerms[STermID],tblSchoolTerms[SemesterID]&amp;" Semester "&amp;tblSchoolTerms[SchoolYear])</f>
        <v>1 Semester S.Y. 2018-2019</v>
      </c>
      <c r="W6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4" t="e">
        <f t="array" ref="Y604">INDEX(tblEnrolledStuds[EStudID],MATCH(tblEnrolledSubjs[[#This Row],[EStudID]]&amp;S604,tblEnrolledStuds[AdmissionStatusID]&amp;tblEnrolledStuds[StudID],0))</f>
        <v>#N/A</v>
      </c>
    </row>
    <row r="605" spans="2:25" x14ac:dyDescent="0.25">
      <c r="B605">
        <v>603</v>
      </c>
      <c r="C605">
        <v>103</v>
      </c>
      <c r="D605">
        <v>85</v>
      </c>
      <c r="P605" t="str">
        <f t="shared" si="13"/>
        <v>(NULL,"103","85"),</v>
      </c>
      <c r="Q605" t="str">
        <f>TextJoin(tblEnrolledSubjs[[#This Row],[CSubjID]:[EStudID]],"Value")</f>
        <v>"103","85"</v>
      </c>
      <c r="S605">
        <f>LOOKUP(LOOKUP(tblEnrolledSubjs[[#This Row],[CSubjID]], tblClassSubjs[CSubjID],tblClassSubjs[ClassID]),tblClasses[ClassID],tblClasses[STermID])</f>
        <v>2</v>
      </c>
      <c r="T605" t="str">
        <f>LOOKUP(S605,tblSchoolTerms[STermID],tblSchoolTerms[SemesterID]&amp;" Semester "&amp;tblSchoolTerms[SchoolYear])</f>
        <v>1 Semester S.Y. 2018-2019</v>
      </c>
      <c r="W6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5" t="e">
        <f t="array" ref="Y605">INDEX(tblEnrolledStuds[EStudID],MATCH(tblEnrolledSubjs[[#This Row],[EStudID]]&amp;S605,tblEnrolledStuds[AdmissionStatusID]&amp;tblEnrolledStuds[StudID],0))</f>
        <v>#N/A</v>
      </c>
    </row>
    <row r="606" spans="2:25" x14ac:dyDescent="0.25">
      <c r="B606">
        <v>604</v>
      </c>
      <c r="C606">
        <v>103</v>
      </c>
      <c r="D606">
        <v>78</v>
      </c>
      <c r="P606" t="str">
        <f t="shared" si="13"/>
        <v>(NULL,"103","78"),</v>
      </c>
      <c r="Q606" t="str">
        <f>TextJoin(tblEnrolledSubjs[[#This Row],[CSubjID]:[EStudID]],"Value")</f>
        <v>"103","78"</v>
      </c>
      <c r="S606">
        <f>LOOKUP(LOOKUP(tblEnrolledSubjs[[#This Row],[CSubjID]], tblClassSubjs[CSubjID],tblClassSubjs[ClassID]),tblClasses[ClassID],tblClasses[STermID])</f>
        <v>2</v>
      </c>
      <c r="T606" t="str">
        <f>LOOKUP(S606,tblSchoolTerms[STermID],tblSchoolTerms[SemesterID]&amp;" Semester "&amp;tblSchoolTerms[SchoolYear])</f>
        <v>1 Semester S.Y. 2018-2019</v>
      </c>
      <c r="W6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6" t="e">
        <f t="array" ref="Y606">INDEX(tblEnrolledStuds[EStudID],MATCH(tblEnrolledSubjs[[#This Row],[EStudID]]&amp;S606,tblEnrolledStuds[AdmissionStatusID]&amp;tblEnrolledStuds[StudID],0))</f>
        <v>#N/A</v>
      </c>
    </row>
    <row r="607" spans="2:25" x14ac:dyDescent="0.25">
      <c r="B607">
        <v>605</v>
      </c>
      <c r="C607">
        <v>104</v>
      </c>
      <c r="D607">
        <v>72</v>
      </c>
      <c r="P607" t="str">
        <f t="shared" si="13"/>
        <v>(NULL,"104","72"),</v>
      </c>
      <c r="Q607" t="str">
        <f>TextJoin(tblEnrolledSubjs[[#This Row],[CSubjID]:[EStudID]],"Value")</f>
        <v>"104","72"</v>
      </c>
      <c r="S607">
        <f>LOOKUP(LOOKUP(tblEnrolledSubjs[[#This Row],[CSubjID]], tblClassSubjs[CSubjID],tblClassSubjs[ClassID]),tblClasses[ClassID],tblClasses[STermID])</f>
        <v>2</v>
      </c>
      <c r="T607" t="str">
        <f>LOOKUP(S607,tblSchoolTerms[STermID],tblSchoolTerms[SemesterID]&amp;" Semester "&amp;tblSchoolTerms[SchoolYear])</f>
        <v>1 Semester S.Y. 2018-2019</v>
      </c>
      <c r="W6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7" t="e">
        <f t="array" ref="Y607">INDEX(tblEnrolledStuds[EStudID],MATCH(tblEnrolledSubjs[[#This Row],[EStudID]]&amp;S607,tblEnrolledStuds[AdmissionStatusID]&amp;tblEnrolledStuds[StudID],0))</f>
        <v>#N/A</v>
      </c>
    </row>
    <row r="608" spans="2:25" x14ac:dyDescent="0.25">
      <c r="B608">
        <v>606</v>
      </c>
      <c r="C608">
        <v>104</v>
      </c>
      <c r="D608">
        <v>73</v>
      </c>
      <c r="P608" t="str">
        <f t="shared" si="13"/>
        <v>(NULL,"104","73"),</v>
      </c>
      <c r="Q608" t="str">
        <f>TextJoin(tblEnrolledSubjs[[#This Row],[CSubjID]:[EStudID]],"Value")</f>
        <v>"104","73"</v>
      </c>
      <c r="S608">
        <f>LOOKUP(LOOKUP(tblEnrolledSubjs[[#This Row],[CSubjID]], tblClassSubjs[CSubjID],tblClassSubjs[ClassID]),tblClasses[ClassID],tblClasses[STermID])</f>
        <v>2</v>
      </c>
      <c r="T608" t="str">
        <f>LOOKUP(S608,tblSchoolTerms[STermID],tblSchoolTerms[SemesterID]&amp;" Semester "&amp;tblSchoolTerms[SchoolYear])</f>
        <v>1 Semester S.Y. 2018-2019</v>
      </c>
      <c r="W6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8" t="e">
        <f t="array" ref="Y608">INDEX(tblEnrolledStuds[EStudID],MATCH(tblEnrolledSubjs[[#This Row],[EStudID]]&amp;S608,tblEnrolledStuds[AdmissionStatusID]&amp;tblEnrolledStuds[StudID],0))</f>
        <v>#N/A</v>
      </c>
    </row>
    <row r="609" spans="2:25" x14ac:dyDescent="0.25">
      <c r="B609">
        <v>607</v>
      </c>
      <c r="C609">
        <v>104</v>
      </c>
      <c r="D609">
        <v>74</v>
      </c>
      <c r="P609" t="str">
        <f t="shared" si="13"/>
        <v>(NULL,"104","74"),</v>
      </c>
      <c r="Q609" t="str">
        <f>TextJoin(tblEnrolledSubjs[[#This Row],[CSubjID]:[EStudID]],"Value")</f>
        <v>"104","74"</v>
      </c>
      <c r="S609">
        <f>LOOKUP(LOOKUP(tblEnrolledSubjs[[#This Row],[CSubjID]], tblClassSubjs[CSubjID],tblClassSubjs[ClassID]),tblClasses[ClassID],tblClasses[STermID])</f>
        <v>2</v>
      </c>
      <c r="T609" t="str">
        <f>LOOKUP(S609,tblSchoolTerms[STermID],tblSchoolTerms[SemesterID]&amp;" Semester "&amp;tblSchoolTerms[SchoolYear])</f>
        <v>1 Semester S.Y. 2018-2019</v>
      </c>
      <c r="W6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09" t="e">
        <f t="array" ref="Y609">INDEX(tblEnrolledStuds[EStudID],MATCH(tblEnrolledSubjs[[#This Row],[EStudID]]&amp;S609,tblEnrolledStuds[AdmissionStatusID]&amp;tblEnrolledStuds[StudID],0))</f>
        <v>#N/A</v>
      </c>
    </row>
    <row r="610" spans="2:25" x14ac:dyDescent="0.25">
      <c r="B610">
        <v>608</v>
      </c>
      <c r="C610">
        <v>104</v>
      </c>
      <c r="D610">
        <v>76</v>
      </c>
      <c r="P610" t="str">
        <f t="shared" si="13"/>
        <v>(NULL,"104","76"),</v>
      </c>
      <c r="Q610" t="str">
        <f>TextJoin(tblEnrolledSubjs[[#This Row],[CSubjID]:[EStudID]],"Value")</f>
        <v>"104","76"</v>
      </c>
      <c r="S610">
        <f>LOOKUP(LOOKUP(tblEnrolledSubjs[[#This Row],[CSubjID]], tblClassSubjs[CSubjID],tblClassSubjs[ClassID]),tblClasses[ClassID],tblClasses[STermID])</f>
        <v>2</v>
      </c>
      <c r="T610" t="str">
        <f>LOOKUP(S610,tblSchoolTerms[STermID],tblSchoolTerms[SemesterID]&amp;" Semester "&amp;tblSchoolTerms[SchoolYear])</f>
        <v>1 Semester S.Y. 2018-2019</v>
      </c>
      <c r="W6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0" t="e">
        <f t="array" ref="Y610">INDEX(tblEnrolledStuds[EStudID],MATCH(tblEnrolledSubjs[[#This Row],[EStudID]]&amp;S610,tblEnrolledStuds[AdmissionStatusID]&amp;tblEnrolledStuds[StudID],0))</f>
        <v>#N/A</v>
      </c>
    </row>
    <row r="611" spans="2:25" x14ac:dyDescent="0.25">
      <c r="B611">
        <v>609</v>
      </c>
      <c r="C611">
        <v>104</v>
      </c>
      <c r="D611">
        <v>77</v>
      </c>
      <c r="P611" t="str">
        <f t="shared" si="13"/>
        <v>(NULL,"104","77"),</v>
      </c>
      <c r="Q611" t="str">
        <f>TextJoin(tblEnrolledSubjs[[#This Row],[CSubjID]:[EStudID]],"Value")</f>
        <v>"104","77"</v>
      </c>
      <c r="S611">
        <f>LOOKUP(LOOKUP(tblEnrolledSubjs[[#This Row],[CSubjID]], tblClassSubjs[CSubjID],tblClassSubjs[ClassID]),tblClasses[ClassID],tblClasses[STermID])</f>
        <v>2</v>
      </c>
      <c r="T611" t="str">
        <f>LOOKUP(S611,tblSchoolTerms[STermID],tblSchoolTerms[SemesterID]&amp;" Semester "&amp;tblSchoolTerms[SchoolYear])</f>
        <v>1 Semester S.Y. 2018-2019</v>
      </c>
      <c r="W6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1" t="e">
        <f t="array" ref="Y611">INDEX(tblEnrolledStuds[EStudID],MATCH(tblEnrolledSubjs[[#This Row],[EStudID]]&amp;S611,tblEnrolledStuds[AdmissionStatusID]&amp;tblEnrolledStuds[StudID],0))</f>
        <v>#N/A</v>
      </c>
    </row>
    <row r="612" spans="2:25" x14ac:dyDescent="0.25">
      <c r="B612">
        <v>610</v>
      </c>
      <c r="C612">
        <v>104</v>
      </c>
      <c r="D612">
        <v>79</v>
      </c>
      <c r="P612" t="str">
        <f t="shared" si="13"/>
        <v>(NULL,"104","79"),</v>
      </c>
      <c r="Q612" t="str">
        <f>TextJoin(tblEnrolledSubjs[[#This Row],[CSubjID]:[EStudID]],"Value")</f>
        <v>"104","79"</v>
      </c>
      <c r="S612">
        <f>LOOKUP(LOOKUP(tblEnrolledSubjs[[#This Row],[CSubjID]], tblClassSubjs[CSubjID],tblClassSubjs[ClassID]),tblClasses[ClassID],tblClasses[STermID])</f>
        <v>2</v>
      </c>
      <c r="T612" t="str">
        <f>LOOKUP(S612,tblSchoolTerms[STermID],tblSchoolTerms[SemesterID]&amp;" Semester "&amp;tblSchoolTerms[SchoolYear])</f>
        <v>1 Semester S.Y. 2018-2019</v>
      </c>
      <c r="W6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2" t="e">
        <f t="array" ref="Y612">INDEX(tblEnrolledStuds[EStudID],MATCH(tblEnrolledSubjs[[#This Row],[EStudID]]&amp;S612,tblEnrolledStuds[AdmissionStatusID]&amp;tblEnrolledStuds[StudID],0))</f>
        <v>#N/A</v>
      </c>
    </row>
    <row r="613" spans="2:25" x14ac:dyDescent="0.25">
      <c r="B613">
        <v>611</v>
      </c>
      <c r="C613">
        <v>104</v>
      </c>
      <c r="D613">
        <v>80</v>
      </c>
      <c r="P613" t="str">
        <f t="shared" si="13"/>
        <v>(NULL,"104","80"),</v>
      </c>
      <c r="Q613" t="str">
        <f>TextJoin(tblEnrolledSubjs[[#This Row],[CSubjID]:[EStudID]],"Value")</f>
        <v>"104","80"</v>
      </c>
      <c r="S613">
        <f>LOOKUP(LOOKUP(tblEnrolledSubjs[[#This Row],[CSubjID]], tblClassSubjs[CSubjID],tblClassSubjs[ClassID]),tblClasses[ClassID],tblClasses[STermID])</f>
        <v>2</v>
      </c>
      <c r="T613" t="str">
        <f>LOOKUP(S613,tblSchoolTerms[STermID],tblSchoolTerms[SemesterID]&amp;" Semester "&amp;tblSchoolTerms[SchoolYear])</f>
        <v>1 Semester S.Y. 2018-2019</v>
      </c>
      <c r="W6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3" t="e">
        <f t="array" ref="Y613">INDEX(tblEnrolledStuds[EStudID],MATCH(tblEnrolledSubjs[[#This Row],[EStudID]]&amp;S613,tblEnrolledStuds[AdmissionStatusID]&amp;tblEnrolledStuds[StudID],0))</f>
        <v>#N/A</v>
      </c>
    </row>
    <row r="614" spans="2:25" x14ac:dyDescent="0.25">
      <c r="B614">
        <v>612</v>
      </c>
      <c r="C614">
        <v>104</v>
      </c>
      <c r="D614">
        <v>82</v>
      </c>
      <c r="P614" t="str">
        <f t="shared" si="13"/>
        <v>(NULL,"104","82"),</v>
      </c>
      <c r="Q614" t="str">
        <f>TextJoin(tblEnrolledSubjs[[#This Row],[CSubjID]:[EStudID]],"Value")</f>
        <v>"104","82"</v>
      </c>
      <c r="S614">
        <f>LOOKUP(LOOKUP(tblEnrolledSubjs[[#This Row],[CSubjID]], tblClassSubjs[CSubjID],tblClassSubjs[ClassID]),tblClasses[ClassID],tblClasses[STermID])</f>
        <v>2</v>
      </c>
      <c r="T614" t="str">
        <f>LOOKUP(S614,tblSchoolTerms[STermID],tblSchoolTerms[SemesterID]&amp;" Semester "&amp;tblSchoolTerms[SchoolYear])</f>
        <v>1 Semester S.Y. 2018-2019</v>
      </c>
      <c r="W6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4" t="e">
        <f t="array" ref="Y614">INDEX(tblEnrolledStuds[EStudID],MATCH(tblEnrolledSubjs[[#This Row],[EStudID]]&amp;S614,tblEnrolledStuds[AdmissionStatusID]&amp;tblEnrolledStuds[StudID],0))</f>
        <v>#N/A</v>
      </c>
    </row>
    <row r="615" spans="2:25" x14ac:dyDescent="0.25">
      <c r="B615">
        <v>613</v>
      </c>
      <c r="C615">
        <v>104</v>
      </c>
      <c r="D615">
        <v>84</v>
      </c>
      <c r="P615" t="str">
        <f t="shared" si="13"/>
        <v>(NULL,"104","84"),</v>
      </c>
      <c r="Q615" t="str">
        <f>TextJoin(tblEnrolledSubjs[[#This Row],[CSubjID]:[EStudID]],"Value")</f>
        <v>"104","84"</v>
      </c>
      <c r="S615">
        <f>LOOKUP(LOOKUP(tblEnrolledSubjs[[#This Row],[CSubjID]], tblClassSubjs[CSubjID],tblClassSubjs[ClassID]),tblClasses[ClassID],tblClasses[STermID])</f>
        <v>2</v>
      </c>
      <c r="T615" t="str">
        <f>LOOKUP(S615,tblSchoolTerms[STermID],tblSchoolTerms[SemesterID]&amp;" Semester "&amp;tblSchoolTerms[SchoolYear])</f>
        <v>1 Semester S.Y. 2018-2019</v>
      </c>
      <c r="W6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5" t="e">
        <f t="array" ref="Y615">INDEX(tblEnrolledStuds[EStudID],MATCH(tblEnrolledSubjs[[#This Row],[EStudID]]&amp;S615,tblEnrolledStuds[AdmissionStatusID]&amp;tblEnrolledStuds[StudID],0))</f>
        <v>#N/A</v>
      </c>
    </row>
    <row r="616" spans="2:25" x14ac:dyDescent="0.25">
      <c r="B616">
        <v>614</v>
      </c>
      <c r="C616">
        <v>104</v>
      </c>
      <c r="D616">
        <v>85</v>
      </c>
      <c r="P616" t="str">
        <f t="shared" si="13"/>
        <v>(NULL,"104","85"),</v>
      </c>
      <c r="Q616" t="str">
        <f>TextJoin(tblEnrolledSubjs[[#This Row],[CSubjID]:[EStudID]],"Value")</f>
        <v>"104","85"</v>
      </c>
      <c r="S616">
        <f>LOOKUP(LOOKUP(tblEnrolledSubjs[[#This Row],[CSubjID]], tblClassSubjs[CSubjID],tblClassSubjs[ClassID]),tblClasses[ClassID],tblClasses[STermID])</f>
        <v>2</v>
      </c>
      <c r="T616" t="str">
        <f>LOOKUP(S616,tblSchoolTerms[STermID],tblSchoolTerms[SemesterID]&amp;" Semester "&amp;tblSchoolTerms[SchoolYear])</f>
        <v>1 Semester S.Y. 2018-2019</v>
      </c>
      <c r="W6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6" t="e">
        <f t="array" ref="Y616">INDEX(tblEnrolledStuds[EStudID],MATCH(tblEnrolledSubjs[[#This Row],[EStudID]]&amp;S616,tblEnrolledStuds[AdmissionStatusID]&amp;tblEnrolledStuds[StudID],0))</f>
        <v>#N/A</v>
      </c>
    </row>
    <row r="617" spans="2:25" x14ac:dyDescent="0.25">
      <c r="B617">
        <v>615</v>
      </c>
      <c r="C617">
        <v>104</v>
      </c>
      <c r="D617">
        <v>78</v>
      </c>
      <c r="P617" t="str">
        <f t="shared" si="13"/>
        <v>(NULL,"104","78"),</v>
      </c>
      <c r="Q617" t="str">
        <f>TextJoin(tblEnrolledSubjs[[#This Row],[CSubjID]:[EStudID]],"Value")</f>
        <v>"104","78"</v>
      </c>
      <c r="S617">
        <f>LOOKUP(LOOKUP(tblEnrolledSubjs[[#This Row],[CSubjID]], tblClassSubjs[CSubjID],tblClassSubjs[ClassID]),tblClasses[ClassID],tblClasses[STermID])</f>
        <v>2</v>
      </c>
      <c r="T617" t="str">
        <f>LOOKUP(S617,tblSchoolTerms[STermID],tblSchoolTerms[SemesterID]&amp;" Semester "&amp;tblSchoolTerms[SchoolYear])</f>
        <v>1 Semester S.Y. 2018-2019</v>
      </c>
      <c r="W6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7" t="e">
        <f t="array" ref="Y617">INDEX(tblEnrolledStuds[EStudID],MATCH(tblEnrolledSubjs[[#This Row],[EStudID]]&amp;S617,tblEnrolledStuds[AdmissionStatusID]&amp;tblEnrolledStuds[StudID],0))</f>
        <v>#N/A</v>
      </c>
    </row>
    <row r="618" spans="2:25" x14ac:dyDescent="0.25">
      <c r="B618">
        <v>616</v>
      </c>
      <c r="C618">
        <v>119</v>
      </c>
      <c r="D618" s="24">
        <v>75</v>
      </c>
      <c r="P618" t="str">
        <f t="shared" si="13"/>
        <v>(NULL,"119","75"),</v>
      </c>
      <c r="Q618" t="str">
        <f>TextJoin(tblEnrolledSubjs[[#This Row],[CSubjID]:[EStudID]],"Value")</f>
        <v>"119","75"</v>
      </c>
      <c r="S618">
        <f>LOOKUP(LOOKUP(tblEnrolledSubjs[[#This Row],[CSubjID]], tblClassSubjs[CSubjID],tblClassSubjs[ClassID]),tblClasses[ClassID],tblClasses[STermID])</f>
        <v>2</v>
      </c>
      <c r="T618" t="str">
        <f>LOOKUP(S618,tblSchoolTerms[STermID],tblSchoolTerms[SemesterID]&amp;" Semester "&amp;tblSchoolTerms[SchoolYear])</f>
        <v>1 Semester S.Y. 2018-2019</v>
      </c>
      <c r="W6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8" t="e">
        <f t="array" ref="Y618">INDEX(tblEnrolledStuds[EStudID],MATCH(tblEnrolledSubjs[[#This Row],[EStudID]]&amp;S618,tblEnrolledStuds[AdmissionStatusID]&amp;tblEnrolledStuds[StudID],0))</f>
        <v>#N/A</v>
      </c>
    </row>
    <row r="619" spans="2:25" x14ac:dyDescent="0.25">
      <c r="B619">
        <v>617</v>
      </c>
      <c r="C619">
        <v>119</v>
      </c>
      <c r="D619" s="24">
        <v>81</v>
      </c>
      <c r="P619" t="str">
        <f t="shared" si="13"/>
        <v>(NULL,"119","81"),</v>
      </c>
      <c r="Q619" t="str">
        <f>TextJoin(tblEnrolledSubjs[[#This Row],[CSubjID]:[EStudID]],"Value")</f>
        <v>"119","81"</v>
      </c>
      <c r="S619">
        <f>LOOKUP(LOOKUP(tblEnrolledSubjs[[#This Row],[CSubjID]], tblClassSubjs[CSubjID],tblClassSubjs[ClassID]),tblClasses[ClassID],tblClasses[STermID])</f>
        <v>2</v>
      </c>
      <c r="T619" t="str">
        <f>LOOKUP(S619,tblSchoolTerms[STermID],tblSchoolTerms[SemesterID]&amp;" Semester "&amp;tblSchoolTerms[SchoolYear])</f>
        <v>1 Semester S.Y. 2018-2019</v>
      </c>
      <c r="W6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19" t="e">
        <f t="array" ref="Y619">INDEX(tblEnrolledStuds[EStudID],MATCH(tblEnrolledSubjs[[#This Row],[EStudID]]&amp;S619,tblEnrolledStuds[AdmissionStatusID]&amp;tblEnrolledStuds[StudID],0))</f>
        <v>#N/A</v>
      </c>
    </row>
    <row r="620" spans="2:25" x14ac:dyDescent="0.25">
      <c r="B620">
        <v>618</v>
      </c>
      <c r="C620">
        <v>119</v>
      </c>
      <c r="D620" s="24">
        <v>83</v>
      </c>
      <c r="P620" t="str">
        <f t="shared" si="13"/>
        <v>(NULL,"119","83"),</v>
      </c>
      <c r="Q620" t="str">
        <f>TextJoin(tblEnrolledSubjs[[#This Row],[CSubjID]:[EStudID]],"Value")</f>
        <v>"119","83"</v>
      </c>
      <c r="S620">
        <f>LOOKUP(LOOKUP(tblEnrolledSubjs[[#This Row],[CSubjID]], tblClassSubjs[CSubjID],tblClassSubjs[ClassID]),tblClasses[ClassID],tblClasses[STermID])</f>
        <v>2</v>
      </c>
      <c r="T620" t="str">
        <f>LOOKUP(S620,tblSchoolTerms[STermID],tblSchoolTerms[SemesterID]&amp;" Semester "&amp;tblSchoolTerms[SchoolYear])</f>
        <v>1 Semester S.Y. 2018-2019</v>
      </c>
      <c r="W6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0" t="e">
        <f t="array" ref="Y620">INDEX(tblEnrolledStuds[EStudID],MATCH(tblEnrolledSubjs[[#This Row],[EStudID]]&amp;S620,tblEnrolledStuds[AdmissionStatusID]&amp;tblEnrolledStuds[StudID],0))</f>
        <v>#N/A</v>
      </c>
    </row>
    <row r="621" spans="2:25" x14ac:dyDescent="0.25">
      <c r="B621">
        <v>619</v>
      </c>
      <c r="C621">
        <v>119</v>
      </c>
      <c r="D621" s="24">
        <v>86</v>
      </c>
      <c r="P621" t="str">
        <f t="shared" si="13"/>
        <v>(NULL,"119","86"),</v>
      </c>
      <c r="Q621" t="str">
        <f>TextJoin(tblEnrolledSubjs[[#This Row],[CSubjID]:[EStudID]],"Value")</f>
        <v>"119","86"</v>
      </c>
      <c r="S621">
        <f>LOOKUP(LOOKUP(tblEnrolledSubjs[[#This Row],[CSubjID]], tblClassSubjs[CSubjID],tblClassSubjs[ClassID]),tblClasses[ClassID],tblClasses[STermID])</f>
        <v>2</v>
      </c>
      <c r="T621" t="str">
        <f>LOOKUP(S621,tblSchoolTerms[STermID],tblSchoolTerms[SemesterID]&amp;" Semester "&amp;tblSchoolTerms[SchoolYear])</f>
        <v>1 Semester S.Y. 2018-2019</v>
      </c>
      <c r="W6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21" t="e">
        <f t="array" ref="Y621">INDEX(tblEnrolledStuds[EStudID],MATCH(tblEnrolledSubjs[[#This Row],[EStudID]]&amp;S621,tblEnrolledStuds[AdmissionStatusID]&amp;tblEnrolledStuds[StudID],0))</f>
        <v>#N/A</v>
      </c>
    </row>
    <row r="622" spans="2:25" x14ac:dyDescent="0.25">
      <c r="B622">
        <v>620</v>
      </c>
      <c r="C622">
        <v>119</v>
      </c>
      <c r="D622" s="24">
        <v>87</v>
      </c>
      <c r="P622" t="str">
        <f t="shared" si="13"/>
        <v>(NULL,"119","87"),</v>
      </c>
      <c r="Q622" t="str">
        <f>TextJoin(tblEnrolledSubjs[[#This Row],[CSubjID]:[EStudID]],"Value")</f>
        <v>"119","87"</v>
      </c>
      <c r="S622">
        <f>LOOKUP(LOOKUP(tblEnrolledSubjs[[#This Row],[CSubjID]], tblClassSubjs[CSubjID],tblClassSubjs[ClassID]),tblClasses[ClassID],tblClasses[STermID])</f>
        <v>2</v>
      </c>
      <c r="T622" t="str">
        <f>LOOKUP(S622,tblSchoolTerms[STermID],tblSchoolTerms[SemesterID]&amp;" Semester "&amp;tblSchoolTerms[SchoolYear])</f>
        <v>1 Semester S.Y. 2018-2019</v>
      </c>
      <c r="W6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2" t="e">
        <f t="array" ref="Y622">INDEX(tblEnrolledStuds[EStudID],MATCH(tblEnrolledSubjs[[#This Row],[EStudID]]&amp;S622,tblEnrolledStuds[AdmissionStatusID]&amp;tblEnrolledStuds[StudID],0))</f>
        <v>#N/A</v>
      </c>
    </row>
    <row r="623" spans="2:25" x14ac:dyDescent="0.25">
      <c r="B623">
        <v>621</v>
      </c>
      <c r="C623">
        <v>119</v>
      </c>
      <c r="D623" s="24">
        <v>88</v>
      </c>
      <c r="P623" t="str">
        <f t="shared" si="13"/>
        <v>(NULL,"119","88"),</v>
      </c>
      <c r="Q623" t="str">
        <f>TextJoin(tblEnrolledSubjs[[#This Row],[CSubjID]:[EStudID]],"Value")</f>
        <v>"119","88"</v>
      </c>
      <c r="S623">
        <f>LOOKUP(LOOKUP(tblEnrolledSubjs[[#This Row],[CSubjID]], tblClassSubjs[CSubjID],tblClassSubjs[ClassID]),tblClasses[ClassID],tblClasses[STermID])</f>
        <v>2</v>
      </c>
      <c r="T623" t="str">
        <f>LOOKUP(S623,tblSchoolTerms[STermID],tblSchoolTerms[SemesterID]&amp;" Semester "&amp;tblSchoolTerms[SchoolYear])</f>
        <v>1 Semester S.Y. 2018-2019</v>
      </c>
      <c r="W6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3" t="e">
        <f t="array" ref="Y623">INDEX(tblEnrolledStuds[EStudID],MATCH(tblEnrolledSubjs[[#This Row],[EStudID]]&amp;S623,tblEnrolledStuds[AdmissionStatusID]&amp;tblEnrolledStuds[StudID],0))</f>
        <v>#N/A</v>
      </c>
    </row>
    <row r="624" spans="2:25" x14ac:dyDescent="0.25">
      <c r="B624">
        <v>622</v>
      </c>
      <c r="C624">
        <v>120</v>
      </c>
      <c r="D624">
        <v>75</v>
      </c>
      <c r="F624" s="28"/>
      <c r="P624" t="str">
        <f t="shared" si="13"/>
        <v>(NULL,"120","75"),</v>
      </c>
      <c r="Q624" t="str">
        <f>TextJoin(tblEnrolledSubjs[[#This Row],[CSubjID]:[EStudID]],"Value")</f>
        <v>"120","75"</v>
      </c>
      <c r="S624">
        <f>LOOKUP(LOOKUP(tblEnrolledSubjs[[#This Row],[CSubjID]], tblClassSubjs[CSubjID],tblClassSubjs[ClassID]),tblClasses[ClassID],tblClasses[STermID])</f>
        <v>2</v>
      </c>
      <c r="T624" t="str">
        <f>LOOKUP(S624,tblSchoolTerms[STermID],tblSchoolTerms[SemesterID]&amp;" Semester "&amp;tblSchoolTerms[SchoolYear])</f>
        <v>1 Semester S.Y. 2018-2019</v>
      </c>
      <c r="W6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4" t="e">
        <f t="array" ref="Y624">INDEX(tblEnrolledStuds[EStudID],MATCH(tblEnrolledSubjs[[#This Row],[EStudID]]&amp;S624,tblEnrolledStuds[AdmissionStatusID]&amp;tblEnrolledStuds[StudID],0))</f>
        <v>#N/A</v>
      </c>
    </row>
    <row r="625" spans="2:25" x14ac:dyDescent="0.25">
      <c r="B625">
        <v>623</v>
      </c>
      <c r="C625">
        <v>120</v>
      </c>
      <c r="D625">
        <v>81</v>
      </c>
      <c r="P625" t="str">
        <f t="shared" si="13"/>
        <v>(NULL,"120","81"),</v>
      </c>
      <c r="Q625" t="str">
        <f>TextJoin(tblEnrolledSubjs[[#This Row],[CSubjID]:[EStudID]],"Value")</f>
        <v>"120","81"</v>
      </c>
      <c r="S625">
        <f>LOOKUP(LOOKUP(tblEnrolledSubjs[[#This Row],[CSubjID]], tblClassSubjs[CSubjID],tblClassSubjs[ClassID]),tblClasses[ClassID],tblClasses[STermID])</f>
        <v>2</v>
      </c>
      <c r="T625" t="str">
        <f>LOOKUP(S625,tblSchoolTerms[STermID],tblSchoolTerms[SemesterID]&amp;" Semester "&amp;tblSchoolTerms[SchoolYear])</f>
        <v>1 Semester S.Y. 2018-2019</v>
      </c>
      <c r="W6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5" t="e">
        <f t="array" ref="Y625">INDEX(tblEnrolledStuds[EStudID],MATCH(tblEnrolledSubjs[[#This Row],[EStudID]]&amp;S625,tblEnrolledStuds[AdmissionStatusID]&amp;tblEnrolledStuds[StudID],0))</f>
        <v>#N/A</v>
      </c>
    </row>
    <row r="626" spans="2:25" x14ac:dyDescent="0.25">
      <c r="B626">
        <v>624</v>
      </c>
      <c r="C626">
        <v>120</v>
      </c>
      <c r="D626">
        <v>83</v>
      </c>
      <c r="P626" t="str">
        <f t="shared" si="13"/>
        <v>(NULL,"120","83"),</v>
      </c>
      <c r="Q626" t="str">
        <f>TextJoin(tblEnrolledSubjs[[#This Row],[CSubjID]:[EStudID]],"Value")</f>
        <v>"120","83"</v>
      </c>
      <c r="S626">
        <f>LOOKUP(LOOKUP(tblEnrolledSubjs[[#This Row],[CSubjID]], tblClassSubjs[CSubjID],tblClassSubjs[ClassID]),tblClasses[ClassID],tblClasses[STermID])</f>
        <v>2</v>
      </c>
      <c r="T626" t="str">
        <f>LOOKUP(S626,tblSchoolTerms[STermID],tblSchoolTerms[SemesterID]&amp;" Semester "&amp;tblSchoolTerms[SchoolYear])</f>
        <v>1 Semester S.Y. 2018-2019</v>
      </c>
      <c r="W6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6" t="e">
        <f t="array" ref="Y626">INDEX(tblEnrolledStuds[EStudID],MATCH(tblEnrolledSubjs[[#This Row],[EStudID]]&amp;S626,tblEnrolledStuds[AdmissionStatusID]&amp;tblEnrolledStuds[StudID],0))</f>
        <v>#N/A</v>
      </c>
    </row>
    <row r="627" spans="2:25" x14ac:dyDescent="0.25">
      <c r="B627">
        <v>625</v>
      </c>
      <c r="C627">
        <v>120</v>
      </c>
      <c r="D627">
        <v>86</v>
      </c>
      <c r="E627" s="4"/>
      <c r="F627" s="4"/>
      <c r="H627" s="4"/>
      <c r="I627" s="4"/>
      <c r="P627" t="str">
        <f t="shared" si="13"/>
        <v>(NULL,"120","86"),</v>
      </c>
      <c r="Q627" t="str">
        <f>TextJoin(tblEnrolledSubjs[[#This Row],[CSubjID]:[EStudID]],"Value")</f>
        <v>"120","86"</v>
      </c>
      <c r="S627">
        <f>LOOKUP(LOOKUP(tblEnrolledSubjs[[#This Row],[CSubjID]], tblClassSubjs[CSubjID],tblClassSubjs[ClassID]),tblClasses[ClassID],tblClasses[STermID])</f>
        <v>2</v>
      </c>
      <c r="T627" t="str">
        <f>LOOKUP(S627,tblSchoolTerms[STermID],tblSchoolTerms[SemesterID]&amp;" Semester "&amp;tblSchoolTerms[SchoolYear])</f>
        <v>1 Semester S.Y. 2018-2019</v>
      </c>
      <c r="W6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27" t="e">
        <f t="array" ref="Y627">INDEX(tblEnrolledStuds[EStudID],MATCH(tblEnrolledSubjs[[#This Row],[EStudID]]&amp;S627,tblEnrolledStuds[AdmissionStatusID]&amp;tblEnrolledStuds[StudID],0))</f>
        <v>#N/A</v>
      </c>
    </row>
    <row r="628" spans="2:25" x14ac:dyDescent="0.25">
      <c r="B628">
        <v>626</v>
      </c>
      <c r="C628">
        <v>120</v>
      </c>
      <c r="D628">
        <v>87</v>
      </c>
      <c r="P628" t="str">
        <f t="shared" si="13"/>
        <v>(NULL,"120","87"),</v>
      </c>
      <c r="Q628" t="str">
        <f>TextJoin(tblEnrolledSubjs[[#This Row],[CSubjID]:[EStudID]],"Value")</f>
        <v>"120","87"</v>
      </c>
      <c r="S628">
        <f>LOOKUP(LOOKUP(tblEnrolledSubjs[[#This Row],[CSubjID]], tblClassSubjs[CSubjID],tblClassSubjs[ClassID]),tblClasses[ClassID],tblClasses[STermID])</f>
        <v>2</v>
      </c>
      <c r="T628" t="str">
        <f>LOOKUP(S628,tblSchoolTerms[STermID],tblSchoolTerms[SemesterID]&amp;" Semester "&amp;tblSchoolTerms[SchoolYear])</f>
        <v>1 Semester S.Y. 2018-2019</v>
      </c>
      <c r="W6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8" t="e">
        <f t="array" ref="Y628">INDEX(tblEnrolledStuds[EStudID],MATCH(tblEnrolledSubjs[[#This Row],[EStudID]]&amp;S628,tblEnrolledStuds[AdmissionStatusID]&amp;tblEnrolledStuds[StudID],0))</f>
        <v>#N/A</v>
      </c>
    </row>
    <row r="629" spans="2:25" x14ac:dyDescent="0.25">
      <c r="B629">
        <v>627</v>
      </c>
      <c r="C629">
        <v>120</v>
      </c>
      <c r="D629">
        <v>88</v>
      </c>
      <c r="P629" t="str">
        <f t="shared" si="13"/>
        <v>(NULL,"120","88"),</v>
      </c>
      <c r="Q629" t="str">
        <f>TextJoin(tblEnrolledSubjs[[#This Row],[CSubjID]:[EStudID]],"Value")</f>
        <v>"120","88"</v>
      </c>
      <c r="S629">
        <f>LOOKUP(LOOKUP(tblEnrolledSubjs[[#This Row],[CSubjID]], tblClassSubjs[CSubjID],tblClassSubjs[ClassID]),tblClasses[ClassID],tblClasses[STermID])</f>
        <v>2</v>
      </c>
      <c r="T629" t="str">
        <f>LOOKUP(S629,tblSchoolTerms[STermID],tblSchoolTerms[SemesterID]&amp;" Semester "&amp;tblSchoolTerms[SchoolYear])</f>
        <v>1 Semester S.Y. 2018-2019</v>
      </c>
      <c r="W6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29" t="e">
        <f t="array" ref="Y629">INDEX(tblEnrolledStuds[EStudID],MATCH(tblEnrolledSubjs[[#This Row],[EStudID]]&amp;S629,tblEnrolledStuds[AdmissionStatusID]&amp;tblEnrolledStuds[StudID],0))</f>
        <v>#N/A</v>
      </c>
    </row>
    <row r="630" spans="2:25" x14ac:dyDescent="0.25">
      <c r="B630">
        <v>628</v>
      </c>
      <c r="C630">
        <v>121</v>
      </c>
      <c r="D630">
        <v>75</v>
      </c>
      <c r="P630" t="str">
        <f t="shared" si="13"/>
        <v>(NULL,"121","75"),</v>
      </c>
      <c r="Q630" t="str">
        <f>TextJoin(tblEnrolledSubjs[[#This Row],[CSubjID]:[EStudID]],"Value")</f>
        <v>"121","75"</v>
      </c>
      <c r="S630">
        <f>LOOKUP(LOOKUP(tblEnrolledSubjs[[#This Row],[CSubjID]], tblClassSubjs[CSubjID],tblClassSubjs[ClassID]),tblClasses[ClassID],tblClasses[STermID])</f>
        <v>2</v>
      </c>
      <c r="T630" t="str">
        <f>LOOKUP(S630,tblSchoolTerms[STermID],tblSchoolTerms[SemesterID]&amp;" Semester "&amp;tblSchoolTerms[SchoolYear])</f>
        <v>1 Semester S.Y. 2018-2019</v>
      </c>
      <c r="W6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0" t="e">
        <f t="array" ref="Y630">INDEX(tblEnrolledStuds[EStudID],MATCH(tblEnrolledSubjs[[#This Row],[EStudID]]&amp;S630,tblEnrolledStuds[AdmissionStatusID]&amp;tblEnrolledStuds[StudID],0))</f>
        <v>#N/A</v>
      </c>
    </row>
    <row r="631" spans="2:25" x14ac:dyDescent="0.25">
      <c r="B631">
        <v>629</v>
      </c>
      <c r="C631">
        <v>121</v>
      </c>
      <c r="D631">
        <v>81</v>
      </c>
      <c r="P631" t="str">
        <f t="shared" si="13"/>
        <v>(NULL,"121","81"),</v>
      </c>
      <c r="Q631" t="str">
        <f>TextJoin(tblEnrolledSubjs[[#This Row],[CSubjID]:[EStudID]],"Value")</f>
        <v>"121","81"</v>
      </c>
      <c r="S631">
        <f>LOOKUP(LOOKUP(tblEnrolledSubjs[[#This Row],[CSubjID]], tblClassSubjs[CSubjID],tblClassSubjs[ClassID]),tblClasses[ClassID],tblClasses[STermID])</f>
        <v>2</v>
      </c>
      <c r="T631" t="str">
        <f>LOOKUP(S631,tblSchoolTerms[STermID],tblSchoolTerms[SemesterID]&amp;" Semester "&amp;tblSchoolTerms[SchoolYear])</f>
        <v>1 Semester S.Y. 2018-2019</v>
      </c>
      <c r="W6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1" t="e">
        <f t="array" ref="Y631">INDEX(tblEnrolledStuds[EStudID],MATCH(tblEnrolledSubjs[[#This Row],[EStudID]]&amp;S631,tblEnrolledStuds[AdmissionStatusID]&amp;tblEnrolledStuds[StudID],0))</f>
        <v>#N/A</v>
      </c>
    </row>
    <row r="632" spans="2:25" x14ac:dyDescent="0.25">
      <c r="B632">
        <v>630</v>
      </c>
      <c r="C632">
        <v>121</v>
      </c>
      <c r="D632">
        <v>83</v>
      </c>
      <c r="P632" t="str">
        <f t="shared" si="13"/>
        <v>(NULL,"121","83"),</v>
      </c>
      <c r="Q632" t="str">
        <f>TextJoin(tblEnrolledSubjs[[#This Row],[CSubjID]:[EStudID]],"Value")</f>
        <v>"121","83"</v>
      </c>
      <c r="S632">
        <f>LOOKUP(LOOKUP(tblEnrolledSubjs[[#This Row],[CSubjID]], tblClassSubjs[CSubjID],tblClassSubjs[ClassID]),tblClasses[ClassID],tblClasses[STermID])</f>
        <v>2</v>
      </c>
      <c r="T632" t="str">
        <f>LOOKUP(S632,tblSchoolTerms[STermID],tblSchoolTerms[SemesterID]&amp;" Semester "&amp;tblSchoolTerms[SchoolYear])</f>
        <v>1 Semester S.Y. 2018-2019</v>
      </c>
      <c r="W6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2" t="e">
        <f t="array" ref="Y632">INDEX(tblEnrolledStuds[EStudID],MATCH(tblEnrolledSubjs[[#This Row],[EStudID]]&amp;S632,tblEnrolledStuds[AdmissionStatusID]&amp;tblEnrolledStuds[StudID],0))</f>
        <v>#N/A</v>
      </c>
    </row>
    <row r="633" spans="2:25" x14ac:dyDescent="0.25">
      <c r="B633">
        <v>631</v>
      </c>
      <c r="C633">
        <v>121</v>
      </c>
      <c r="D633">
        <v>86</v>
      </c>
      <c r="P633" t="str">
        <f t="shared" si="13"/>
        <v>(NULL,"121","86"),</v>
      </c>
      <c r="Q633" t="str">
        <f>TextJoin(tblEnrolledSubjs[[#This Row],[CSubjID]:[EStudID]],"Value")</f>
        <v>"121","86"</v>
      </c>
      <c r="S633">
        <f>LOOKUP(LOOKUP(tblEnrolledSubjs[[#This Row],[CSubjID]], tblClassSubjs[CSubjID],tblClassSubjs[ClassID]),tblClasses[ClassID],tblClasses[STermID])</f>
        <v>2</v>
      </c>
      <c r="T633" t="str">
        <f>LOOKUP(S633,tblSchoolTerms[STermID],tblSchoolTerms[SemesterID]&amp;" Semester "&amp;tblSchoolTerms[SchoolYear])</f>
        <v>1 Semester S.Y. 2018-2019</v>
      </c>
      <c r="W6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33" t="e">
        <f t="array" ref="Y633">INDEX(tblEnrolledStuds[EStudID],MATCH(tblEnrolledSubjs[[#This Row],[EStudID]]&amp;S633,tblEnrolledStuds[AdmissionStatusID]&amp;tblEnrolledStuds[StudID],0))</f>
        <v>#N/A</v>
      </c>
    </row>
    <row r="634" spans="2:25" x14ac:dyDescent="0.25">
      <c r="B634">
        <v>632</v>
      </c>
      <c r="C634">
        <v>121</v>
      </c>
      <c r="D634">
        <v>87</v>
      </c>
      <c r="P634" t="str">
        <f t="shared" si="13"/>
        <v>(NULL,"121","87"),</v>
      </c>
      <c r="Q634" t="str">
        <f>TextJoin(tblEnrolledSubjs[[#This Row],[CSubjID]:[EStudID]],"Value")</f>
        <v>"121","87"</v>
      </c>
      <c r="S634">
        <f>LOOKUP(LOOKUP(tblEnrolledSubjs[[#This Row],[CSubjID]], tblClassSubjs[CSubjID],tblClassSubjs[ClassID]),tblClasses[ClassID],tblClasses[STermID])</f>
        <v>2</v>
      </c>
      <c r="T634" t="str">
        <f>LOOKUP(S634,tblSchoolTerms[STermID],tblSchoolTerms[SemesterID]&amp;" Semester "&amp;tblSchoolTerms[SchoolYear])</f>
        <v>1 Semester S.Y. 2018-2019</v>
      </c>
      <c r="W6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4" t="e">
        <f t="array" ref="Y634">INDEX(tblEnrolledStuds[EStudID],MATCH(tblEnrolledSubjs[[#This Row],[EStudID]]&amp;S634,tblEnrolledStuds[AdmissionStatusID]&amp;tblEnrolledStuds[StudID],0))</f>
        <v>#N/A</v>
      </c>
    </row>
    <row r="635" spans="2:25" x14ac:dyDescent="0.25">
      <c r="B635">
        <v>633</v>
      </c>
      <c r="C635">
        <v>121</v>
      </c>
      <c r="D635">
        <v>88</v>
      </c>
      <c r="P635" t="str">
        <f t="shared" si="13"/>
        <v>(NULL,"121","88"),</v>
      </c>
      <c r="Q635" t="str">
        <f>TextJoin(tblEnrolledSubjs[[#This Row],[CSubjID]:[EStudID]],"Value")</f>
        <v>"121","88"</v>
      </c>
      <c r="S635">
        <f>LOOKUP(LOOKUP(tblEnrolledSubjs[[#This Row],[CSubjID]], tblClassSubjs[CSubjID],tblClassSubjs[ClassID]),tblClasses[ClassID],tblClasses[STermID])</f>
        <v>2</v>
      </c>
      <c r="T635" t="str">
        <f>LOOKUP(S635,tblSchoolTerms[STermID],tblSchoolTerms[SemesterID]&amp;" Semester "&amp;tblSchoolTerms[SchoolYear])</f>
        <v>1 Semester S.Y. 2018-2019</v>
      </c>
      <c r="W6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5" t="e">
        <f t="array" ref="Y635">INDEX(tblEnrolledStuds[EStudID],MATCH(tblEnrolledSubjs[[#This Row],[EStudID]]&amp;S635,tblEnrolledStuds[AdmissionStatusID]&amp;tblEnrolledStuds[StudID],0))</f>
        <v>#N/A</v>
      </c>
    </row>
    <row r="636" spans="2:25" x14ac:dyDescent="0.25">
      <c r="B636">
        <v>634</v>
      </c>
      <c r="C636">
        <v>122</v>
      </c>
      <c r="D636">
        <v>75</v>
      </c>
      <c r="P636" t="str">
        <f t="shared" si="13"/>
        <v>(NULL,"122","75"),</v>
      </c>
      <c r="Q636" t="str">
        <f>TextJoin(tblEnrolledSubjs[[#This Row],[CSubjID]:[EStudID]],"Value")</f>
        <v>"122","75"</v>
      </c>
      <c r="S636">
        <f>LOOKUP(LOOKUP(tblEnrolledSubjs[[#This Row],[CSubjID]], tblClassSubjs[CSubjID],tblClassSubjs[ClassID]),tblClasses[ClassID],tblClasses[STermID])</f>
        <v>2</v>
      </c>
      <c r="T636" t="str">
        <f>LOOKUP(S636,tblSchoolTerms[STermID],tblSchoolTerms[SemesterID]&amp;" Semester "&amp;tblSchoolTerms[SchoolYear])</f>
        <v>1 Semester S.Y. 2018-2019</v>
      </c>
      <c r="W6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6" t="e">
        <f t="array" ref="Y636">INDEX(tblEnrolledStuds[EStudID],MATCH(tblEnrolledSubjs[[#This Row],[EStudID]]&amp;S636,tblEnrolledStuds[AdmissionStatusID]&amp;tblEnrolledStuds[StudID],0))</f>
        <v>#N/A</v>
      </c>
    </row>
    <row r="637" spans="2:25" x14ac:dyDescent="0.25">
      <c r="B637">
        <v>635</v>
      </c>
      <c r="C637">
        <v>122</v>
      </c>
      <c r="D637">
        <v>81</v>
      </c>
      <c r="P637" t="str">
        <f t="shared" si="13"/>
        <v>(NULL,"122","81"),</v>
      </c>
      <c r="Q637" t="str">
        <f>TextJoin(tblEnrolledSubjs[[#This Row],[CSubjID]:[EStudID]],"Value")</f>
        <v>"122","81"</v>
      </c>
      <c r="S637">
        <f>LOOKUP(LOOKUP(tblEnrolledSubjs[[#This Row],[CSubjID]], tblClassSubjs[CSubjID],tblClassSubjs[ClassID]),tblClasses[ClassID],tblClasses[STermID])</f>
        <v>2</v>
      </c>
      <c r="T637" t="str">
        <f>LOOKUP(S637,tblSchoolTerms[STermID],tblSchoolTerms[SemesterID]&amp;" Semester "&amp;tblSchoolTerms[SchoolYear])</f>
        <v>1 Semester S.Y. 2018-2019</v>
      </c>
      <c r="W6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7" t="e">
        <f t="array" ref="Y637">INDEX(tblEnrolledStuds[EStudID],MATCH(tblEnrolledSubjs[[#This Row],[EStudID]]&amp;S637,tblEnrolledStuds[AdmissionStatusID]&amp;tblEnrolledStuds[StudID],0))</f>
        <v>#N/A</v>
      </c>
    </row>
    <row r="638" spans="2:25" x14ac:dyDescent="0.25">
      <c r="B638">
        <v>636</v>
      </c>
      <c r="C638">
        <v>122</v>
      </c>
      <c r="D638">
        <v>83</v>
      </c>
      <c r="P638" t="str">
        <f t="shared" si="13"/>
        <v>(NULL,"122","83"),</v>
      </c>
      <c r="Q638" t="str">
        <f>TextJoin(tblEnrolledSubjs[[#This Row],[CSubjID]:[EStudID]],"Value")</f>
        <v>"122","83"</v>
      </c>
      <c r="S638">
        <f>LOOKUP(LOOKUP(tblEnrolledSubjs[[#This Row],[CSubjID]], tblClassSubjs[CSubjID],tblClassSubjs[ClassID]),tblClasses[ClassID],tblClasses[STermID])</f>
        <v>2</v>
      </c>
      <c r="T638" t="str">
        <f>LOOKUP(S638,tblSchoolTerms[STermID],tblSchoolTerms[SemesterID]&amp;" Semester "&amp;tblSchoolTerms[SchoolYear])</f>
        <v>1 Semester S.Y. 2018-2019</v>
      </c>
      <c r="W6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38" t="e">
        <f t="array" ref="Y638">INDEX(tblEnrolledStuds[EStudID],MATCH(tblEnrolledSubjs[[#This Row],[EStudID]]&amp;S638,tblEnrolledStuds[AdmissionStatusID]&amp;tblEnrolledStuds[StudID],0))</f>
        <v>#N/A</v>
      </c>
    </row>
    <row r="639" spans="2:25" x14ac:dyDescent="0.25">
      <c r="B639">
        <v>637</v>
      </c>
      <c r="C639">
        <v>122</v>
      </c>
      <c r="D639">
        <v>86</v>
      </c>
      <c r="P639" t="str">
        <f t="shared" si="13"/>
        <v>(NULL,"122","86"),</v>
      </c>
      <c r="Q639" t="str">
        <f>TextJoin(tblEnrolledSubjs[[#This Row],[CSubjID]:[EStudID]],"Value")</f>
        <v>"122","86"</v>
      </c>
      <c r="S639">
        <f>LOOKUP(LOOKUP(tblEnrolledSubjs[[#This Row],[CSubjID]], tblClassSubjs[CSubjID],tblClassSubjs[ClassID]),tblClasses[ClassID],tblClasses[STermID])</f>
        <v>2</v>
      </c>
      <c r="T639" t="str">
        <f>LOOKUP(S639,tblSchoolTerms[STermID],tblSchoolTerms[SemesterID]&amp;" Semester "&amp;tblSchoolTerms[SchoolYear])</f>
        <v>1 Semester S.Y. 2018-2019</v>
      </c>
      <c r="W6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39" t="e">
        <f t="array" ref="Y639">INDEX(tblEnrolledStuds[EStudID],MATCH(tblEnrolledSubjs[[#This Row],[EStudID]]&amp;S639,tblEnrolledStuds[AdmissionStatusID]&amp;tblEnrolledStuds[StudID],0))</f>
        <v>#N/A</v>
      </c>
    </row>
    <row r="640" spans="2:25" x14ac:dyDescent="0.25">
      <c r="B640">
        <v>638</v>
      </c>
      <c r="C640">
        <v>122</v>
      </c>
      <c r="D640">
        <v>87</v>
      </c>
      <c r="P640" t="str">
        <f t="shared" si="13"/>
        <v>(NULL,"122","87"),</v>
      </c>
      <c r="Q640" t="str">
        <f>TextJoin(tblEnrolledSubjs[[#This Row],[CSubjID]:[EStudID]],"Value")</f>
        <v>"122","87"</v>
      </c>
      <c r="S640">
        <f>LOOKUP(LOOKUP(tblEnrolledSubjs[[#This Row],[CSubjID]], tblClassSubjs[CSubjID],tblClassSubjs[ClassID]),tblClasses[ClassID],tblClasses[STermID])</f>
        <v>2</v>
      </c>
      <c r="T640" t="str">
        <f>LOOKUP(S640,tblSchoolTerms[STermID],tblSchoolTerms[SemesterID]&amp;" Semester "&amp;tblSchoolTerms[SchoolYear])</f>
        <v>1 Semester S.Y. 2018-2019</v>
      </c>
      <c r="W6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0" t="e">
        <f t="array" ref="Y640">INDEX(tblEnrolledStuds[EStudID],MATCH(tblEnrolledSubjs[[#This Row],[EStudID]]&amp;S640,tblEnrolledStuds[AdmissionStatusID]&amp;tblEnrolledStuds[StudID],0))</f>
        <v>#N/A</v>
      </c>
    </row>
    <row r="641" spans="2:25" x14ac:dyDescent="0.25">
      <c r="B641">
        <v>639</v>
      </c>
      <c r="C641">
        <v>122</v>
      </c>
      <c r="D641">
        <v>88</v>
      </c>
      <c r="P641" t="str">
        <f t="shared" si="13"/>
        <v>(NULL,"122","88"),</v>
      </c>
      <c r="Q641" t="str">
        <f>TextJoin(tblEnrolledSubjs[[#This Row],[CSubjID]:[EStudID]],"Value")</f>
        <v>"122","88"</v>
      </c>
      <c r="S641">
        <f>LOOKUP(LOOKUP(tblEnrolledSubjs[[#This Row],[CSubjID]], tblClassSubjs[CSubjID],tblClassSubjs[ClassID]),tblClasses[ClassID],tblClasses[STermID])</f>
        <v>2</v>
      </c>
      <c r="T641" t="str">
        <f>LOOKUP(S641,tblSchoolTerms[STermID],tblSchoolTerms[SemesterID]&amp;" Semester "&amp;tblSchoolTerms[SchoolYear])</f>
        <v>1 Semester S.Y. 2018-2019</v>
      </c>
      <c r="W6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1" t="e">
        <f t="array" ref="Y641">INDEX(tblEnrolledStuds[EStudID],MATCH(tblEnrolledSubjs[[#This Row],[EStudID]]&amp;S641,tblEnrolledStuds[AdmissionStatusID]&amp;tblEnrolledStuds[StudID],0))</f>
        <v>#N/A</v>
      </c>
    </row>
    <row r="642" spans="2:25" x14ac:dyDescent="0.25">
      <c r="B642">
        <v>640</v>
      </c>
      <c r="C642">
        <v>123</v>
      </c>
      <c r="D642">
        <v>75</v>
      </c>
      <c r="P642" t="str">
        <f t="shared" si="13"/>
        <v>(NULL,"123","75"),</v>
      </c>
      <c r="Q642" t="str">
        <f>TextJoin(tblEnrolledSubjs[[#This Row],[CSubjID]:[EStudID]],"Value")</f>
        <v>"123","75"</v>
      </c>
      <c r="S642">
        <f>LOOKUP(LOOKUP(tblEnrolledSubjs[[#This Row],[CSubjID]], tblClassSubjs[CSubjID],tblClassSubjs[ClassID]),tblClasses[ClassID],tblClasses[STermID])</f>
        <v>2</v>
      </c>
      <c r="T642" t="str">
        <f>LOOKUP(S642,tblSchoolTerms[STermID],tblSchoolTerms[SemesterID]&amp;" Semester "&amp;tblSchoolTerms[SchoolYear])</f>
        <v>1 Semester S.Y. 2018-2019</v>
      </c>
      <c r="W6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2" t="e">
        <f t="array" ref="Y642">INDEX(tblEnrolledStuds[EStudID],MATCH(tblEnrolledSubjs[[#This Row],[EStudID]]&amp;S642,tblEnrolledStuds[AdmissionStatusID]&amp;tblEnrolledStuds[StudID],0))</f>
        <v>#N/A</v>
      </c>
    </row>
    <row r="643" spans="2:25" x14ac:dyDescent="0.25">
      <c r="B643">
        <v>641</v>
      </c>
      <c r="C643">
        <v>123</v>
      </c>
      <c r="D643">
        <v>81</v>
      </c>
      <c r="P643" t="str">
        <f t="shared" si="13"/>
        <v>(NULL,"123","81"),</v>
      </c>
      <c r="Q643" t="str">
        <f>TextJoin(tblEnrolledSubjs[[#This Row],[CSubjID]:[EStudID]],"Value")</f>
        <v>"123","81"</v>
      </c>
      <c r="S643">
        <f>LOOKUP(LOOKUP(tblEnrolledSubjs[[#This Row],[CSubjID]], tblClassSubjs[CSubjID],tblClassSubjs[ClassID]),tblClasses[ClassID],tblClasses[STermID])</f>
        <v>2</v>
      </c>
      <c r="T643" t="str">
        <f>LOOKUP(S643,tblSchoolTerms[STermID],tblSchoolTerms[SemesterID]&amp;" Semester "&amp;tblSchoolTerms[SchoolYear])</f>
        <v>1 Semester S.Y. 2018-2019</v>
      </c>
      <c r="W6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3" t="e">
        <f t="array" ref="Y643">INDEX(tblEnrolledStuds[EStudID],MATCH(tblEnrolledSubjs[[#This Row],[EStudID]]&amp;S643,tblEnrolledStuds[AdmissionStatusID]&amp;tblEnrolledStuds[StudID],0))</f>
        <v>#N/A</v>
      </c>
    </row>
    <row r="644" spans="2:25" x14ac:dyDescent="0.25">
      <c r="B644">
        <v>642</v>
      </c>
      <c r="C644">
        <v>123</v>
      </c>
      <c r="D644">
        <v>83</v>
      </c>
      <c r="P644" t="str">
        <f t="shared" ref="P644:P707" si="14">"(NULL,"&amp;Q644&amp;")"&amp;IF(P645&lt;&gt;"",",",";")</f>
        <v>(NULL,"123","83"),</v>
      </c>
      <c r="Q644" t="str">
        <f>TextJoin(tblEnrolledSubjs[[#This Row],[CSubjID]:[EStudID]],"Value")</f>
        <v>"123","83"</v>
      </c>
      <c r="S644">
        <f>LOOKUP(LOOKUP(tblEnrolledSubjs[[#This Row],[CSubjID]], tblClassSubjs[CSubjID],tblClassSubjs[ClassID]),tblClasses[ClassID],tblClasses[STermID])</f>
        <v>2</v>
      </c>
      <c r="T644" t="str">
        <f>LOOKUP(S644,tblSchoolTerms[STermID],tblSchoolTerms[SemesterID]&amp;" Semester "&amp;tblSchoolTerms[SchoolYear])</f>
        <v>1 Semester S.Y. 2018-2019</v>
      </c>
      <c r="W6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4" t="e">
        <f t="array" ref="Y644">INDEX(tblEnrolledStuds[EStudID],MATCH(tblEnrolledSubjs[[#This Row],[EStudID]]&amp;S644,tblEnrolledStuds[AdmissionStatusID]&amp;tblEnrolledStuds[StudID],0))</f>
        <v>#N/A</v>
      </c>
    </row>
    <row r="645" spans="2:25" x14ac:dyDescent="0.25">
      <c r="B645">
        <v>643</v>
      </c>
      <c r="C645">
        <v>123</v>
      </c>
      <c r="D645">
        <v>86</v>
      </c>
      <c r="P645" t="str">
        <f t="shared" si="14"/>
        <v>(NULL,"123","86"),</v>
      </c>
      <c r="Q645" t="str">
        <f>TextJoin(tblEnrolledSubjs[[#This Row],[CSubjID]:[EStudID]],"Value")</f>
        <v>"123","86"</v>
      </c>
      <c r="S645">
        <f>LOOKUP(LOOKUP(tblEnrolledSubjs[[#This Row],[CSubjID]], tblClassSubjs[CSubjID],tblClassSubjs[ClassID]),tblClasses[ClassID],tblClasses[STermID])</f>
        <v>2</v>
      </c>
      <c r="T645" t="str">
        <f>LOOKUP(S645,tblSchoolTerms[STermID],tblSchoolTerms[SemesterID]&amp;" Semester "&amp;tblSchoolTerms[SchoolYear])</f>
        <v>1 Semester S.Y. 2018-2019</v>
      </c>
      <c r="W6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45" t="e">
        <f t="array" ref="Y645">INDEX(tblEnrolledStuds[EStudID],MATCH(tblEnrolledSubjs[[#This Row],[EStudID]]&amp;S645,tblEnrolledStuds[AdmissionStatusID]&amp;tblEnrolledStuds[StudID],0))</f>
        <v>#N/A</v>
      </c>
    </row>
    <row r="646" spans="2:25" x14ac:dyDescent="0.25">
      <c r="B646">
        <v>644</v>
      </c>
      <c r="C646">
        <v>123</v>
      </c>
      <c r="D646">
        <v>87</v>
      </c>
      <c r="P646" t="str">
        <f t="shared" si="14"/>
        <v>(NULL,"123","87"),</v>
      </c>
      <c r="Q646" t="str">
        <f>TextJoin(tblEnrolledSubjs[[#This Row],[CSubjID]:[EStudID]],"Value")</f>
        <v>"123","87"</v>
      </c>
      <c r="S646">
        <f>LOOKUP(LOOKUP(tblEnrolledSubjs[[#This Row],[CSubjID]], tblClassSubjs[CSubjID],tblClassSubjs[ClassID]),tblClasses[ClassID],tblClasses[STermID])</f>
        <v>2</v>
      </c>
      <c r="T646" t="str">
        <f>LOOKUP(S646,tblSchoolTerms[STermID],tblSchoolTerms[SemesterID]&amp;" Semester "&amp;tblSchoolTerms[SchoolYear])</f>
        <v>1 Semester S.Y. 2018-2019</v>
      </c>
      <c r="W6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6" t="e">
        <f t="array" ref="Y646">INDEX(tblEnrolledStuds[EStudID],MATCH(tblEnrolledSubjs[[#This Row],[EStudID]]&amp;S646,tblEnrolledStuds[AdmissionStatusID]&amp;tblEnrolledStuds[StudID],0))</f>
        <v>#N/A</v>
      </c>
    </row>
    <row r="647" spans="2:25" x14ac:dyDescent="0.25">
      <c r="B647">
        <v>645</v>
      </c>
      <c r="C647">
        <v>123</v>
      </c>
      <c r="D647">
        <v>88</v>
      </c>
      <c r="P647" t="str">
        <f t="shared" si="14"/>
        <v>(NULL,"123","88"),</v>
      </c>
      <c r="Q647" t="str">
        <f>TextJoin(tblEnrolledSubjs[[#This Row],[CSubjID]:[EStudID]],"Value")</f>
        <v>"123","88"</v>
      </c>
      <c r="S647">
        <f>LOOKUP(LOOKUP(tblEnrolledSubjs[[#This Row],[CSubjID]], tblClassSubjs[CSubjID],tblClassSubjs[ClassID]),tblClasses[ClassID],tblClasses[STermID])</f>
        <v>2</v>
      </c>
      <c r="T647" t="str">
        <f>LOOKUP(S647,tblSchoolTerms[STermID],tblSchoolTerms[SemesterID]&amp;" Semester "&amp;tblSchoolTerms[SchoolYear])</f>
        <v>1 Semester S.Y. 2018-2019</v>
      </c>
      <c r="W6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7" t="e">
        <f t="array" ref="Y647">INDEX(tblEnrolledStuds[EStudID],MATCH(tblEnrolledSubjs[[#This Row],[EStudID]]&amp;S647,tblEnrolledStuds[AdmissionStatusID]&amp;tblEnrolledStuds[StudID],0))</f>
        <v>#N/A</v>
      </c>
    </row>
    <row r="648" spans="2:25" x14ac:dyDescent="0.25">
      <c r="B648">
        <v>646</v>
      </c>
      <c r="C648">
        <v>124</v>
      </c>
      <c r="D648">
        <v>75</v>
      </c>
      <c r="P648" t="str">
        <f t="shared" si="14"/>
        <v>(NULL,"124","75"),</v>
      </c>
      <c r="Q648" t="str">
        <f>TextJoin(tblEnrolledSubjs[[#This Row],[CSubjID]:[EStudID]],"Value")</f>
        <v>"124","75"</v>
      </c>
      <c r="S648">
        <f>LOOKUP(LOOKUP(tblEnrolledSubjs[[#This Row],[CSubjID]], tblClassSubjs[CSubjID],tblClassSubjs[ClassID]),tblClasses[ClassID],tblClasses[STermID])</f>
        <v>2</v>
      </c>
      <c r="T648" t="str">
        <f>LOOKUP(S648,tblSchoolTerms[STermID],tblSchoolTerms[SemesterID]&amp;" Semester "&amp;tblSchoolTerms[SchoolYear])</f>
        <v>1 Semester S.Y. 2018-2019</v>
      </c>
      <c r="W6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8" t="e">
        <f t="array" ref="Y648">INDEX(tblEnrolledStuds[EStudID],MATCH(tblEnrolledSubjs[[#This Row],[EStudID]]&amp;S648,tblEnrolledStuds[AdmissionStatusID]&amp;tblEnrolledStuds[StudID],0))</f>
        <v>#N/A</v>
      </c>
    </row>
    <row r="649" spans="2:25" x14ac:dyDescent="0.25">
      <c r="B649">
        <v>647</v>
      </c>
      <c r="C649">
        <v>124</v>
      </c>
      <c r="D649">
        <v>81</v>
      </c>
      <c r="P649" t="str">
        <f t="shared" si="14"/>
        <v>(NULL,"124","81"),</v>
      </c>
      <c r="Q649" t="str">
        <f>TextJoin(tblEnrolledSubjs[[#This Row],[CSubjID]:[EStudID]],"Value")</f>
        <v>"124","81"</v>
      </c>
      <c r="S649">
        <f>LOOKUP(LOOKUP(tblEnrolledSubjs[[#This Row],[CSubjID]], tblClassSubjs[CSubjID],tblClassSubjs[ClassID]),tblClasses[ClassID],tblClasses[STermID])</f>
        <v>2</v>
      </c>
      <c r="T649" t="str">
        <f>LOOKUP(S649,tblSchoolTerms[STermID],tblSchoolTerms[SemesterID]&amp;" Semester "&amp;tblSchoolTerms[SchoolYear])</f>
        <v>1 Semester S.Y. 2018-2019</v>
      </c>
      <c r="W6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49" t="e">
        <f t="array" ref="Y649">INDEX(tblEnrolledStuds[EStudID],MATCH(tblEnrolledSubjs[[#This Row],[EStudID]]&amp;S649,tblEnrolledStuds[AdmissionStatusID]&amp;tblEnrolledStuds[StudID],0))</f>
        <v>#N/A</v>
      </c>
    </row>
    <row r="650" spans="2:25" x14ac:dyDescent="0.25">
      <c r="B650">
        <v>648</v>
      </c>
      <c r="C650">
        <v>124</v>
      </c>
      <c r="D650">
        <v>83</v>
      </c>
      <c r="P650" t="str">
        <f t="shared" si="14"/>
        <v>(NULL,"124","83"),</v>
      </c>
      <c r="Q650" t="str">
        <f>TextJoin(tblEnrolledSubjs[[#This Row],[CSubjID]:[EStudID]],"Value")</f>
        <v>"124","83"</v>
      </c>
      <c r="S650">
        <f>LOOKUP(LOOKUP(tblEnrolledSubjs[[#This Row],[CSubjID]], tblClassSubjs[CSubjID],tblClassSubjs[ClassID]),tblClasses[ClassID],tblClasses[STermID])</f>
        <v>2</v>
      </c>
      <c r="T650" t="str">
        <f>LOOKUP(S650,tblSchoolTerms[STermID],tblSchoolTerms[SemesterID]&amp;" Semester "&amp;tblSchoolTerms[SchoolYear])</f>
        <v>1 Semester S.Y. 2018-2019</v>
      </c>
      <c r="W6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0" t="e">
        <f t="array" ref="Y650">INDEX(tblEnrolledStuds[EStudID],MATCH(tblEnrolledSubjs[[#This Row],[EStudID]]&amp;S650,tblEnrolledStuds[AdmissionStatusID]&amp;tblEnrolledStuds[StudID],0))</f>
        <v>#N/A</v>
      </c>
    </row>
    <row r="651" spans="2:25" x14ac:dyDescent="0.25">
      <c r="B651">
        <v>649</v>
      </c>
      <c r="C651">
        <v>124</v>
      </c>
      <c r="D651">
        <v>86</v>
      </c>
      <c r="P651" t="str">
        <f t="shared" si="14"/>
        <v>(NULL,"124","86"),</v>
      </c>
      <c r="Q651" t="str">
        <f>TextJoin(tblEnrolledSubjs[[#This Row],[CSubjID]:[EStudID]],"Value")</f>
        <v>"124","86"</v>
      </c>
      <c r="S651">
        <f>LOOKUP(LOOKUP(tblEnrolledSubjs[[#This Row],[CSubjID]], tblClassSubjs[CSubjID],tblClassSubjs[ClassID]),tblClasses[ClassID],tblClasses[STermID])</f>
        <v>2</v>
      </c>
      <c r="T651" t="str">
        <f>LOOKUP(S651,tblSchoolTerms[STermID],tblSchoolTerms[SemesterID]&amp;" Semester "&amp;tblSchoolTerms[SchoolYear])</f>
        <v>1 Semester S.Y. 2018-2019</v>
      </c>
      <c r="W6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51" t="e">
        <f t="array" ref="Y651">INDEX(tblEnrolledStuds[EStudID],MATCH(tblEnrolledSubjs[[#This Row],[EStudID]]&amp;S651,tblEnrolledStuds[AdmissionStatusID]&amp;tblEnrolledStuds[StudID],0))</f>
        <v>#N/A</v>
      </c>
    </row>
    <row r="652" spans="2:25" x14ac:dyDescent="0.25">
      <c r="B652">
        <v>650</v>
      </c>
      <c r="C652">
        <v>124</v>
      </c>
      <c r="D652">
        <v>87</v>
      </c>
      <c r="P652" t="str">
        <f t="shared" si="14"/>
        <v>(NULL,"124","87"),</v>
      </c>
      <c r="Q652" t="str">
        <f>TextJoin(tblEnrolledSubjs[[#This Row],[CSubjID]:[EStudID]],"Value")</f>
        <v>"124","87"</v>
      </c>
      <c r="S652">
        <f>LOOKUP(LOOKUP(tblEnrolledSubjs[[#This Row],[CSubjID]], tblClassSubjs[CSubjID],tblClassSubjs[ClassID]),tblClasses[ClassID],tblClasses[STermID])</f>
        <v>2</v>
      </c>
      <c r="T652" t="str">
        <f>LOOKUP(S652,tblSchoolTerms[STermID],tblSchoolTerms[SemesterID]&amp;" Semester "&amp;tblSchoolTerms[SchoolYear])</f>
        <v>1 Semester S.Y. 2018-2019</v>
      </c>
      <c r="W6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2" t="e">
        <f t="array" ref="Y652">INDEX(tblEnrolledStuds[EStudID],MATCH(tblEnrolledSubjs[[#This Row],[EStudID]]&amp;S652,tblEnrolledStuds[AdmissionStatusID]&amp;tblEnrolledStuds[StudID],0))</f>
        <v>#N/A</v>
      </c>
    </row>
    <row r="653" spans="2:25" x14ac:dyDescent="0.25">
      <c r="B653">
        <v>651</v>
      </c>
      <c r="C653">
        <v>124</v>
      </c>
      <c r="D653">
        <v>88</v>
      </c>
      <c r="P653" t="str">
        <f t="shared" si="14"/>
        <v>(NULL,"124","88"),</v>
      </c>
      <c r="Q653" t="str">
        <f>TextJoin(tblEnrolledSubjs[[#This Row],[CSubjID]:[EStudID]],"Value")</f>
        <v>"124","88"</v>
      </c>
      <c r="S653">
        <f>LOOKUP(LOOKUP(tblEnrolledSubjs[[#This Row],[CSubjID]], tblClassSubjs[CSubjID],tblClassSubjs[ClassID]),tblClasses[ClassID],tblClasses[STermID])</f>
        <v>2</v>
      </c>
      <c r="T653" t="str">
        <f>LOOKUP(S653,tblSchoolTerms[STermID],tblSchoolTerms[SemesterID]&amp;" Semester "&amp;tblSchoolTerms[SchoolYear])</f>
        <v>1 Semester S.Y. 2018-2019</v>
      </c>
      <c r="W6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3" t="e">
        <f t="array" ref="Y653">INDEX(tblEnrolledStuds[EStudID],MATCH(tblEnrolledSubjs[[#This Row],[EStudID]]&amp;S653,tblEnrolledStuds[AdmissionStatusID]&amp;tblEnrolledStuds[StudID],0))</f>
        <v>#N/A</v>
      </c>
    </row>
    <row r="654" spans="2:25" x14ac:dyDescent="0.25">
      <c r="B654">
        <v>652</v>
      </c>
      <c r="C654">
        <v>125</v>
      </c>
      <c r="D654">
        <v>75</v>
      </c>
      <c r="P654" t="str">
        <f t="shared" si="14"/>
        <v>(NULL,"125","75"),</v>
      </c>
      <c r="Q654" t="str">
        <f>TextJoin(tblEnrolledSubjs[[#This Row],[CSubjID]:[EStudID]],"Value")</f>
        <v>"125","75"</v>
      </c>
      <c r="S654">
        <f>LOOKUP(LOOKUP(tblEnrolledSubjs[[#This Row],[CSubjID]], tblClassSubjs[CSubjID],tblClassSubjs[ClassID]),tblClasses[ClassID],tblClasses[STermID])</f>
        <v>2</v>
      </c>
      <c r="T654" t="str">
        <f>LOOKUP(S654,tblSchoolTerms[STermID],tblSchoolTerms[SemesterID]&amp;" Semester "&amp;tblSchoolTerms[SchoolYear])</f>
        <v>1 Semester S.Y. 2018-2019</v>
      </c>
      <c r="W6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4" t="e">
        <f t="array" ref="Y654">INDEX(tblEnrolledStuds[EStudID],MATCH(tblEnrolledSubjs[[#This Row],[EStudID]]&amp;S654,tblEnrolledStuds[AdmissionStatusID]&amp;tblEnrolledStuds[StudID],0))</f>
        <v>#N/A</v>
      </c>
    </row>
    <row r="655" spans="2:25" x14ac:dyDescent="0.25">
      <c r="B655">
        <v>653</v>
      </c>
      <c r="C655">
        <v>125</v>
      </c>
      <c r="D655">
        <v>81</v>
      </c>
      <c r="P655" t="str">
        <f t="shared" si="14"/>
        <v>(NULL,"125","81"),</v>
      </c>
      <c r="Q655" t="str">
        <f>TextJoin(tblEnrolledSubjs[[#This Row],[CSubjID]:[EStudID]],"Value")</f>
        <v>"125","81"</v>
      </c>
      <c r="S655">
        <f>LOOKUP(LOOKUP(tblEnrolledSubjs[[#This Row],[CSubjID]], tblClassSubjs[CSubjID],tblClassSubjs[ClassID]),tblClasses[ClassID],tblClasses[STermID])</f>
        <v>2</v>
      </c>
      <c r="T655" t="str">
        <f>LOOKUP(S655,tblSchoolTerms[STermID],tblSchoolTerms[SemesterID]&amp;" Semester "&amp;tblSchoolTerms[SchoolYear])</f>
        <v>1 Semester S.Y. 2018-2019</v>
      </c>
      <c r="W6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5" t="e">
        <f t="array" ref="Y655">INDEX(tblEnrolledStuds[EStudID],MATCH(tblEnrolledSubjs[[#This Row],[EStudID]]&amp;S655,tblEnrolledStuds[AdmissionStatusID]&amp;tblEnrolledStuds[StudID],0))</f>
        <v>#N/A</v>
      </c>
    </row>
    <row r="656" spans="2:25" x14ac:dyDescent="0.25">
      <c r="B656">
        <v>654</v>
      </c>
      <c r="C656">
        <v>125</v>
      </c>
      <c r="D656">
        <v>83</v>
      </c>
      <c r="P656" t="str">
        <f t="shared" si="14"/>
        <v>(NULL,"125","83"),</v>
      </c>
      <c r="Q656" t="str">
        <f>TextJoin(tblEnrolledSubjs[[#This Row],[CSubjID]:[EStudID]],"Value")</f>
        <v>"125","83"</v>
      </c>
      <c r="S656">
        <f>LOOKUP(LOOKUP(tblEnrolledSubjs[[#This Row],[CSubjID]], tblClassSubjs[CSubjID],tblClassSubjs[ClassID]),tblClasses[ClassID],tblClasses[STermID])</f>
        <v>2</v>
      </c>
      <c r="T656" t="str">
        <f>LOOKUP(S656,tblSchoolTerms[STermID],tblSchoolTerms[SemesterID]&amp;" Semester "&amp;tblSchoolTerms[SchoolYear])</f>
        <v>1 Semester S.Y. 2018-2019</v>
      </c>
      <c r="W6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6" t="e">
        <f t="array" ref="Y656">INDEX(tblEnrolledStuds[EStudID],MATCH(tblEnrolledSubjs[[#This Row],[EStudID]]&amp;S656,tblEnrolledStuds[AdmissionStatusID]&amp;tblEnrolledStuds[StudID],0))</f>
        <v>#N/A</v>
      </c>
    </row>
    <row r="657" spans="2:25" x14ac:dyDescent="0.25">
      <c r="B657">
        <v>655</v>
      </c>
      <c r="C657">
        <v>125</v>
      </c>
      <c r="D657">
        <v>86</v>
      </c>
      <c r="P657" t="str">
        <f t="shared" si="14"/>
        <v>(NULL,"125","86"),</v>
      </c>
      <c r="Q657" t="str">
        <f>TextJoin(tblEnrolledSubjs[[#This Row],[CSubjID]:[EStudID]],"Value")</f>
        <v>"125","86"</v>
      </c>
      <c r="S657">
        <f>LOOKUP(LOOKUP(tblEnrolledSubjs[[#This Row],[CSubjID]], tblClassSubjs[CSubjID],tblClassSubjs[ClassID]),tblClasses[ClassID],tblClasses[STermID])</f>
        <v>2</v>
      </c>
      <c r="T657" t="str">
        <f>LOOKUP(S657,tblSchoolTerms[STermID],tblSchoolTerms[SemesterID]&amp;" Semester "&amp;tblSchoolTerms[SchoolYear])</f>
        <v>1 Semester S.Y. 2018-2019</v>
      </c>
      <c r="W6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57" t="e">
        <f t="array" ref="Y657">INDEX(tblEnrolledStuds[EStudID],MATCH(tblEnrolledSubjs[[#This Row],[EStudID]]&amp;S657,tblEnrolledStuds[AdmissionStatusID]&amp;tblEnrolledStuds[StudID],0))</f>
        <v>#N/A</v>
      </c>
    </row>
    <row r="658" spans="2:25" x14ac:dyDescent="0.25">
      <c r="B658">
        <v>656</v>
      </c>
      <c r="C658">
        <v>125</v>
      </c>
      <c r="D658">
        <v>87</v>
      </c>
      <c r="P658" t="str">
        <f t="shared" si="14"/>
        <v>(NULL,"125","87"),</v>
      </c>
      <c r="Q658" t="str">
        <f>TextJoin(tblEnrolledSubjs[[#This Row],[CSubjID]:[EStudID]],"Value")</f>
        <v>"125","87"</v>
      </c>
      <c r="S658">
        <f>LOOKUP(LOOKUP(tblEnrolledSubjs[[#This Row],[CSubjID]], tblClassSubjs[CSubjID],tblClassSubjs[ClassID]),tblClasses[ClassID],tblClasses[STermID])</f>
        <v>2</v>
      </c>
      <c r="T658" t="str">
        <f>LOOKUP(S658,tblSchoolTerms[STermID],tblSchoolTerms[SemesterID]&amp;" Semester "&amp;tblSchoolTerms[SchoolYear])</f>
        <v>1 Semester S.Y. 2018-2019</v>
      </c>
      <c r="W6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8" t="e">
        <f t="array" ref="Y658">INDEX(tblEnrolledStuds[EStudID],MATCH(tblEnrolledSubjs[[#This Row],[EStudID]]&amp;S658,tblEnrolledStuds[AdmissionStatusID]&amp;tblEnrolledStuds[StudID],0))</f>
        <v>#N/A</v>
      </c>
    </row>
    <row r="659" spans="2:25" x14ac:dyDescent="0.25">
      <c r="B659">
        <v>657</v>
      </c>
      <c r="C659">
        <v>125</v>
      </c>
      <c r="D659">
        <v>88</v>
      </c>
      <c r="P659" t="str">
        <f t="shared" si="14"/>
        <v>(NULL,"125","88"),</v>
      </c>
      <c r="Q659" t="str">
        <f>TextJoin(tblEnrolledSubjs[[#This Row],[CSubjID]:[EStudID]],"Value")</f>
        <v>"125","88"</v>
      </c>
      <c r="S659">
        <f>LOOKUP(LOOKUP(tblEnrolledSubjs[[#This Row],[CSubjID]], tblClassSubjs[CSubjID],tblClassSubjs[ClassID]),tblClasses[ClassID],tblClasses[STermID])</f>
        <v>2</v>
      </c>
      <c r="T659" t="str">
        <f>LOOKUP(S659,tblSchoolTerms[STermID],tblSchoolTerms[SemesterID]&amp;" Semester "&amp;tblSchoolTerms[SchoolYear])</f>
        <v>1 Semester S.Y. 2018-2019</v>
      </c>
      <c r="W6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59" t="e">
        <f t="array" ref="Y659">INDEX(tblEnrolledStuds[EStudID],MATCH(tblEnrolledSubjs[[#This Row],[EStudID]]&amp;S659,tblEnrolledStuds[AdmissionStatusID]&amp;tblEnrolledStuds[StudID],0))</f>
        <v>#N/A</v>
      </c>
    </row>
    <row r="660" spans="2:25" x14ac:dyDescent="0.25">
      <c r="B660">
        <v>658</v>
      </c>
      <c r="C660">
        <v>126</v>
      </c>
      <c r="D660">
        <v>75</v>
      </c>
      <c r="P660" t="str">
        <f t="shared" si="14"/>
        <v>(NULL,"126","75"),</v>
      </c>
      <c r="Q660" t="str">
        <f>TextJoin(tblEnrolledSubjs[[#This Row],[CSubjID]:[EStudID]],"Value")</f>
        <v>"126","75"</v>
      </c>
      <c r="S660">
        <f>LOOKUP(LOOKUP(tblEnrolledSubjs[[#This Row],[CSubjID]], tblClassSubjs[CSubjID],tblClassSubjs[ClassID]),tblClasses[ClassID],tblClasses[STermID])</f>
        <v>2</v>
      </c>
      <c r="T660" t="str">
        <f>LOOKUP(S660,tblSchoolTerms[STermID],tblSchoolTerms[SemesterID]&amp;" Semester "&amp;tblSchoolTerms[SchoolYear])</f>
        <v>1 Semester S.Y. 2018-2019</v>
      </c>
      <c r="W6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0" t="e">
        <f t="array" ref="Y660">INDEX(tblEnrolledStuds[EStudID],MATCH(tblEnrolledSubjs[[#This Row],[EStudID]]&amp;S660,tblEnrolledStuds[AdmissionStatusID]&amp;tblEnrolledStuds[StudID],0))</f>
        <v>#N/A</v>
      </c>
    </row>
    <row r="661" spans="2:25" x14ac:dyDescent="0.25">
      <c r="B661">
        <v>659</v>
      </c>
      <c r="C661">
        <v>126</v>
      </c>
      <c r="D661">
        <v>81</v>
      </c>
      <c r="P661" t="str">
        <f t="shared" si="14"/>
        <v>(NULL,"126","81"),</v>
      </c>
      <c r="Q661" t="str">
        <f>TextJoin(tblEnrolledSubjs[[#This Row],[CSubjID]:[EStudID]],"Value")</f>
        <v>"126","81"</v>
      </c>
      <c r="S661">
        <f>LOOKUP(LOOKUP(tblEnrolledSubjs[[#This Row],[CSubjID]], tblClassSubjs[CSubjID],tblClassSubjs[ClassID]),tblClasses[ClassID],tblClasses[STermID])</f>
        <v>2</v>
      </c>
      <c r="T661" t="str">
        <f>LOOKUP(S661,tblSchoolTerms[STermID],tblSchoolTerms[SemesterID]&amp;" Semester "&amp;tblSchoolTerms[SchoolYear])</f>
        <v>1 Semester S.Y. 2018-2019</v>
      </c>
      <c r="W6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1" t="e">
        <f t="array" ref="Y661">INDEX(tblEnrolledStuds[EStudID],MATCH(tblEnrolledSubjs[[#This Row],[EStudID]]&amp;S661,tblEnrolledStuds[AdmissionStatusID]&amp;tblEnrolledStuds[StudID],0))</f>
        <v>#N/A</v>
      </c>
    </row>
    <row r="662" spans="2:25" x14ac:dyDescent="0.25">
      <c r="B662">
        <v>660</v>
      </c>
      <c r="C662">
        <v>126</v>
      </c>
      <c r="D662">
        <v>83</v>
      </c>
      <c r="P662" t="str">
        <f t="shared" si="14"/>
        <v>(NULL,"126","83"),</v>
      </c>
      <c r="Q662" t="str">
        <f>TextJoin(tblEnrolledSubjs[[#This Row],[CSubjID]:[EStudID]],"Value")</f>
        <v>"126","83"</v>
      </c>
      <c r="S662">
        <f>LOOKUP(LOOKUP(tblEnrolledSubjs[[#This Row],[CSubjID]], tblClassSubjs[CSubjID],tblClassSubjs[ClassID]),tblClasses[ClassID],tblClasses[STermID])</f>
        <v>2</v>
      </c>
      <c r="T662" t="str">
        <f>LOOKUP(S662,tblSchoolTerms[STermID],tblSchoolTerms[SemesterID]&amp;" Semester "&amp;tblSchoolTerms[SchoolYear])</f>
        <v>1 Semester S.Y. 2018-2019</v>
      </c>
      <c r="W6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2" t="e">
        <f t="array" ref="Y662">INDEX(tblEnrolledStuds[EStudID],MATCH(tblEnrolledSubjs[[#This Row],[EStudID]]&amp;S662,tblEnrolledStuds[AdmissionStatusID]&amp;tblEnrolledStuds[StudID],0))</f>
        <v>#N/A</v>
      </c>
    </row>
    <row r="663" spans="2:25" x14ac:dyDescent="0.25">
      <c r="B663">
        <v>661</v>
      </c>
      <c r="C663">
        <v>126</v>
      </c>
      <c r="D663">
        <v>86</v>
      </c>
      <c r="P663" t="str">
        <f t="shared" si="14"/>
        <v>(NULL,"126","86"),</v>
      </c>
      <c r="Q663" t="str">
        <f>TextJoin(tblEnrolledSubjs[[#This Row],[CSubjID]:[EStudID]],"Value")</f>
        <v>"126","86"</v>
      </c>
      <c r="S663">
        <f>LOOKUP(LOOKUP(tblEnrolledSubjs[[#This Row],[CSubjID]], tblClassSubjs[CSubjID],tblClassSubjs[ClassID]),tblClasses[ClassID],tblClasses[STermID])</f>
        <v>2</v>
      </c>
      <c r="T663" t="str">
        <f>LOOKUP(S663,tblSchoolTerms[STermID],tblSchoolTerms[SemesterID]&amp;" Semester "&amp;tblSchoolTerms[SchoolYear])</f>
        <v>1 Semester S.Y. 2018-2019</v>
      </c>
      <c r="W6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663" t="e">
        <f t="array" ref="Y663">INDEX(tblEnrolledStuds[EStudID],MATCH(tblEnrolledSubjs[[#This Row],[EStudID]]&amp;S663,tblEnrolledStuds[AdmissionStatusID]&amp;tblEnrolledStuds[StudID],0))</f>
        <v>#N/A</v>
      </c>
    </row>
    <row r="664" spans="2:25" x14ac:dyDescent="0.25">
      <c r="B664">
        <v>662</v>
      </c>
      <c r="C664">
        <v>126</v>
      </c>
      <c r="D664">
        <v>87</v>
      </c>
      <c r="P664" t="str">
        <f t="shared" si="14"/>
        <v>(NULL,"126","87"),</v>
      </c>
      <c r="Q664" t="str">
        <f>TextJoin(tblEnrolledSubjs[[#This Row],[CSubjID]:[EStudID]],"Value")</f>
        <v>"126","87"</v>
      </c>
      <c r="S664">
        <f>LOOKUP(LOOKUP(tblEnrolledSubjs[[#This Row],[CSubjID]], tblClassSubjs[CSubjID],tblClassSubjs[ClassID]),tblClasses[ClassID],tblClasses[STermID])</f>
        <v>2</v>
      </c>
      <c r="T664" t="str">
        <f>LOOKUP(S664,tblSchoolTerms[STermID],tblSchoolTerms[SemesterID]&amp;" Semester "&amp;tblSchoolTerms[SchoolYear])</f>
        <v>1 Semester S.Y. 2018-2019</v>
      </c>
      <c r="W6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4" t="e">
        <f t="array" ref="Y664">INDEX(tblEnrolledStuds[EStudID],MATCH(tblEnrolledSubjs[[#This Row],[EStudID]]&amp;S664,tblEnrolledStuds[AdmissionStatusID]&amp;tblEnrolledStuds[StudID],0))</f>
        <v>#N/A</v>
      </c>
    </row>
    <row r="665" spans="2:25" x14ac:dyDescent="0.25">
      <c r="B665">
        <v>663</v>
      </c>
      <c r="C665">
        <v>126</v>
      </c>
      <c r="D665">
        <v>88</v>
      </c>
      <c r="I665">
        <v>2</v>
      </c>
      <c r="P665" t="str">
        <f t="shared" si="14"/>
        <v>(NULL,"126","88"),</v>
      </c>
      <c r="Q665" t="str">
        <f>TextJoin(tblEnrolledSubjs[[#This Row],[CSubjID]:[EStudID]],"Value")</f>
        <v>"126","88"</v>
      </c>
      <c r="S665">
        <f>LOOKUP(LOOKUP(tblEnrolledSubjs[[#This Row],[CSubjID]], tblClassSubjs[CSubjID],tblClassSubjs[ClassID]),tblClasses[ClassID],tblClasses[STermID])</f>
        <v>2</v>
      </c>
      <c r="T665" t="str">
        <f>LOOKUP(S665,tblSchoolTerms[STermID],tblSchoolTerms[SemesterID]&amp;" Semester "&amp;tblSchoolTerms[SchoolYear])</f>
        <v>1 Semester S.Y. 2018-2019</v>
      </c>
      <c r="W6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5" t="e">
        <f t="array" ref="Y665">INDEX(tblEnrolledStuds[EStudID],MATCH(tblEnrolledSubjs[[#This Row],[EStudID]]&amp;S665,tblEnrolledStuds[AdmissionStatusID]&amp;tblEnrolledStuds[StudID],0))</f>
        <v>#N/A</v>
      </c>
    </row>
    <row r="666" spans="2:25" x14ac:dyDescent="0.25">
      <c r="B666">
        <v>664</v>
      </c>
      <c r="C666">
        <v>146</v>
      </c>
      <c r="D666">
        <v>89</v>
      </c>
      <c r="E666" s="28"/>
      <c r="F666" s="28"/>
      <c r="G666" s="28"/>
      <c r="H666" s="28"/>
      <c r="I666" s="28">
        <v>3</v>
      </c>
      <c r="P666" t="str">
        <f t="shared" si="14"/>
        <v>(NULL,"146","89"),</v>
      </c>
      <c r="Q666" t="str">
        <f>TextJoin(tblEnrolledSubjs[[#This Row],[CSubjID]:[EStudID]],"Value")</f>
        <v>"146","89"</v>
      </c>
      <c r="S666">
        <f>LOOKUP(LOOKUP(tblEnrolledSubjs[[#This Row],[CSubjID]], tblClassSubjs[CSubjID],tblClassSubjs[ClassID]),tblClasses[ClassID],tblClasses[STermID])</f>
        <v>3</v>
      </c>
      <c r="T666" t="str">
        <f>LOOKUP(S666,tblSchoolTerms[STermID],tblSchoolTerms[SemesterID]&amp;" Semester "&amp;tblSchoolTerms[SchoolYear])</f>
        <v>2 Semester S.Y. 2017-2018</v>
      </c>
      <c r="W6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6" t="e">
        <f t="array" ref="Y666">INDEX(tblEnrolledStuds[EStudID],MATCH(tblEnrolledSubjs[[#This Row],[EStudID]]&amp;S666,tblEnrolledStuds[AdmissionStatusID]&amp;tblEnrolledStuds[StudID],0))</f>
        <v>#N/A</v>
      </c>
    </row>
    <row r="667" spans="2:25" x14ac:dyDescent="0.25">
      <c r="B667">
        <v>665</v>
      </c>
      <c r="C667">
        <v>146</v>
      </c>
      <c r="D667">
        <v>90</v>
      </c>
      <c r="P667" t="str">
        <f t="shared" si="14"/>
        <v>(NULL,"146","90"),</v>
      </c>
      <c r="Q667" t="str">
        <f>TextJoin(tblEnrolledSubjs[[#This Row],[CSubjID]:[EStudID]],"Value")</f>
        <v>"146","90"</v>
      </c>
      <c r="S667">
        <f>LOOKUP(LOOKUP(tblEnrolledSubjs[[#This Row],[CSubjID]], tblClassSubjs[CSubjID],tblClassSubjs[ClassID]),tblClasses[ClassID],tblClasses[STermID])</f>
        <v>3</v>
      </c>
      <c r="T667" t="str">
        <f>LOOKUP(S667,tblSchoolTerms[STermID],tblSchoolTerms[SemesterID]&amp;" Semester "&amp;tblSchoolTerms[SchoolYear])</f>
        <v>2 Semester S.Y. 2017-2018</v>
      </c>
      <c r="W6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7" t="e">
        <f t="array" ref="Y667">INDEX(tblEnrolledStuds[EStudID],MATCH(tblEnrolledSubjs[[#This Row],[EStudID]]&amp;S667,tblEnrolledStuds[AdmissionStatusID]&amp;tblEnrolledStuds[StudID],0))</f>
        <v>#N/A</v>
      </c>
    </row>
    <row r="668" spans="2:25" x14ac:dyDescent="0.25">
      <c r="B668">
        <v>666</v>
      </c>
      <c r="C668">
        <v>146</v>
      </c>
      <c r="D668">
        <v>91</v>
      </c>
      <c r="P668" t="str">
        <f t="shared" si="14"/>
        <v>(NULL,"146","91"),</v>
      </c>
      <c r="Q668" t="str">
        <f>TextJoin(tblEnrolledSubjs[[#This Row],[CSubjID]:[EStudID]],"Value")</f>
        <v>"146","91"</v>
      </c>
      <c r="S668">
        <f>LOOKUP(LOOKUP(tblEnrolledSubjs[[#This Row],[CSubjID]], tblClassSubjs[CSubjID],tblClassSubjs[ClassID]),tblClasses[ClassID],tblClasses[STermID])</f>
        <v>3</v>
      </c>
      <c r="T668" t="str">
        <f>LOOKUP(S668,tblSchoolTerms[STermID],tblSchoolTerms[SemesterID]&amp;" Semester "&amp;tblSchoolTerms[SchoolYear])</f>
        <v>2 Semester S.Y. 2017-2018</v>
      </c>
      <c r="W6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8" t="e">
        <f t="array" ref="Y668">INDEX(tblEnrolledStuds[EStudID],MATCH(tblEnrolledSubjs[[#This Row],[EStudID]]&amp;S668,tblEnrolledStuds[AdmissionStatusID]&amp;tblEnrolledStuds[StudID],0))</f>
        <v>#N/A</v>
      </c>
    </row>
    <row r="669" spans="2:25" x14ac:dyDescent="0.25">
      <c r="B669">
        <v>667</v>
      </c>
      <c r="C669">
        <v>146</v>
      </c>
      <c r="D669">
        <v>93</v>
      </c>
      <c r="P669" t="str">
        <f t="shared" si="14"/>
        <v>(NULL,"146","93"),</v>
      </c>
      <c r="Q669" t="str">
        <f>TextJoin(tblEnrolledSubjs[[#This Row],[CSubjID]:[EStudID]],"Value")</f>
        <v>"146","93"</v>
      </c>
      <c r="S669">
        <f>LOOKUP(LOOKUP(tblEnrolledSubjs[[#This Row],[CSubjID]], tblClassSubjs[CSubjID],tblClassSubjs[ClassID]),tblClasses[ClassID],tblClasses[STermID])</f>
        <v>3</v>
      </c>
      <c r="T669" t="str">
        <f>LOOKUP(S669,tblSchoolTerms[STermID],tblSchoolTerms[SemesterID]&amp;" Semester "&amp;tblSchoolTerms[SchoolYear])</f>
        <v>2 Semester S.Y. 2017-2018</v>
      </c>
      <c r="W6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69" t="e">
        <f t="array" ref="Y669">INDEX(tblEnrolledStuds[EStudID],MATCH(tblEnrolledSubjs[[#This Row],[EStudID]]&amp;S669,tblEnrolledStuds[AdmissionStatusID]&amp;tblEnrolledStuds[StudID],0))</f>
        <v>#N/A</v>
      </c>
    </row>
    <row r="670" spans="2:25" x14ac:dyDescent="0.25">
      <c r="B670">
        <v>668</v>
      </c>
      <c r="C670">
        <v>146</v>
      </c>
      <c r="D670">
        <v>94</v>
      </c>
      <c r="P670" t="str">
        <f t="shared" si="14"/>
        <v>(NULL,"146","94"),</v>
      </c>
      <c r="Q670" t="str">
        <f>TextJoin(tblEnrolledSubjs[[#This Row],[CSubjID]:[EStudID]],"Value")</f>
        <v>"146","94"</v>
      </c>
      <c r="S670">
        <f>LOOKUP(LOOKUP(tblEnrolledSubjs[[#This Row],[CSubjID]], tblClassSubjs[CSubjID],tblClassSubjs[ClassID]),tblClasses[ClassID],tblClasses[STermID])</f>
        <v>3</v>
      </c>
      <c r="T670" t="str">
        <f>LOOKUP(S670,tblSchoolTerms[STermID],tblSchoolTerms[SemesterID]&amp;" Semester "&amp;tblSchoolTerms[SchoolYear])</f>
        <v>2 Semester S.Y. 2017-2018</v>
      </c>
      <c r="W6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0" t="e">
        <f t="array" ref="Y670">INDEX(tblEnrolledStuds[EStudID],MATCH(tblEnrolledSubjs[[#This Row],[EStudID]]&amp;S670,tblEnrolledStuds[AdmissionStatusID]&amp;tblEnrolledStuds[StudID],0))</f>
        <v>#N/A</v>
      </c>
    </row>
    <row r="671" spans="2:25" x14ac:dyDescent="0.25">
      <c r="B671">
        <v>669</v>
      </c>
      <c r="C671">
        <v>146</v>
      </c>
      <c r="D671">
        <v>96</v>
      </c>
      <c r="P671" t="str">
        <f t="shared" si="14"/>
        <v>(NULL,"146","96"),</v>
      </c>
      <c r="Q671" t="str">
        <f>TextJoin(tblEnrolledSubjs[[#This Row],[CSubjID]:[EStudID]],"Value")</f>
        <v>"146","96"</v>
      </c>
      <c r="S671">
        <f>LOOKUP(LOOKUP(tblEnrolledSubjs[[#This Row],[CSubjID]], tblClassSubjs[CSubjID],tblClassSubjs[ClassID]),tblClasses[ClassID],tblClasses[STermID])</f>
        <v>3</v>
      </c>
      <c r="T671" t="str">
        <f>LOOKUP(S671,tblSchoolTerms[STermID],tblSchoolTerms[SemesterID]&amp;" Semester "&amp;tblSchoolTerms[SchoolYear])</f>
        <v>2 Semester S.Y. 2017-2018</v>
      </c>
      <c r="W6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1" t="e">
        <f t="array" ref="Y671">INDEX(tblEnrolledStuds[EStudID],MATCH(tblEnrolledSubjs[[#This Row],[EStudID]]&amp;S671,tblEnrolledStuds[AdmissionStatusID]&amp;tblEnrolledStuds[StudID],0))</f>
        <v>#N/A</v>
      </c>
    </row>
    <row r="672" spans="2:25" x14ac:dyDescent="0.25">
      <c r="B672">
        <v>670</v>
      </c>
      <c r="C672">
        <v>146</v>
      </c>
      <c r="D672">
        <v>97</v>
      </c>
      <c r="P672" t="str">
        <f t="shared" si="14"/>
        <v>(NULL,"146","97"),</v>
      </c>
      <c r="Q672" t="str">
        <f>TextJoin(tblEnrolledSubjs[[#This Row],[CSubjID]:[EStudID]],"Value")</f>
        <v>"146","97"</v>
      </c>
      <c r="S672">
        <f>LOOKUP(LOOKUP(tblEnrolledSubjs[[#This Row],[CSubjID]], tblClassSubjs[CSubjID],tblClassSubjs[ClassID]),tblClasses[ClassID],tblClasses[STermID])</f>
        <v>3</v>
      </c>
      <c r="T672" t="str">
        <f>LOOKUP(S672,tblSchoolTerms[STermID],tblSchoolTerms[SemesterID]&amp;" Semester "&amp;tblSchoolTerms[SchoolYear])</f>
        <v>2 Semester S.Y. 2017-2018</v>
      </c>
      <c r="W6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2" t="e">
        <f t="array" ref="Y672">INDEX(tblEnrolledStuds[EStudID],MATCH(tblEnrolledSubjs[[#This Row],[EStudID]]&amp;S672,tblEnrolledStuds[AdmissionStatusID]&amp;tblEnrolledStuds[StudID],0))</f>
        <v>#N/A</v>
      </c>
    </row>
    <row r="673" spans="2:25" x14ac:dyDescent="0.25">
      <c r="B673">
        <v>671</v>
      </c>
      <c r="C673">
        <v>146</v>
      </c>
      <c r="D673">
        <v>99</v>
      </c>
      <c r="P673" t="str">
        <f t="shared" si="14"/>
        <v>(NULL,"146","99"),</v>
      </c>
      <c r="Q673" t="str">
        <f>TextJoin(tblEnrolledSubjs[[#This Row],[CSubjID]:[EStudID]],"Value")</f>
        <v>"146","99"</v>
      </c>
      <c r="S673">
        <f>LOOKUP(LOOKUP(tblEnrolledSubjs[[#This Row],[CSubjID]], tblClassSubjs[CSubjID],tblClassSubjs[ClassID]),tblClasses[ClassID],tblClasses[STermID])</f>
        <v>3</v>
      </c>
      <c r="T673" t="str">
        <f>LOOKUP(S673,tblSchoolTerms[STermID],tblSchoolTerms[SemesterID]&amp;" Semester "&amp;tblSchoolTerms[SchoolYear])</f>
        <v>2 Semester S.Y. 2017-2018</v>
      </c>
      <c r="W6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3" t="e">
        <f t="array" ref="Y673">INDEX(tblEnrolledStuds[EStudID],MATCH(tblEnrolledSubjs[[#This Row],[EStudID]]&amp;S673,tblEnrolledStuds[AdmissionStatusID]&amp;tblEnrolledStuds[StudID],0))</f>
        <v>#N/A</v>
      </c>
    </row>
    <row r="674" spans="2:25" x14ac:dyDescent="0.25">
      <c r="B674">
        <v>672</v>
      </c>
      <c r="C674">
        <v>146</v>
      </c>
      <c r="D674">
        <v>101</v>
      </c>
      <c r="P674" t="str">
        <f t="shared" si="14"/>
        <v>(NULL,"146","101"),</v>
      </c>
      <c r="Q674" t="str">
        <f>TextJoin(tblEnrolledSubjs[[#This Row],[CSubjID]:[EStudID]],"Value")</f>
        <v>"146","101"</v>
      </c>
      <c r="S674">
        <f>LOOKUP(LOOKUP(tblEnrolledSubjs[[#This Row],[CSubjID]], tblClassSubjs[CSubjID],tblClassSubjs[ClassID]),tblClasses[ClassID],tblClasses[STermID])</f>
        <v>3</v>
      </c>
      <c r="T674" t="str">
        <f>LOOKUP(S674,tblSchoolTerms[STermID],tblSchoolTerms[SemesterID]&amp;" Semester "&amp;tblSchoolTerms[SchoolYear])</f>
        <v>2 Semester S.Y. 2017-2018</v>
      </c>
      <c r="W6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4" t="e">
        <f t="array" ref="Y674">INDEX(tblEnrolledStuds[EStudID],MATCH(tblEnrolledSubjs[[#This Row],[EStudID]]&amp;S674,tblEnrolledStuds[AdmissionStatusID]&amp;tblEnrolledStuds[StudID],0))</f>
        <v>#N/A</v>
      </c>
    </row>
    <row r="675" spans="2:25" x14ac:dyDescent="0.25">
      <c r="B675">
        <v>673</v>
      </c>
      <c r="C675">
        <v>146</v>
      </c>
      <c r="D675">
        <v>102</v>
      </c>
      <c r="P675" t="str">
        <f t="shared" si="14"/>
        <v>(NULL,"146","102"),</v>
      </c>
      <c r="Q675" t="str">
        <f>TextJoin(tblEnrolledSubjs[[#This Row],[CSubjID]:[EStudID]],"Value")</f>
        <v>"146","102"</v>
      </c>
      <c r="S675">
        <f>LOOKUP(LOOKUP(tblEnrolledSubjs[[#This Row],[CSubjID]], tblClassSubjs[CSubjID],tblClassSubjs[ClassID]),tblClasses[ClassID],tblClasses[STermID])</f>
        <v>3</v>
      </c>
      <c r="T675" t="str">
        <f>LOOKUP(S675,tblSchoolTerms[STermID],tblSchoolTerms[SemesterID]&amp;" Semester "&amp;tblSchoolTerms[SchoolYear])</f>
        <v>2 Semester S.Y. 2017-2018</v>
      </c>
      <c r="W6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5" t="e">
        <f t="array" ref="Y675">INDEX(tblEnrolledStuds[EStudID],MATCH(tblEnrolledSubjs[[#This Row],[EStudID]]&amp;S675,tblEnrolledStuds[AdmissionStatusID]&amp;tblEnrolledStuds[StudID],0))</f>
        <v>#N/A</v>
      </c>
    </row>
    <row r="676" spans="2:25" x14ac:dyDescent="0.25">
      <c r="B676">
        <v>674</v>
      </c>
      <c r="C676">
        <v>146</v>
      </c>
      <c r="D676">
        <v>95</v>
      </c>
      <c r="P676" t="str">
        <f t="shared" si="14"/>
        <v>(NULL,"146","95"),</v>
      </c>
      <c r="Q676" t="str">
        <f>TextJoin(tblEnrolledSubjs[[#This Row],[CSubjID]:[EStudID]],"Value")</f>
        <v>"146","95"</v>
      </c>
      <c r="S676">
        <f>LOOKUP(LOOKUP(tblEnrolledSubjs[[#This Row],[CSubjID]], tblClassSubjs[CSubjID],tblClassSubjs[ClassID]),tblClasses[ClassID],tblClasses[STermID])</f>
        <v>3</v>
      </c>
      <c r="T676" t="str">
        <f>LOOKUP(S676,tblSchoolTerms[STermID],tblSchoolTerms[SemesterID]&amp;" Semester "&amp;tblSchoolTerms[SchoolYear])</f>
        <v>2 Semester S.Y. 2017-2018</v>
      </c>
      <c r="W6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6" t="e">
        <f t="array" ref="Y676">INDEX(tblEnrolledStuds[EStudID],MATCH(tblEnrolledSubjs[[#This Row],[EStudID]]&amp;S676,tblEnrolledStuds[AdmissionStatusID]&amp;tblEnrolledStuds[StudID],0))</f>
        <v>#N/A</v>
      </c>
    </row>
    <row r="677" spans="2:25" x14ac:dyDescent="0.25">
      <c r="B677">
        <v>675</v>
      </c>
      <c r="C677">
        <v>147</v>
      </c>
      <c r="D677">
        <v>89</v>
      </c>
      <c r="P677" t="str">
        <f t="shared" si="14"/>
        <v>(NULL,"147","89"),</v>
      </c>
      <c r="Q677" t="str">
        <f>TextJoin(tblEnrolledSubjs[[#This Row],[CSubjID]:[EStudID]],"Value")</f>
        <v>"147","89"</v>
      </c>
      <c r="S677">
        <f>LOOKUP(LOOKUP(tblEnrolledSubjs[[#This Row],[CSubjID]], tblClassSubjs[CSubjID],tblClassSubjs[ClassID]),tblClasses[ClassID],tblClasses[STermID])</f>
        <v>3</v>
      </c>
      <c r="T677" t="str">
        <f>LOOKUP(S677,tblSchoolTerms[STermID],tblSchoolTerms[SemesterID]&amp;" Semester "&amp;tblSchoolTerms[SchoolYear])</f>
        <v>2 Semester S.Y. 2017-2018</v>
      </c>
      <c r="W6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7" t="e">
        <f t="array" ref="Y677">INDEX(tblEnrolledStuds[EStudID],MATCH(tblEnrolledSubjs[[#This Row],[EStudID]]&amp;S677,tblEnrolledStuds[AdmissionStatusID]&amp;tblEnrolledStuds[StudID],0))</f>
        <v>#N/A</v>
      </c>
    </row>
    <row r="678" spans="2:25" x14ac:dyDescent="0.25">
      <c r="B678">
        <v>676</v>
      </c>
      <c r="C678">
        <v>147</v>
      </c>
      <c r="D678">
        <v>90</v>
      </c>
      <c r="P678" t="str">
        <f t="shared" si="14"/>
        <v>(NULL,"147","90"),</v>
      </c>
      <c r="Q678" t="str">
        <f>TextJoin(tblEnrolledSubjs[[#This Row],[CSubjID]:[EStudID]],"Value")</f>
        <v>"147","90"</v>
      </c>
      <c r="S678">
        <f>LOOKUP(LOOKUP(tblEnrolledSubjs[[#This Row],[CSubjID]], tblClassSubjs[CSubjID],tblClassSubjs[ClassID]),tblClasses[ClassID],tblClasses[STermID])</f>
        <v>3</v>
      </c>
      <c r="T678" t="str">
        <f>LOOKUP(S678,tblSchoolTerms[STermID],tblSchoolTerms[SemesterID]&amp;" Semester "&amp;tblSchoolTerms[SchoolYear])</f>
        <v>2 Semester S.Y. 2017-2018</v>
      </c>
      <c r="W6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8" t="e">
        <f t="array" ref="Y678">INDEX(tblEnrolledStuds[EStudID],MATCH(tblEnrolledSubjs[[#This Row],[EStudID]]&amp;S678,tblEnrolledStuds[AdmissionStatusID]&amp;tblEnrolledStuds[StudID],0))</f>
        <v>#N/A</v>
      </c>
    </row>
    <row r="679" spans="2:25" x14ac:dyDescent="0.25">
      <c r="B679">
        <v>677</v>
      </c>
      <c r="C679">
        <v>147</v>
      </c>
      <c r="D679">
        <v>91</v>
      </c>
      <c r="P679" t="str">
        <f t="shared" si="14"/>
        <v>(NULL,"147","91"),</v>
      </c>
      <c r="Q679" t="str">
        <f>TextJoin(tblEnrolledSubjs[[#This Row],[CSubjID]:[EStudID]],"Value")</f>
        <v>"147","91"</v>
      </c>
      <c r="S679">
        <f>LOOKUP(LOOKUP(tblEnrolledSubjs[[#This Row],[CSubjID]], tblClassSubjs[CSubjID],tblClassSubjs[ClassID]),tblClasses[ClassID],tblClasses[STermID])</f>
        <v>3</v>
      </c>
      <c r="T679" t="str">
        <f>LOOKUP(S679,tblSchoolTerms[STermID],tblSchoolTerms[SemesterID]&amp;" Semester "&amp;tblSchoolTerms[SchoolYear])</f>
        <v>2 Semester S.Y. 2017-2018</v>
      </c>
      <c r="W6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79" t="e">
        <f t="array" ref="Y679">INDEX(tblEnrolledStuds[EStudID],MATCH(tblEnrolledSubjs[[#This Row],[EStudID]]&amp;S679,tblEnrolledStuds[AdmissionStatusID]&amp;tblEnrolledStuds[StudID],0))</f>
        <v>#N/A</v>
      </c>
    </row>
    <row r="680" spans="2:25" x14ac:dyDescent="0.25">
      <c r="B680">
        <v>678</v>
      </c>
      <c r="C680">
        <v>147</v>
      </c>
      <c r="D680">
        <v>93</v>
      </c>
      <c r="P680" t="str">
        <f t="shared" si="14"/>
        <v>(NULL,"147","93"),</v>
      </c>
      <c r="Q680" t="str">
        <f>TextJoin(tblEnrolledSubjs[[#This Row],[CSubjID]:[EStudID]],"Value")</f>
        <v>"147","93"</v>
      </c>
      <c r="S680">
        <f>LOOKUP(LOOKUP(tblEnrolledSubjs[[#This Row],[CSubjID]], tblClassSubjs[CSubjID],tblClassSubjs[ClassID]),tblClasses[ClassID],tblClasses[STermID])</f>
        <v>3</v>
      </c>
      <c r="T680" t="str">
        <f>LOOKUP(S680,tblSchoolTerms[STermID],tblSchoolTerms[SemesterID]&amp;" Semester "&amp;tblSchoolTerms[SchoolYear])</f>
        <v>2 Semester S.Y. 2017-2018</v>
      </c>
      <c r="W6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0" t="e">
        <f t="array" ref="Y680">INDEX(tblEnrolledStuds[EStudID],MATCH(tblEnrolledSubjs[[#This Row],[EStudID]]&amp;S680,tblEnrolledStuds[AdmissionStatusID]&amp;tblEnrolledStuds[StudID],0))</f>
        <v>#N/A</v>
      </c>
    </row>
    <row r="681" spans="2:25" x14ac:dyDescent="0.25">
      <c r="B681">
        <v>679</v>
      </c>
      <c r="C681">
        <v>147</v>
      </c>
      <c r="D681">
        <v>94</v>
      </c>
      <c r="P681" t="str">
        <f t="shared" si="14"/>
        <v>(NULL,"147","94"),</v>
      </c>
      <c r="Q681" t="str">
        <f>TextJoin(tblEnrolledSubjs[[#This Row],[CSubjID]:[EStudID]],"Value")</f>
        <v>"147","94"</v>
      </c>
      <c r="S681">
        <f>LOOKUP(LOOKUP(tblEnrolledSubjs[[#This Row],[CSubjID]], tblClassSubjs[CSubjID],tblClassSubjs[ClassID]),tblClasses[ClassID],tblClasses[STermID])</f>
        <v>3</v>
      </c>
      <c r="T681" t="str">
        <f>LOOKUP(S681,tblSchoolTerms[STermID],tblSchoolTerms[SemesterID]&amp;" Semester "&amp;tblSchoolTerms[SchoolYear])</f>
        <v>2 Semester S.Y. 2017-2018</v>
      </c>
      <c r="W6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1" t="e">
        <f t="array" ref="Y681">INDEX(tblEnrolledStuds[EStudID],MATCH(tblEnrolledSubjs[[#This Row],[EStudID]]&amp;S681,tblEnrolledStuds[AdmissionStatusID]&amp;tblEnrolledStuds[StudID],0))</f>
        <v>#N/A</v>
      </c>
    </row>
    <row r="682" spans="2:25" x14ac:dyDescent="0.25">
      <c r="B682">
        <v>680</v>
      </c>
      <c r="C682">
        <v>147</v>
      </c>
      <c r="D682">
        <v>96</v>
      </c>
      <c r="P682" t="str">
        <f t="shared" si="14"/>
        <v>(NULL,"147","96"),</v>
      </c>
      <c r="Q682" t="str">
        <f>TextJoin(tblEnrolledSubjs[[#This Row],[CSubjID]:[EStudID]],"Value")</f>
        <v>"147","96"</v>
      </c>
      <c r="S682">
        <f>LOOKUP(LOOKUP(tblEnrolledSubjs[[#This Row],[CSubjID]], tblClassSubjs[CSubjID],tblClassSubjs[ClassID]),tblClasses[ClassID],tblClasses[STermID])</f>
        <v>3</v>
      </c>
      <c r="T682" t="str">
        <f>LOOKUP(S682,tblSchoolTerms[STermID],tblSchoolTerms[SemesterID]&amp;" Semester "&amp;tblSchoolTerms[SchoolYear])</f>
        <v>2 Semester S.Y. 2017-2018</v>
      </c>
      <c r="W6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2" t="e">
        <f t="array" ref="Y682">INDEX(tblEnrolledStuds[EStudID],MATCH(tblEnrolledSubjs[[#This Row],[EStudID]]&amp;S682,tblEnrolledStuds[AdmissionStatusID]&amp;tblEnrolledStuds[StudID],0))</f>
        <v>#N/A</v>
      </c>
    </row>
    <row r="683" spans="2:25" x14ac:dyDescent="0.25">
      <c r="B683">
        <v>681</v>
      </c>
      <c r="C683">
        <v>147</v>
      </c>
      <c r="D683">
        <v>97</v>
      </c>
      <c r="P683" t="str">
        <f t="shared" si="14"/>
        <v>(NULL,"147","97"),</v>
      </c>
      <c r="Q683" t="str">
        <f>TextJoin(tblEnrolledSubjs[[#This Row],[CSubjID]:[EStudID]],"Value")</f>
        <v>"147","97"</v>
      </c>
      <c r="S683">
        <f>LOOKUP(LOOKUP(tblEnrolledSubjs[[#This Row],[CSubjID]], tblClassSubjs[CSubjID],tblClassSubjs[ClassID]),tblClasses[ClassID],tblClasses[STermID])</f>
        <v>3</v>
      </c>
      <c r="T683" t="str">
        <f>LOOKUP(S683,tblSchoolTerms[STermID],tblSchoolTerms[SemesterID]&amp;" Semester "&amp;tblSchoolTerms[SchoolYear])</f>
        <v>2 Semester S.Y. 2017-2018</v>
      </c>
      <c r="W6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3" t="e">
        <f t="array" ref="Y683">INDEX(tblEnrolledStuds[EStudID],MATCH(tblEnrolledSubjs[[#This Row],[EStudID]]&amp;S683,tblEnrolledStuds[AdmissionStatusID]&amp;tblEnrolledStuds[StudID],0))</f>
        <v>#N/A</v>
      </c>
    </row>
    <row r="684" spans="2:25" x14ac:dyDescent="0.25">
      <c r="B684">
        <v>682</v>
      </c>
      <c r="C684">
        <v>147</v>
      </c>
      <c r="D684">
        <v>99</v>
      </c>
      <c r="P684" t="str">
        <f t="shared" si="14"/>
        <v>(NULL,"147","99"),</v>
      </c>
      <c r="Q684" t="str">
        <f>TextJoin(tblEnrolledSubjs[[#This Row],[CSubjID]:[EStudID]],"Value")</f>
        <v>"147","99"</v>
      </c>
      <c r="S684">
        <f>LOOKUP(LOOKUP(tblEnrolledSubjs[[#This Row],[CSubjID]], tblClassSubjs[CSubjID],tblClassSubjs[ClassID]),tblClasses[ClassID],tblClasses[STermID])</f>
        <v>3</v>
      </c>
      <c r="T684" t="str">
        <f>LOOKUP(S684,tblSchoolTerms[STermID],tblSchoolTerms[SemesterID]&amp;" Semester "&amp;tblSchoolTerms[SchoolYear])</f>
        <v>2 Semester S.Y. 2017-2018</v>
      </c>
      <c r="W6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4" t="e">
        <f t="array" ref="Y684">INDEX(tblEnrolledStuds[EStudID],MATCH(tblEnrolledSubjs[[#This Row],[EStudID]]&amp;S684,tblEnrolledStuds[AdmissionStatusID]&amp;tblEnrolledStuds[StudID],0))</f>
        <v>#N/A</v>
      </c>
    </row>
    <row r="685" spans="2:25" x14ac:dyDescent="0.25">
      <c r="B685">
        <v>683</v>
      </c>
      <c r="C685">
        <v>147</v>
      </c>
      <c r="D685">
        <v>101</v>
      </c>
      <c r="P685" t="str">
        <f t="shared" si="14"/>
        <v>(NULL,"147","101"),</v>
      </c>
      <c r="Q685" t="str">
        <f>TextJoin(tblEnrolledSubjs[[#This Row],[CSubjID]:[EStudID]],"Value")</f>
        <v>"147","101"</v>
      </c>
      <c r="S685">
        <f>LOOKUP(LOOKUP(tblEnrolledSubjs[[#This Row],[CSubjID]], tblClassSubjs[CSubjID],tblClassSubjs[ClassID]),tblClasses[ClassID],tblClasses[STermID])</f>
        <v>3</v>
      </c>
      <c r="T685" t="str">
        <f>LOOKUP(S685,tblSchoolTerms[STermID],tblSchoolTerms[SemesterID]&amp;" Semester "&amp;tblSchoolTerms[SchoolYear])</f>
        <v>2 Semester S.Y. 2017-2018</v>
      </c>
      <c r="W6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5" t="e">
        <f t="array" ref="Y685">INDEX(tblEnrolledStuds[EStudID],MATCH(tblEnrolledSubjs[[#This Row],[EStudID]]&amp;S685,tblEnrolledStuds[AdmissionStatusID]&amp;tblEnrolledStuds[StudID],0))</f>
        <v>#N/A</v>
      </c>
    </row>
    <row r="686" spans="2:25" x14ac:dyDescent="0.25">
      <c r="B686">
        <v>684</v>
      </c>
      <c r="C686">
        <v>147</v>
      </c>
      <c r="D686">
        <v>102</v>
      </c>
      <c r="P686" t="str">
        <f t="shared" si="14"/>
        <v>(NULL,"147","102"),</v>
      </c>
      <c r="Q686" t="str">
        <f>TextJoin(tblEnrolledSubjs[[#This Row],[CSubjID]:[EStudID]],"Value")</f>
        <v>"147","102"</v>
      </c>
      <c r="S686">
        <f>LOOKUP(LOOKUP(tblEnrolledSubjs[[#This Row],[CSubjID]], tblClassSubjs[CSubjID],tblClassSubjs[ClassID]),tblClasses[ClassID],tblClasses[STermID])</f>
        <v>3</v>
      </c>
      <c r="T686" t="str">
        <f>LOOKUP(S686,tblSchoolTerms[STermID],tblSchoolTerms[SemesterID]&amp;" Semester "&amp;tblSchoolTerms[SchoolYear])</f>
        <v>2 Semester S.Y. 2017-2018</v>
      </c>
      <c r="W6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6" t="e">
        <f t="array" ref="Y686">INDEX(tblEnrolledStuds[EStudID],MATCH(tblEnrolledSubjs[[#This Row],[EStudID]]&amp;S686,tblEnrolledStuds[AdmissionStatusID]&amp;tblEnrolledStuds[StudID],0))</f>
        <v>#N/A</v>
      </c>
    </row>
    <row r="687" spans="2:25" x14ac:dyDescent="0.25">
      <c r="B687">
        <v>685</v>
      </c>
      <c r="C687">
        <v>147</v>
      </c>
      <c r="D687">
        <v>95</v>
      </c>
      <c r="P687" t="str">
        <f t="shared" si="14"/>
        <v>(NULL,"147","95"),</v>
      </c>
      <c r="Q687" t="str">
        <f>TextJoin(tblEnrolledSubjs[[#This Row],[CSubjID]:[EStudID]],"Value")</f>
        <v>"147","95"</v>
      </c>
      <c r="S687">
        <f>LOOKUP(LOOKUP(tblEnrolledSubjs[[#This Row],[CSubjID]], tblClassSubjs[CSubjID],tblClassSubjs[ClassID]),tblClasses[ClassID],tblClasses[STermID])</f>
        <v>3</v>
      </c>
      <c r="T687" t="str">
        <f>LOOKUP(S687,tblSchoolTerms[STermID],tblSchoolTerms[SemesterID]&amp;" Semester "&amp;tblSchoolTerms[SchoolYear])</f>
        <v>2 Semester S.Y. 2017-2018</v>
      </c>
      <c r="W6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7" t="e">
        <f t="array" ref="Y687">INDEX(tblEnrolledStuds[EStudID],MATCH(tblEnrolledSubjs[[#This Row],[EStudID]]&amp;S687,tblEnrolledStuds[AdmissionStatusID]&amp;tblEnrolledStuds[StudID],0))</f>
        <v>#N/A</v>
      </c>
    </row>
    <row r="688" spans="2:25" x14ac:dyDescent="0.25">
      <c r="B688">
        <v>686</v>
      </c>
      <c r="C688">
        <v>150</v>
      </c>
      <c r="D688">
        <v>89</v>
      </c>
      <c r="P688" t="str">
        <f t="shared" si="14"/>
        <v>(NULL,"150","89"),</v>
      </c>
      <c r="Q688" t="str">
        <f>TextJoin(tblEnrolledSubjs[[#This Row],[CSubjID]:[EStudID]],"Value")</f>
        <v>"150","89"</v>
      </c>
      <c r="S688">
        <f>LOOKUP(LOOKUP(tblEnrolledSubjs[[#This Row],[CSubjID]], tblClassSubjs[CSubjID],tblClassSubjs[ClassID]),tblClasses[ClassID],tblClasses[STermID])</f>
        <v>3</v>
      </c>
      <c r="T688" t="str">
        <f>LOOKUP(S688,tblSchoolTerms[STermID],tblSchoolTerms[SemesterID]&amp;" Semester "&amp;tblSchoolTerms[SchoolYear])</f>
        <v>2 Semester S.Y. 2017-2018</v>
      </c>
      <c r="W6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8" t="e">
        <f t="array" ref="Y688">INDEX(tblEnrolledStuds[EStudID],MATCH(tblEnrolledSubjs[[#This Row],[EStudID]]&amp;S688,tblEnrolledStuds[AdmissionStatusID]&amp;tblEnrolledStuds[StudID],0))</f>
        <v>#N/A</v>
      </c>
    </row>
    <row r="689" spans="2:25" x14ac:dyDescent="0.25">
      <c r="B689">
        <v>687</v>
      </c>
      <c r="C689">
        <v>150</v>
      </c>
      <c r="D689">
        <v>90</v>
      </c>
      <c r="P689" t="str">
        <f t="shared" si="14"/>
        <v>(NULL,"150","90"),</v>
      </c>
      <c r="Q689" t="str">
        <f>TextJoin(tblEnrolledSubjs[[#This Row],[CSubjID]:[EStudID]],"Value")</f>
        <v>"150","90"</v>
      </c>
      <c r="S689">
        <f>LOOKUP(LOOKUP(tblEnrolledSubjs[[#This Row],[CSubjID]], tblClassSubjs[CSubjID],tblClassSubjs[ClassID]),tblClasses[ClassID],tblClasses[STermID])</f>
        <v>3</v>
      </c>
      <c r="T689" t="str">
        <f>LOOKUP(S689,tblSchoolTerms[STermID],tblSchoolTerms[SemesterID]&amp;" Semester "&amp;tblSchoolTerms[SchoolYear])</f>
        <v>2 Semester S.Y. 2017-2018</v>
      </c>
      <c r="W6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89" t="e">
        <f t="array" ref="Y689">INDEX(tblEnrolledStuds[EStudID],MATCH(tblEnrolledSubjs[[#This Row],[EStudID]]&amp;S689,tblEnrolledStuds[AdmissionStatusID]&amp;tblEnrolledStuds[StudID],0))</f>
        <v>#N/A</v>
      </c>
    </row>
    <row r="690" spans="2:25" x14ac:dyDescent="0.25">
      <c r="B690">
        <v>688</v>
      </c>
      <c r="C690">
        <v>150</v>
      </c>
      <c r="D690">
        <v>91</v>
      </c>
      <c r="P690" t="str">
        <f t="shared" si="14"/>
        <v>(NULL,"150","91"),</v>
      </c>
      <c r="Q690" t="str">
        <f>TextJoin(tblEnrolledSubjs[[#This Row],[CSubjID]:[EStudID]],"Value")</f>
        <v>"150","91"</v>
      </c>
      <c r="S690">
        <f>LOOKUP(LOOKUP(tblEnrolledSubjs[[#This Row],[CSubjID]], tblClassSubjs[CSubjID],tblClassSubjs[ClassID]),tblClasses[ClassID],tblClasses[STermID])</f>
        <v>3</v>
      </c>
      <c r="T690" t="str">
        <f>LOOKUP(S690,tblSchoolTerms[STermID],tblSchoolTerms[SemesterID]&amp;" Semester "&amp;tblSchoolTerms[SchoolYear])</f>
        <v>2 Semester S.Y. 2017-2018</v>
      </c>
      <c r="W6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0" t="e">
        <f t="array" ref="Y690">INDEX(tblEnrolledStuds[EStudID],MATCH(tblEnrolledSubjs[[#This Row],[EStudID]]&amp;S690,tblEnrolledStuds[AdmissionStatusID]&amp;tblEnrolledStuds[StudID],0))</f>
        <v>#N/A</v>
      </c>
    </row>
    <row r="691" spans="2:25" x14ac:dyDescent="0.25">
      <c r="B691">
        <v>689</v>
      </c>
      <c r="C691">
        <v>150</v>
      </c>
      <c r="D691">
        <v>93</v>
      </c>
      <c r="P691" t="str">
        <f t="shared" si="14"/>
        <v>(NULL,"150","93"),</v>
      </c>
      <c r="Q691" t="str">
        <f>TextJoin(tblEnrolledSubjs[[#This Row],[CSubjID]:[EStudID]],"Value")</f>
        <v>"150","93"</v>
      </c>
      <c r="S691">
        <f>LOOKUP(LOOKUP(tblEnrolledSubjs[[#This Row],[CSubjID]], tblClassSubjs[CSubjID],tblClassSubjs[ClassID]),tblClasses[ClassID],tblClasses[STermID])</f>
        <v>3</v>
      </c>
      <c r="T691" t="str">
        <f>LOOKUP(S691,tblSchoolTerms[STermID],tblSchoolTerms[SemesterID]&amp;" Semester "&amp;tblSchoolTerms[SchoolYear])</f>
        <v>2 Semester S.Y. 2017-2018</v>
      </c>
      <c r="W6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1" t="e">
        <f t="array" ref="Y691">INDEX(tblEnrolledStuds[EStudID],MATCH(tblEnrolledSubjs[[#This Row],[EStudID]]&amp;S691,tblEnrolledStuds[AdmissionStatusID]&amp;tblEnrolledStuds[StudID],0))</f>
        <v>#N/A</v>
      </c>
    </row>
    <row r="692" spans="2:25" x14ac:dyDescent="0.25">
      <c r="B692">
        <v>690</v>
      </c>
      <c r="C692">
        <v>150</v>
      </c>
      <c r="D692">
        <v>94</v>
      </c>
      <c r="P692" t="str">
        <f t="shared" si="14"/>
        <v>(NULL,"150","94"),</v>
      </c>
      <c r="Q692" t="str">
        <f>TextJoin(tblEnrolledSubjs[[#This Row],[CSubjID]:[EStudID]],"Value")</f>
        <v>"150","94"</v>
      </c>
      <c r="S692">
        <f>LOOKUP(LOOKUP(tblEnrolledSubjs[[#This Row],[CSubjID]], tblClassSubjs[CSubjID],tblClassSubjs[ClassID]),tblClasses[ClassID],tblClasses[STermID])</f>
        <v>3</v>
      </c>
      <c r="T692" t="str">
        <f>LOOKUP(S692,tblSchoolTerms[STermID],tblSchoolTerms[SemesterID]&amp;" Semester "&amp;tblSchoolTerms[SchoolYear])</f>
        <v>2 Semester S.Y. 2017-2018</v>
      </c>
      <c r="W6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2" t="e">
        <f t="array" ref="Y692">INDEX(tblEnrolledStuds[EStudID],MATCH(tblEnrolledSubjs[[#This Row],[EStudID]]&amp;S692,tblEnrolledStuds[AdmissionStatusID]&amp;tblEnrolledStuds[StudID],0))</f>
        <v>#N/A</v>
      </c>
    </row>
    <row r="693" spans="2:25" x14ac:dyDescent="0.25">
      <c r="B693">
        <v>691</v>
      </c>
      <c r="C693">
        <v>150</v>
      </c>
      <c r="D693">
        <v>96</v>
      </c>
      <c r="P693" t="str">
        <f t="shared" si="14"/>
        <v>(NULL,"150","96"),</v>
      </c>
      <c r="Q693" t="str">
        <f>TextJoin(tblEnrolledSubjs[[#This Row],[CSubjID]:[EStudID]],"Value")</f>
        <v>"150","96"</v>
      </c>
      <c r="S693">
        <f>LOOKUP(LOOKUP(tblEnrolledSubjs[[#This Row],[CSubjID]], tblClassSubjs[CSubjID],tblClassSubjs[ClassID]),tblClasses[ClassID],tblClasses[STermID])</f>
        <v>3</v>
      </c>
      <c r="T693" t="str">
        <f>LOOKUP(S693,tblSchoolTerms[STermID],tblSchoolTerms[SemesterID]&amp;" Semester "&amp;tblSchoolTerms[SchoolYear])</f>
        <v>2 Semester S.Y. 2017-2018</v>
      </c>
      <c r="W6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3" t="e">
        <f t="array" ref="Y693">INDEX(tblEnrolledStuds[EStudID],MATCH(tblEnrolledSubjs[[#This Row],[EStudID]]&amp;S693,tblEnrolledStuds[AdmissionStatusID]&amp;tblEnrolledStuds[StudID],0))</f>
        <v>#N/A</v>
      </c>
    </row>
    <row r="694" spans="2:25" x14ac:dyDescent="0.25">
      <c r="B694">
        <v>692</v>
      </c>
      <c r="C694">
        <v>150</v>
      </c>
      <c r="D694">
        <v>97</v>
      </c>
      <c r="P694" t="str">
        <f t="shared" si="14"/>
        <v>(NULL,"150","97"),</v>
      </c>
      <c r="Q694" t="str">
        <f>TextJoin(tblEnrolledSubjs[[#This Row],[CSubjID]:[EStudID]],"Value")</f>
        <v>"150","97"</v>
      </c>
      <c r="S694">
        <f>LOOKUP(LOOKUP(tblEnrolledSubjs[[#This Row],[CSubjID]], tblClassSubjs[CSubjID],tblClassSubjs[ClassID]),tblClasses[ClassID],tblClasses[STermID])</f>
        <v>3</v>
      </c>
      <c r="T694" t="str">
        <f>LOOKUP(S694,tblSchoolTerms[STermID],tblSchoolTerms[SemesterID]&amp;" Semester "&amp;tblSchoolTerms[SchoolYear])</f>
        <v>2 Semester S.Y. 2017-2018</v>
      </c>
      <c r="W6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4" t="e">
        <f t="array" ref="Y694">INDEX(tblEnrolledStuds[EStudID],MATCH(tblEnrolledSubjs[[#This Row],[EStudID]]&amp;S694,tblEnrolledStuds[AdmissionStatusID]&amp;tblEnrolledStuds[StudID],0))</f>
        <v>#N/A</v>
      </c>
    </row>
    <row r="695" spans="2:25" x14ac:dyDescent="0.25">
      <c r="B695">
        <v>693</v>
      </c>
      <c r="C695">
        <v>150</v>
      </c>
      <c r="D695">
        <v>99</v>
      </c>
      <c r="P695" t="str">
        <f t="shared" si="14"/>
        <v>(NULL,"150","99"),</v>
      </c>
      <c r="Q695" t="str">
        <f>TextJoin(tblEnrolledSubjs[[#This Row],[CSubjID]:[EStudID]],"Value")</f>
        <v>"150","99"</v>
      </c>
      <c r="S695">
        <f>LOOKUP(LOOKUP(tblEnrolledSubjs[[#This Row],[CSubjID]], tblClassSubjs[CSubjID],tblClassSubjs[ClassID]),tblClasses[ClassID],tblClasses[STermID])</f>
        <v>3</v>
      </c>
      <c r="T695" t="str">
        <f>LOOKUP(S695,tblSchoolTerms[STermID],tblSchoolTerms[SemesterID]&amp;" Semester "&amp;tblSchoolTerms[SchoolYear])</f>
        <v>2 Semester S.Y. 2017-2018</v>
      </c>
      <c r="W6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5" t="e">
        <f t="array" ref="Y695">INDEX(tblEnrolledStuds[EStudID],MATCH(tblEnrolledSubjs[[#This Row],[EStudID]]&amp;S695,tblEnrolledStuds[AdmissionStatusID]&amp;tblEnrolledStuds[StudID],0))</f>
        <v>#N/A</v>
      </c>
    </row>
    <row r="696" spans="2:25" x14ac:dyDescent="0.25">
      <c r="B696">
        <v>694</v>
      </c>
      <c r="C696">
        <v>150</v>
      </c>
      <c r="D696">
        <v>101</v>
      </c>
      <c r="P696" t="str">
        <f t="shared" si="14"/>
        <v>(NULL,"150","101"),</v>
      </c>
      <c r="Q696" t="str">
        <f>TextJoin(tblEnrolledSubjs[[#This Row],[CSubjID]:[EStudID]],"Value")</f>
        <v>"150","101"</v>
      </c>
      <c r="S696">
        <f>LOOKUP(LOOKUP(tblEnrolledSubjs[[#This Row],[CSubjID]], tblClassSubjs[CSubjID],tblClassSubjs[ClassID]),tblClasses[ClassID],tblClasses[STermID])</f>
        <v>3</v>
      </c>
      <c r="T696" t="str">
        <f>LOOKUP(S696,tblSchoolTerms[STermID],tblSchoolTerms[SemesterID]&amp;" Semester "&amp;tblSchoolTerms[SchoolYear])</f>
        <v>2 Semester S.Y. 2017-2018</v>
      </c>
      <c r="W6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6" t="e">
        <f t="array" ref="Y696">INDEX(tblEnrolledStuds[EStudID],MATCH(tblEnrolledSubjs[[#This Row],[EStudID]]&amp;S696,tblEnrolledStuds[AdmissionStatusID]&amp;tblEnrolledStuds[StudID],0))</f>
        <v>#N/A</v>
      </c>
    </row>
    <row r="697" spans="2:25" x14ac:dyDescent="0.25">
      <c r="B697">
        <v>695</v>
      </c>
      <c r="C697">
        <v>150</v>
      </c>
      <c r="D697">
        <v>102</v>
      </c>
      <c r="P697" t="str">
        <f t="shared" si="14"/>
        <v>(NULL,"150","102"),</v>
      </c>
      <c r="Q697" t="str">
        <f>TextJoin(tblEnrolledSubjs[[#This Row],[CSubjID]:[EStudID]],"Value")</f>
        <v>"150","102"</v>
      </c>
      <c r="S697">
        <f>LOOKUP(LOOKUP(tblEnrolledSubjs[[#This Row],[CSubjID]], tblClassSubjs[CSubjID],tblClassSubjs[ClassID]),tblClasses[ClassID],tblClasses[STermID])</f>
        <v>3</v>
      </c>
      <c r="T697" t="str">
        <f>LOOKUP(S697,tblSchoolTerms[STermID],tblSchoolTerms[SemesterID]&amp;" Semester "&amp;tblSchoolTerms[SchoolYear])</f>
        <v>2 Semester S.Y. 2017-2018</v>
      </c>
      <c r="W6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7" t="e">
        <f t="array" ref="Y697">INDEX(tblEnrolledStuds[EStudID],MATCH(tblEnrolledSubjs[[#This Row],[EStudID]]&amp;S697,tblEnrolledStuds[AdmissionStatusID]&amp;tblEnrolledStuds[StudID],0))</f>
        <v>#N/A</v>
      </c>
    </row>
    <row r="698" spans="2:25" x14ac:dyDescent="0.25">
      <c r="B698">
        <v>696</v>
      </c>
      <c r="C698">
        <v>150</v>
      </c>
      <c r="D698">
        <v>95</v>
      </c>
      <c r="P698" t="str">
        <f t="shared" si="14"/>
        <v>(NULL,"150","95"),</v>
      </c>
      <c r="Q698" t="str">
        <f>TextJoin(tblEnrolledSubjs[[#This Row],[CSubjID]:[EStudID]],"Value")</f>
        <v>"150","95"</v>
      </c>
      <c r="S698">
        <f>LOOKUP(LOOKUP(tblEnrolledSubjs[[#This Row],[CSubjID]], tblClassSubjs[CSubjID],tblClassSubjs[ClassID]),tblClasses[ClassID],tblClasses[STermID])</f>
        <v>3</v>
      </c>
      <c r="T698" t="str">
        <f>LOOKUP(S698,tblSchoolTerms[STermID],tblSchoolTerms[SemesterID]&amp;" Semester "&amp;tblSchoolTerms[SchoolYear])</f>
        <v>2 Semester S.Y. 2017-2018</v>
      </c>
      <c r="W6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8" t="e">
        <f t="array" ref="Y698">INDEX(tblEnrolledStuds[EStudID],MATCH(tblEnrolledSubjs[[#This Row],[EStudID]]&amp;S698,tblEnrolledStuds[AdmissionStatusID]&amp;tblEnrolledStuds[StudID],0))</f>
        <v>#N/A</v>
      </c>
    </row>
    <row r="699" spans="2:25" x14ac:dyDescent="0.25">
      <c r="B699">
        <v>697</v>
      </c>
      <c r="C699">
        <v>151</v>
      </c>
      <c r="D699">
        <v>89</v>
      </c>
      <c r="P699" t="str">
        <f t="shared" si="14"/>
        <v>(NULL,"151","89"),</v>
      </c>
      <c r="Q699" t="str">
        <f>TextJoin(tblEnrolledSubjs[[#This Row],[CSubjID]:[EStudID]],"Value")</f>
        <v>"151","89"</v>
      </c>
      <c r="S699">
        <f>LOOKUP(LOOKUP(tblEnrolledSubjs[[#This Row],[CSubjID]], tblClassSubjs[CSubjID],tblClassSubjs[ClassID]),tblClasses[ClassID],tblClasses[STermID])</f>
        <v>3</v>
      </c>
      <c r="T699" t="str">
        <f>LOOKUP(S699,tblSchoolTerms[STermID],tblSchoolTerms[SemesterID]&amp;" Semester "&amp;tblSchoolTerms[SchoolYear])</f>
        <v>2 Semester S.Y. 2017-2018</v>
      </c>
      <c r="W6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699" t="e">
        <f t="array" ref="Y699">INDEX(tblEnrolledStuds[EStudID],MATCH(tblEnrolledSubjs[[#This Row],[EStudID]]&amp;S699,tblEnrolledStuds[AdmissionStatusID]&amp;tblEnrolledStuds[StudID],0))</f>
        <v>#N/A</v>
      </c>
    </row>
    <row r="700" spans="2:25" x14ac:dyDescent="0.25">
      <c r="B700">
        <v>698</v>
      </c>
      <c r="C700">
        <v>151</v>
      </c>
      <c r="D700">
        <v>90</v>
      </c>
      <c r="P700" t="str">
        <f t="shared" si="14"/>
        <v>(NULL,"151","90"),</v>
      </c>
      <c r="Q700" t="str">
        <f>TextJoin(tblEnrolledSubjs[[#This Row],[CSubjID]:[EStudID]],"Value")</f>
        <v>"151","90"</v>
      </c>
      <c r="S700">
        <f>LOOKUP(LOOKUP(tblEnrolledSubjs[[#This Row],[CSubjID]], tblClassSubjs[CSubjID],tblClassSubjs[ClassID]),tblClasses[ClassID],tblClasses[STermID])</f>
        <v>3</v>
      </c>
      <c r="T700" t="str">
        <f>LOOKUP(S700,tblSchoolTerms[STermID],tblSchoolTerms[SemesterID]&amp;" Semester "&amp;tblSchoolTerms[SchoolYear])</f>
        <v>2 Semester S.Y. 2017-2018</v>
      </c>
      <c r="W7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0" t="e">
        <f t="array" ref="Y700">INDEX(tblEnrolledStuds[EStudID],MATCH(tblEnrolledSubjs[[#This Row],[EStudID]]&amp;S700,tblEnrolledStuds[AdmissionStatusID]&amp;tblEnrolledStuds[StudID],0))</f>
        <v>#N/A</v>
      </c>
    </row>
    <row r="701" spans="2:25" x14ac:dyDescent="0.25">
      <c r="B701">
        <v>699</v>
      </c>
      <c r="C701">
        <v>151</v>
      </c>
      <c r="D701">
        <v>91</v>
      </c>
      <c r="P701" t="str">
        <f t="shared" si="14"/>
        <v>(NULL,"151","91"),</v>
      </c>
      <c r="Q701" t="str">
        <f>TextJoin(tblEnrolledSubjs[[#This Row],[CSubjID]:[EStudID]],"Value")</f>
        <v>"151","91"</v>
      </c>
      <c r="S701">
        <f>LOOKUP(LOOKUP(tblEnrolledSubjs[[#This Row],[CSubjID]], tblClassSubjs[CSubjID],tblClassSubjs[ClassID]),tblClasses[ClassID],tblClasses[STermID])</f>
        <v>3</v>
      </c>
      <c r="T701" t="str">
        <f>LOOKUP(S701,tblSchoolTerms[STermID],tblSchoolTerms[SemesterID]&amp;" Semester "&amp;tblSchoolTerms[SchoolYear])</f>
        <v>2 Semester S.Y. 2017-2018</v>
      </c>
      <c r="W7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1" t="e">
        <f t="array" ref="Y701">INDEX(tblEnrolledStuds[EStudID],MATCH(tblEnrolledSubjs[[#This Row],[EStudID]]&amp;S701,tblEnrolledStuds[AdmissionStatusID]&amp;tblEnrolledStuds[StudID],0))</f>
        <v>#N/A</v>
      </c>
    </row>
    <row r="702" spans="2:25" x14ac:dyDescent="0.25">
      <c r="B702">
        <v>700</v>
      </c>
      <c r="C702">
        <v>151</v>
      </c>
      <c r="D702">
        <v>93</v>
      </c>
      <c r="P702" t="str">
        <f t="shared" si="14"/>
        <v>(NULL,"151","93"),</v>
      </c>
      <c r="Q702" t="str">
        <f>TextJoin(tblEnrolledSubjs[[#This Row],[CSubjID]:[EStudID]],"Value")</f>
        <v>"151","93"</v>
      </c>
      <c r="S702">
        <f>LOOKUP(LOOKUP(tblEnrolledSubjs[[#This Row],[CSubjID]], tblClassSubjs[CSubjID],tblClassSubjs[ClassID]),tblClasses[ClassID],tblClasses[STermID])</f>
        <v>3</v>
      </c>
      <c r="T702" t="str">
        <f>LOOKUP(S702,tblSchoolTerms[STermID],tblSchoolTerms[SemesterID]&amp;" Semester "&amp;tblSchoolTerms[SchoolYear])</f>
        <v>2 Semester S.Y. 2017-2018</v>
      </c>
      <c r="W7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2" t="e">
        <f t="array" ref="Y702">INDEX(tblEnrolledStuds[EStudID],MATCH(tblEnrolledSubjs[[#This Row],[EStudID]]&amp;S702,tblEnrolledStuds[AdmissionStatusID]&amp;tblEnrolledStuds[StudID],0))</f>
        <v>#N/A</v>
      </c>
    </row>
    <row r="703" spans="2:25" x14ac:dyDescent="0.25">
      <c r="B703">
        <v>701</v>
      </c>
      <c r="C703">
        <v>151</v>
      </c>
      <c r="D703">
        <v>94</v>
      </c>
      <c r="P703" t="str">
        <f t="shared" si="14"/>
        <v>(NULL,"151","94"),</v>
      </c>
      <c r="Q703" t="str">
        <f>TextJoin(tblEnrolledSubjs[[#This Row],[CSubjID]:[EStudID]],"Value")</f>
        <v>"151","94"</v>
      </c>
      <c r="S703">
        <f>LOOKUP(LOOKUP(tblEnrolledSubjs[[#This Row],[CSubjID]], tblClassSubjs[CSubjID],tblClassSubjs[ClassID]),tblClasses[ClassID],tblClasses[STermID])</f>
        <v>3</v>
      </c>
      <c r="T703" t="str">
        <f>LOOKUP(S703,tblSchoolTerms[STermID],tblSchoolTerms[SemesterID]&amp;" Semester "&amp;tblSchoolTerms[SchoolYear])</f>
        <v>2 Semester S.Y. 2017-2018</v>
      </c>
      <c r="W7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3" t="e">
        <f t="array" ref="Y703">INDEX(tblEnrolledStuds[EStudID],MATCH(tblEnrolledSubjs[[#This Row],[EStudID]]&amp;S703,tblEnrolledStuds[AdmissionStatusID]&amp;tblEnrolledStuds[StudID],0))</f>
        <v>#N/A</v>
      </c>
    </row>
    <row r="704" spans="2:25" x14ac:dyDescent="0.25">
      <c r="B704">
        <v>702</v>
      </c>
      <c r="C704">
        <v>151</v>
      </c>
      <c r="D704">
        <v>96</v>
      </c>
      <c r="P704" t="str">
        <f t="shared" si="14"/>
        <v>(NULL,"151","96"),</v>
      </c>
      <c r="Q704" t="str">
        <f>TextJoin(tblEnrolledSubjs[[#This Row],[CSubjID]:[EStudID]],"Value")</f>
        <v>"151","96"</v>
      </c>
      <c r="S704">
        <f>LOOKUP(LOOKUP(tblEnrolledSubjs[[#This Row],[CSubjID]], tblClassSubjs[CSubjID],tblClassSubjs[ClassID]),tblClasses[ClassID],tblClasses[STermID])</f>
        <v>3</v>
      </c>
      <c r="T704" t="str">
        <f>LOOKUP(S704,tblSchoolTerms[STermID],tblSchoolTerms[SemesterID]&amp;" Semester "&amp;tblSchoolTerms[SchoolYear])</f>
        <v>2 Semester S.Y. 2017-2018</v>
      </c>
      <c r="W7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4" t="e">
        <f t="array" ref="Y704">INDEX(tblEnrolledStuds[EStudID],MATCH(tblEnrolledSubjs[[#This Row],[EStudID]]&amp;S704,tblEnrolledStuds[AdmissionStatusID]&amp;tblEnrolledStuds[StudID],0))</f>
        <v>#N/A</v>
      </c>
    </row>
    <row r="705" spans="2:25" x14ac:dyDescent="0.25">
      <c r="B705">
        <v>703</v>
      </c>
      <c r="C705">
        <v>151</v>
      </c>
      <c r="D705">
        <v>97</v>
      </c>
      <c r="P705" t="str">
        <f t="shared" si="14"/>
        <v>(NULL,"151","97"),</v>
      </c>
      <c r="Q705" t="str">
        <f>TextJoin(tblEnrolledSubjs[[#This Row],[CSubjID]:[EStudID]],"Value")</f>
        <v>"151","97"</v>
      </c>
      <c r="S705">
        <f>LOOKUP(LOOKUP(tblEnrolledSubjs[[#This Row],[CSubjID]], tblClassSubjs[CSubjID],tblClassSubjs[ClassID]),tblClasses[ClassID],tblClasses[STermID])</f>
        <v>3</v>
      </c>
      <c r="T705" t="str">
        <f>LOOKUP(S705,tblSchoolTerms[STermID],tblSchoolTerms[SemesterID]&amp;" Semester "&amp;tblSchoolTerms[SchoolYear])</f>
        <v>2 Semester S.Y. 2017-2018</v>
      </c>
      <c r="W7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5" t="e">
        <f t="array" ref="Y705">INDEX(tblEnrolledStuds[EStudID],MATCH(tblEnrolledSubjs[[#This Row],[EStudID]]&amp;S705,tblEnrolledStuds[AdmissionStatusID]&amp;tblEnrolledStuds[StudID],0))</f>
        <v>#N/A</v>
      </c>
    </row>
    <row r="706" spans="2:25" x14ac:dyDescent="0.25">
      <c r="B706">
        <v>704</v>
      </c>
      <c r="C706">
        <v>151</v>
      </c>
      <c r="D706">
        <v>99</v>
      </c>
      <c r="P706" t="str">
        <f t="shared" si="14"/>
        <v>(NULL,"151","99"),</v>
      </c>
      <c r="Q706" t="str">
        <f>TextJoin(tblEnrolledSubjs[[#This Row],[CSubjID]:[EStudID]],"Value")</f>
        <v>"151","99"</v>
      </c>
      <c r="S706">
        <f>LOOKUP(LOOKUP(tblEnrolledSubjs[[#This Row],[CSubjID]], tblClassSubjs[CSubjID],tblClassSubjs[ClassID]),tblClasses[ClassID],tblClasses[STermID])</f>
        <v>3</v>
      </c>
      <c r="T706" t="str">
        <f>LOOKUP(S706,tblSchoolTerms[STermID],tblSchoolTerms[SemesterID]&amp;" Semester "&amp;tblSchoolTerms[SchoolYear])</f>
        <v>2 Semester S.Y. 2017-2018</v>
      </c>
      <c r="W7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6" t="e">
        <f t="array" ref="Y706">INDEX(tblEnrolledStuds[EStudID],MATCH(tblEnrolledSubjs[[#This Row],[EStudID]]&amp;S706,tblEnrolledStuds[AdmissionStatusID]&amp;tblEnrolledStuds[StudID],0))</f>
        <v>#N/A</v>
      </c>
    </row>
    <row r="707" spans="2:25" x14ac:dyDescent="0.25">
      <c r="B707">
        <v>705</v>
      </c>
      <c r="C707">
        <v>151</v>
      </c>
      <c r="D707">
        <v>101</v>
      </c>
      <c r="P707" t="str">
        <f t="shared" si="14"/>
        <v>(NULL,"151","101"),</v>
      </c>
      <c r="Q707" t="str">
        <f>TextJoin(tblEnrolledSubjs[[#This Row],[CSubjID]:[EStudID]],"Value")</f>
        <v>"151","101"</v>
      </c>
      <c r="S707">
        <f>LOOKUP(LOOKUP(tblEnrolledSubjs[[#This Row],[CSubjID]], tblClassSubjs[CSubjID],tblClassSubjs[ClassID]),tblClasses[ClassID],tblClasses[STermID])</f>
        <v>3</v>
      </c>
      <c r="T707" t="str">
        <f>LOOKUP(S707,tblSchoolTerms[STermID],tblSchoolTerms[SemesterID]&amp;" Semester "&amp;tblSchoolTerms[SchoolYear])</f>
        <v>2 Semester S.Y. 2017-2018</v>
      </c>
      <c r="W7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7" t="e">
        <f t="array" ref="Y707">INDEX(tblEnrolledStuds[EStudID],MATCH(tblEnrolledSubjs[[#This Row],[EStudID]]&amp;S707,tblEnrolledStuds[AdmissionStatusID]&amp;tblEnrolledStuds[StudID],0))</f>
        <v>#N/A</v>
      </c>
    </row>
    <row r="708" spans="2:25" x14ac:dyDescent="0.25">
      <c r="B708">
        <v>706</v>
      </c>
      <c r="C708">
        <v>151</v>
      </c>
      <c r="D708">
        <v>102</v>
      </c>
      <c r="P708" t="str">
        <f t="shared" ref="P708:P771" si="15">"(NULL,"&amp;Q708&amp;")"&amp;IF(P709&lt;&gt;"",",",";")</f>
        <v>(NULL,"151","102"),</v>
      </c>
      <c r="Q708" t="str">
        <f>TextJoin(tblEnrolledSubjs[[#This Row],[CSubjID]:[EStudID]],"Value")</f>
        <v>"151","102"</v>
      </c>
      <c r="S708">
        <f>LOOKUP(LOOKUP(tblEnrolledSubjs[[#This Row],[CSubjID]], tblClassSubjs[CSubjID],tblClassSubjs[ClassID]),tblClasses[ClassID],tblClasses[STermID])</f>
        <v>3</v>
      </c>
      <c r="T708" t="str">
        <f>LOOKUP(S708,tblSchoolTerms[STermID],tblSchoolTerms[SemesterID]&amp;" Semester "&amp;tblSchoolTerms[SchoolYear])</f>
        <v>2 Semester S.Y. 2017-2018</v>
      </c>
      <c r="W7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8" t="e">
        <f t="array" ref="Y708">INDEX(tblEnrolledStuds[EStudID],MATCH(tblEnrolledSubjs[[#This Row],[EStudID]]&amp;S708,tblEnrolledStuds[AdmissionStatusID]&amp;tblEnrolledStuds[StudID],0))</f>
        <v>#N/A</v>
      </c>
    </row>
    <row r="709" spans="2:25" x14ac:dyDescent="0.25">
      <c r="B709">
        <v>707</v>
      </c>
      <c r="C709">
        <v>151</v>
      </c>
      <c r="D709">
        <v>95</v>
      </c>
      <c r="P709" t="str">
        <f t="shared" si="15"/>
        <v>(NULL,"151","95"),</v>
      </c>
      <c r="Q709" t="str">
        <f>TextJoin(tblEnrolledSubjs[[#This Row],[CSubjID]:[EStudID]],"Value")</f>
        <v>"151","95"</v>
      </c>
      <c r="S709">
        <f>LOOKUP(LOOKUP(tblEnrolledSubjs[[#This Row],[CSubjID]], tblClassSubjs[CSubjID],tblClassSubjs[ClassID]),tblClasses[ClassID],tblClasses[STermID])</f>
        <v>3</v>
      </c>
      <c r="T709" t="str">
        <f>LOOKUP(S709,tblSchoolTerms[STermID],tblSchoolTerms[SemesterID]&amp;" Semester "&amp;tblSchoolTerms[SchoolYear])</f>
        <v>2 Semester S.Y. 2017-2018</v>
      </c>
      <c r="W7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09" t="e">
        <f t="array" ref="Y709">INDEX(tblEnrolledStuds[EStudID],MATCH(tblEnrolledSubjs[[#This Row],[EStudID]]&amp;S709,tblEnrolledStuds[AdmissionStatusID]&amp;tblEnrolledStuds[StudID],0))</f>
        <v>#N/A</v>
      </c>
    </row>
    <row r="710" spans="2:25" x14ac:dyDescent="0.25">
      <c r="B710">
        <v>708</v>
      </c>
      <c r="C710">
        <v>152</v>
      </c>
      <c r="D710">
        <v>89</v>
      </c>
      <c r="P710" t="str">
        <f t="shared" si="15"/>
        <v>(NULL,"152","89"),</v>
      </c>
      <c r="Q710" t="str">
        <f>TextJoin(tblEnrolledSubjs[[#This Row],[CSubjID]:[EStudID]],"Value")</f>
        <v>"152","89"</v>
      </c>
      <c r="S710">
        <f>LOOKUP(LOOKUP(tblEnrolledSubjs[[#This Row],[CSubjID]], tblClassSubjs[CSubjID],tblClassSubjs[ClassID]),tblClasses[ClassID],tblClasses[STermID])</f>
        <v>3</v>
      </c>
      <c r="T710" t="str">
        <f>LOOKUP(S710,tblSchoolTerms[STermID],tblSchoolTerms[SemesterID]&amp;" Semester "&amp;tblSchoolTerms[SchoolYear])</f>
        <v>2 Semester S.Y. 2017-2018</v>
      </c>
      <c r="W7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0" t="e">
        <f t="array" ref="Y710">INDEX(tblEnrolledStuds[EStudID],MATCH(tblEnrolledSubjs[[#This Row],[EStudID]]&amp;S710,tblEnrolledStuds[AdmissionStatusID]&amp;tblEnrolledStuds[StudID],0))</f>
        <v>#N/A</v>
      </c>
    </row>
    <row r="711" spans="2:25" x14ac:dyDescent="0.25">
      <c r="B711">
        <v>709</v>
      </c>
      <c r="C711">
        <v>152</v>
      </c>
      <c r="D711">
        <v>90</v>
      </c>
      <c r="P711" t="str">
        <f t="shared" si="15"/>
        <v>(NULL,"152","90"),</v>
      </c>
      <c r="Q711" t="str">
        <f>TextJoin(tblEnrolledSubjs[[#This Row],[CSubjID]:[EStudID]],"Value")</f>
        <v>"152","90"</v>
      </c>
      <c r="S711">
        <f>LOOKUP(LOOKUP(tblEnrolledSubjs[[#This Row],[CSubjID]], tblClassSubjs[CSubjID],tblClassSubjs[ClassID]),tblClasses[ClassID],tblClasses[STermID])</f>
        <v>3</v>
      </c>
      <c r="T711" t="str">
        <f>LOOKUP(S711,tblSchoolTerms[STermID],tblSchoolTerms[SemesterID]&amp;" Semester "&amp;tblSchoolTerms[SchoolYear])</f>
        <v>2 Semester S.Y. 2017-2018</v>
      </c>
      <c r="W7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1" t="e">
        <f t="array" ref="Y711">INDEX(tblEnrolledStuds[EStudID],MATCH(tblEnrolledSubjs[[#This Row],[EStudID]]&amp;S711,tblEnrolledStuds[AdmissionStatusID]&amp;tblEnrolledStuds[StudID],0))</f>
        <v>#N/A</v>
      </c>
    </row>
    <row r="712" spans="2:25" x14ac:dyDescent="0.25">
      <c r="B712">
        <v>710</v>
      </c>
      <c r="C712">
        <v>152</v>
      </c>
      <c r="D712">
        <v>91</v>
      </c>
      <c r="P712" t="str">
        <f t="shared" si="15"/>
        <v>(NULL,"152","91"),</v>
      </c>
      <c r="Q712" t="str">
        <f>TextJoin(tblEnrolledSubjs[[#This Row],[CSubjID]:[EStudID]],"Value")</f>
        <v>"152","91"</v>
      </c>
      <c r="S712">
        <f>LOOKUP(LOOKUP(tblEnrolledSubjs[[#This Row],[CSubjID]], tblClassSubjs[CSubjID],tblClassSubjs[ClassID]),tblClasses[ClassID],tblClasses[STermID])</f>
        <v>3</v>
      </c>
      <c r="T712" t="str">
        <f>LOOKUP(S712,tblSchoolTerms[STermID],tblSchoolTerms[SemesterID]&amp;" Semester "&amp;tblSchoolTerms[SchoolYear])</f>
        <v>2 Semester S.Y. 2017-2018</v>
      </c>
      <c r="W7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2" t="e">
        <f t="array" ref="Y712">INDEX(tblEnrolledStuds[EStudID],MATCH(tblEnrolledSubjs[[#This Row],[EStudID]]&amp;S712,tblEnrolledStuds[AdmissionStatusID]&amp;tblEnrolledStuds[StudID],0))</f>
        <v>#N/A</v>
      </c>
    </row>
    <row r="713" spans="2:25" x14ac:dyDescent="0.25">
      <c r="B713">
        <v>711</v>
      </c>
      <c r="C713">
        <v>152</v>
      </c>
      <c r="D713">
        <v>93</v>
      </c>
      <c r="P713" t="str">
        <f t="shared" si="15"/>
        <v>(NULL,"152","93"),</v>
      </c>
      <c r="Q713" t="str">
        <f>TextJoin(tblEnrolledSubjs[[#This Row],[CSubjID]:[EStudID]],"Value")</f>
        <v>"152","93"</v>
      </c>
      <c r="S713">
        <f>LOOKUP(LOOKUP(tblEnrolledSubjs[[#This Row],[CSubjID]], tblClassSubjs[CSubjID],tblClassSubjs[ClassID]),tblClasses[ClassID],tblClasses[STermID])</f>
        <v>3</v>
      </c>
      <c r="T713" t="str">
        <f>LOOKUP(S713,tblSchoolTerms[STermID],tblSchoolTerms[SemesterID]&amp;" Semester "&amp;tblSchoolTerms[SchoolYear])</f>
        <v>2 Semester S.Y. 2017-2018</v>
      </c>
      <c r="W7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3" t="e">
        <f t="array" ref="Y713">INDEX(tblEnrolledStuds[EStudID],MATCH(tblEnrolledSubjs[[#This Row],[EStudID]]&amp;S713,tblEnrolledStuds[AdmissionStatusID]&amp;tblEnrolledStuds[StudID],0))</f>
        <v>#N/A</v>
      </c>
    </row>
    <row r="714" spans="2:25" x14ac:dyDescent="0.25">
      <c r="B714">
        <v>712</v>
      </c>
      <c r="C714">
        <v>152</v>
      </c>
      <c r="D714">
        <v>94</v>
      </c>
      <c r="P714" t="str">
        <f t="shared" si="15"/>
        <v>(NULL,"152","94"),</v>
      </c>
      <c r="Q714" t="str">
        <f>TextJoin(tblEnrolledSubjs[[#This Row],[CSubjID]:[EStudID]],"Value")</f>
        <v>"152","94"</v>
      </c>
      <c r="S714">
        <f>LOOKUP(LOOKUP(tblEnrolledSubjs[[#This Row],[CSubjID]], tblClassSubjs[CSubjID],tblClassSubjs[ClassID]),tblClasses[ClassID],tblClasses[STermID])</f>
        <v>3</v>
      </c>
      <c r="T714" t="str">
        <f>LOOKUP(S714,tblSchoolTerms[STermID],tblSchoolTerms[SemesterID]&amp;" Semester "&amp;tblSchoolTerms[SchoolYear])</f>
        <v>2 Semester S.Y. 2017-2018</v>
      </c>
      <c r="W7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4" t="e">
        <f t="array" ref="Y714">INDEX(tblEnrolledStuds[EStudID],MATCH(tblEnrolledSubjs[[#This Row],[EStudID]]&amp;S714,tblEnrolledStuds[AdmissionStatusID]&amp;tblEnrolledStuds[StudID],0))</f>
        <v>#N/A</v>
      </c>
    </row>
    <row r="715" spans="2:25" x14ac:dyDescent="0.25">
      <c r="B715">
        <v>713</v>
      </c>
      <c r="C715">
        <v>152</v>
      </c>
      <c r="D715">
        <v>96</v>
      </c>
      <c r="P715" t="str">
        <f t="shared" si="15"/>
        <v>(NULL,"152","96"),</v>
      </c>
      <c r="Q715" t="str">
        <f>TextJoin(tblEnrolledSubjs[[#This Row],[CSubjID]:[EStudID]],"Value")</f>
        <v>"152","96"</v>
      </c>
      <c r="S715">
        <f>LOOKUP(LOOKUP(tblEnrolledSubjs[[#This Row],[CSubjID]], tblClassSubjs[CSubjID],tblClassSubjs[ClassID]),tblClasses[ClassID],tblClasses[STermID])</f>
        <v>3</v>
      </c>
      <c r="T715" t="str">
        <f>LOOKUP(S715,tblSchoolTerms[STermID],tblSchoolTerms[SemesterID]&amp;" Semester "&amp;tblSchoolTerms[SchoolYear])</f>
        <v>2 Semester S.Y. 2017-2018</v>
      </c>
      <c r="W7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5" t="e">
        <f t="array" ref="Y715">INDEX(tblEnrolledStuds[EStudID],MATCH(tblEnrolledSubjs[[#This Row],[EStudID]]&amp;S715,tblEnrolledStuds[AdmissionStatusID]&amp;tblEnrolledStuds[StudID],0))</f>
        <v>#N/A</v>
      </c>
    </row>
    <row r="716" spans="2:25" x14ac:dyDescent="0.25">
      <c r="B716">
        <v>714</v>
      </c>
      <c r="C716">
        <v>152</v>
      </c>
      <c r="D716">
        <v>97</v>
      </c>
      <c r="P716" t="str">
        <f t="shared" si="15"/>
        <v>(NULL,"152","97"),</v>
      </c>
      <c r="Q716" t="str">
        <f>TextJoin(tblEnrolledSubjs[[#This Row],[CSubjID]:[EStudID]],"Value")</f>
        <v>"152","97"</v>
      </c>
      <c r="S716">
        <f>LOOKUP(LOOKUP(tblEnrolledSubjs[[#This Row],[CSubjID]], tblClassSubjs[CSubjID],tblClassSubjs[ClassID]),tblClasses[ClassID],tblClasses[STermID])</f>
        <v>3</v>
      </c>
      <c r="T716" t="str">
        <f>LOOKUP(S716,tblSchoolTerms[STermID],tblSchoolTerms[SemesterID]&amp;" Semester "&amp;tblSchoolTerms[SchoolYear])</f>
        <v>2 Semester S.Y. 2017-2018</v>
      </c>
      <c r="W7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6" t="e">
        <f t="array" ref="Y716">INDEX(tblEnrolledStuds[EStudID],MATCH(tblEnrolledSubjs[[#This Row],[EStudID]]&amp;S716,tblEnrolledStuds[AdmissionStatusID]&amp;tblEnrolledStuds[StudID],0))</f>
        <v>#N/A</v>
      </c>
    </row>
    <row r="717" spans="2:25" x14ac:dyDescent="0.25">
      <c r="B717">
        <v>715</v>
      </c>
      <c r="C717">
        <v>152</v>
      </c>
      <c r="D717">
        <v>99</v>
      </c>
      <c r="P717" t="str">
        <f t="shared" si="15"/>
        <v>(NULL,"152","99"),</v>
      </c>
      <c r="Q717" t="str">
        <f>TextJoin(tblEnrolledSubjs[[#This Row],[CSubjID]:[EStudID]],"Value")</f>
        <v>"152","99"</v>
      </c>
      <c r="S717">
        <f>LOOKUP(LOOKUP(tblEnrolledSubjs[[#This Row],[CSubjID]], tblClassSubjs[CSubjID],tblClassSubjs[ClassID]),tblClasses[ClassID],tblClasses[STermID])</f>
        <v>3</v>
      </c>
      <c r="T717" t="str">
        <f>LOOKUP(S717,tblSchoolTerms[STermID],tblSchoolTerms[SemesterID]&amp;" Semester "&amp;tblSchoolTerms[SchoolYear])</f>
        <v>2 Semester S.Y. 2017-2018</v>
      </c>
      <c r="W7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7" t="e">
        <f t="array" ref="Y717">INDEX(tblEnrolledStuds[EStudID],MATCH(tblEnrolledSubjs[[#This Row],[EStudID]]&amp;S717,tblEnrolledStuds[AdmissionStatusID]&amp;tblEnrolledStuds[StudID],0))</f>
        <v>#N/A</v>
      </c>
    </row>
    <row r="718" spans="2:25" x14ac:dyDescent="0.25">
      <c r="B718">
        <v>716</v>
      </c>
      <c r="C718">
        <v>152</v>
      </c>
      <c r="D718">
        <v>101</v>
      </c>
      <c r="P718" t="str">
        <f t="shared" si="15"/>
        <v>(NULL,"152","101"),</v>
      </c>
      <c r="Q718" t="str">
        <f>TextJoin(tblEnrolledSubjs[[#This Row],[CSubjID]:[EStudID]],"Value")</f>
        <v>"152","101"</v>
      </c>
      <c r="S718">
        <f>LOOKUP(LOOKUP(tblEnrolledSubjs[[#This Row],[CSubjID]], tblClassSubjs[CSubjID],tblClassSubjs[ClassID]),tblClasses[ClassID],tblClasses[STermID])</f>
        <v>3</v>
      </c>
      <c r="T718" t="str">
        <f>LOOKUP(S718,tblSchoolTerms[STermID],tblSchoolTerms[SemesterID]&amp;" Semester "&amp;tblSchoolTerms[SchoolYear])</f>
        <v>2 Semester S.Y. 2017-2018</v>
      </c>
      <c r="W7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8" t="e">
        <f t="array" ref="Y718">INDEX(tblEnrolledStuds[EStudID],MATCH(tblEnrolledSubjs[[#This Row],[EStudID]]&amp;S718,tblEnrolledStuds[AdmissionStatusID]&amp;tblEnrolledStuds[StudID],0))</f>
        <v>#N/A</v>
      </c>
    </row>
    <row r="719" spans="2:25" x14ac:dyDescent="0.25">
      <c r="B719">
        <v>717</v>
      </c>
      <c r="C719">
        <v>152</v>
      </c>
      <c r="D719">
        <v>102</v>
      </c>
      <c r="P719" t="str">
        <f t="shared" si="15"/>
        <v>(NULL,"152","102"),</v>
      </c>
      <c r="Q719" t="str">
        <f>TextJoin(tblEnrolledSubjs[[#This Row],[CSubjID]:[EStudID]],"Value")</f>
        <v>"152","102"</v>
      </c>
      <c r="S719">
        <f>LOOKUP(LOOKUP(tblEnrolledSubjs[[#This Row],[CSubjID]], tblClassSubjs[CSubjID],tblClassSubjs[ClassID]),tblClasses[ClassID],tblClasses[STermID])</f>
        <v>3</v>
      </c>
      <c r="T719" t="str">
        <f>LOOKUP(S719,tblSchoolTerms[STermID],tblSchoolTerms[SemesterID]&amp;" Semester "&amp;tblSchoolTerms[SchoolYear])</f>
        <v>2 Semester S.Y. 2017-2018</v>
      </c>
      <c r="W7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19" t="e">
        <f t="array" ref="Y719">INDEX(tblEnrolledStuds[EStudID],MATCH(tblEnrolledSubjs[[#This Row],[EStudID]]&amp;S719,tblEnrolledStuds[AdmissionStatusID]&amp;tblEnrolledStuds[StudID],0))</f>
        <v>#N/A</v>
      </c>
    </row>
    <row r="720" spans="2:25" x14ac:dyDescent="0.25">
      <c r="B720">
        <v>718</v>
      </c>
      <c r="C720">
        <v>152</v>
      </c>
      <c r="D720">
        <v>95</v>
      </c>
      <c r="P720" t="str">
        <f t="shared" si="15"/>
        <v>(NULL,"152","95"),</v>
      </c>
      <c r="Q720" t="str">
        <f>TextJoin(tblEnrolledSubjs[[#This Row],[CSubjID]:[EStudID]],"Value")</f>
        <v>"152","95"</v>
      </c>
      <c r="S720">
        <f>LOOKUP(LOOKUP(tblEnrolledSubjs[[#This Row],[CSubjID]], tblClassSubjs[CSubjID],tblClassSubjs[ClassID]),tblClasses[ClassID],tblClasses[STermID])</f>
        <v>3</v>
      </c>
      <c r="T720" t="str">
        <f>LOOKUP(S720,tblSchoolTerms[STermID],tblSchoolTerms[SemesterID]&amp;" Semester "&amp;tblSchoolTerms[SchoolYear])</f>
        <v>2 Semester S.Y. 2017-2018</v>
      </c>
      <c r="W7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0" t="e">
        <f t="array" ref="Y720">INDEX(tblEnrolledStuds[EStudID],MATCH(tblEnrolledSubjs[[#This Row],[EStudID]]&amp;S720,tblEnrolledStuds[AdmissionStatusID]&amp;tblEnrolledStuds[StudID],0))</f>
        <v>#N/A</v>
      </c>
    </row>
    <row r="721" spans="2:25" x14ac:dyDescent="0.25">
      <c r="B721">
        <v>719</v>
      </c>
      <c r="C721">
        <v>153</v>
      </c>
      <c r="D721">
        <v>89</v>
      </c>
      <c r="P721" t="str">
        <f t="shared" si="15"/>
        <v>(NULL,"153","89"),</v>
      </c>
      <c r="Q721" t="str">
        <f>TextJoin(tblEnrolledSubjs[[#This Row],[CSubjID]:[EStudID]],"Value")</f>
        <v>"153","89"</v>
      </c>
      <c r="S721">
        <f>LOOKUP(LOOKUP(tblEnrolledSubjs[[#This Row],[CSubjID]], tblClassSubjs[CSubjID],tblClassSubjs[ClassID]),tblClasses[ClassID],tblClasses[STermID])</f>
        <v>3</v>
      </c>
      <c r="T721" t="str">
        <f>LOOKUP(S721,tblSchoolTerms[STermID],tblSchoolTerms[SemesterID]&amp;" Semester "&amp;tblSchoolTerms[SchoolYear])</f>
        <v>2 Semester S.Y. 2017-2018</v>
      </c>
      <c r="W7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1" t="e">
        <f t="array" ref="Y721">INDEX(tblEnrolledStuds[EStudID],MATCH(tblEnrolledSubjs[[#This Row],[EStudID]]&amp;S721,tblEnrolledStuds[AdmissionStatusID]&amp;tblEnrolledStuds[StudID],0))</f>
        <v>#N/A</v>
      </c>
    </row>
    <row r="722" spans="2:25" x14ac:dyDescent="0.25">
      <c r="B722">
        <v>720</v>
      </c>
      <c r="C722">
        <v>153</v>
      </c>
      <c r="D722">
        <v>90</v>
      </c>
      <c r="P722" t="str">
        <f t="shared" si="15"/>
        <v>(NULL,"153","90"),</v>
      </c>
      <c r="Q722" t="str">
        <f>TextJoin(tblEnrolledSubjs[[#This Row],[CSubjID]:[EStudID]],"Value")</f>
        <v>"153","90"</v>
      </c>
      <c r="S722">
        <f>LOOKUP(LOOKUP(tblEnrolledSubjs[[#This Row],[CSubjID]], tblClassSubjs[CSubjID],tblClassSubjs[ClassID]),tblClasses[ClassID],tblClasses[STermID])</f>
        <v>3</v>
      </c>
      <c r="T722" t="str">
        <f>LOOKUP(S722,tblSchoolTerms[STermID],tblSchoolTerms[SemesterID]&amp;" Semester "&amp;tblSchoolTerms[SchoolYear])</f>
        <v>2 Semester S.Y. 2017-2018</v>
      </c>
      <c r="W7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2" t="e">
        <f t="array" ref="Y722">INDEX(tblEnrolledStuds[EStudID],MATCH(tblEnrolledSubjs[[#This Row],[EStudID]]&amp;S722,tblEnrolledStuds[AdmissionStatusID]&amp;tblEnrolledStuds[StudID],0))</f>
        <v>#N/A</v>
      </c>
    </row>
    <row r="723" spans="2:25" x14ac:dyDescent="0.25">
      <c r="B723">
        <v>721</v>
      </c>
      <c r="C723">
        <v>153</v>
      </c>
      <c r="D723">
        <v>91</v>
      </c>
      <c r="P723" t="str">
        <f t="shared" si="15"/>
        <v>(NULL,"153","91"),</v>
      </c>
      <c r="Q723" t="str">
        <f>TextJoin(tblEnrolledSubjs[[#This Row],[CSubjID]:[EStudID]],"Value")</f>
        <v>"153","91"</v>
      </c>
      <c r="S723">
        <f>LOOKUP(LOOKUP(tblEnrolledSubjs[[#This Row],[CSubjID]], tblClassSubjs[CSubjID],tblClassSubjs[ClassID]),tblClasses[ClassID],tblClasses[STermID])</f>
        <v>3</v>
      </c>
      <c r="T723" t="str">
        <f>LOOKUP(S723,tblSchoolTerms[STermID],tblSchoolTerms[SemesterID]&amp;" Semester "&amp;tblSchoolTerms[SchoolYear])</f>
        <v>2 Semester S.Y. 2017-2018</v>
      </c>
      <c r="W7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3" t="e">
        <f t="array" ref="Y723">INDEX(tblEnrolledStuds[EStudID],MATCH(tblEnrolledSubjs[[#This Row],[EStudID]]&amp;S723,tblEnrolledStuds[AdmissionStatusID]&amp;tblEnrolledStuds[StudID],0))</f>
        <v>#N/A</v>
      </c>
    </row>
    <row r="724" spans="2:25" x14ac:dyDescent="0.25">
      <c r="B724">
        <v>722</v>
      </c>
      <c r="C724">
        <v>153</v>
      </c>
      <c r="D724">
        <v>93</v>
      </c>
      <c r="P724" t="str">
        <f t="shared" si="15"/>
        <v>(NULL,"153","93"),</v>
      </c>
      <c r="Q724" t="str">
        <f>TextJoin(tblEnrolledSubjs[[#This Row],[CSubjID]:[EStudID]],"Value")</f>
        <v>"153","93"</v>
      </c>
      <c r="S724">
        <f>LOOKUP(LOOKUP(tblEnrolledSubjs[[#This Row],[CSubjID]], tblClassSubjs[CSubjID],tblClassSubjs[ClassID]),tblClasses[ClassID],tblClasses[STermID])</f>
        <v>3</v>
      </c>
      <c r="T724" t="str">
        <f>LOOKUP(S724,tblSchoolTerms[STermID],tblSchoolTerms[SemesterID]&amp;" Semester "&amp;tblSchoolTerms[SchoolYear])</f>
        <v>2 Semester S.Y. 2017-2018</v>
      </c>
      <c r="W7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4" t="e">
        <f t="array" ref="Y724">INDEX(tblEnrolledStuds[EStudID],MATCH(tblEnrolledSubjs[[#This Row],[EStudID]]&amp;S724,tblEnrolledStuds[AdmissionStatusID]&amp;tblEnrolledStuds[StudID],0))</f>
        <v>#N/A</v>
      </c>
    </row>
    <row r="725" spans="2:25" x14ac:dyDescent="0.25">
      <c r="B725">
        <v>723</v>
      </c>
      <c r="C725">
        <v>153</v>
      </c>
      <c r="D725">
        <v>94</v>
      </c>
      <c r="P725" t="str">
        <f t="shared" si="15"/>
        <v>(NULL,"153","94"),</v>
      </c>
      <c r="Q725" t="str">
        <f>TextJoin(tblEnrolledSubjs[[#This Row],[CSubjID]:[EStudID]],"Value")</f>
        <v>"153","94"</v>
      </c>
      <c r="S725">
        <f>LOOKUP(LOOKUP(tblEnrolledSubjs[[#This Row],[CSubjID]], tblClassSubjs[CSubjID],tblClassSubjs[ClassID]),tblClasses[ClassID],tblClasses[STermID])</f>
        <v>3</v>
      </c>
      <c r="T725" t="str">
        <f>LOOKUP(S725,tblSchoolTerms[STermID],tblSchoolTerms[SemesterID]&amp;" Semester "&amp;tblSchoolTerms[SchoolYear])</f>
        <v>2 Semester S.Y. 2017-2018</v>
      </c>
      <c r="W7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5" t="e">
        <f t="array" ref="Y725">INDEX(tblEnrolledStuds[EStudID],MATCH(tblEnrolledSubjs[[#This Row],[EStudID]]&amp;S725,tblEnrolledStuds[AdmissionStatusID]&amp;tblEnrolledStuds[StudID],0))</f>
        <v>#N/A</v>
      </c>
    </row>
    <row r="726" spans="2:25" x14ac:dyDescent="0.25">
      <c r="B726">
        <v>724</v>
      </c>
      <c r="C726">
        <v>153</v>
      </c>
      <c r="D726">
        <v>96</v>
      </c>
      <c r="P726" t="str">
        <f t="shared" si="15"/>
        <v>(NULL,"153","96"),</v>
      </c>
      <c r="Q726" t="str">
        <f>TextJoin(tblEnrolledSubjs[[#This Row],[CSubjID]:[EStudID]],"Value")</f>
        <v>"153","96"</v>
      </c>
      <c r="S726">
        <f>LOOKUP(LOOKUP(tblEnrolledSubjs[[#This Row],[CSubjID]], tblClassSubjs[CSubjID],tblClassSubjs[ClassID]),tblClasses[ClassID],tblClasses[STermID])</f>
        <v>3</v>
      </c>
      <c r="T726" t="str">
        <f>LOOKUP(S726,tblSchoolTerms[STermID],tblSchoolTerms[SemesterID]&amp;" Semester "&amp;tblSchoolTerms[SchoolYear])</f>
        <v>2 Semester S.Y. 2017-2018</v>
      </c>
      <c r="W7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6" t="e">
        <f t="array" ref="Y726">INDEX(tblEnrolledStuds[EStudID],MATCH(tblEnrolledSubjs[[#This Row],[EStudID]]&amp;S726,tblEnrolledStuds[AdmissionStatusID]&amp;tblEnrolledStuds[StudID],0))</f>
        <v>#N/A</v>
      </c>
    </row>
    <row r="727" spans="2:25" x14ac:dyDescent="0.25">
      <c r="B727">
        <v>725</v>
      </c>
      <c r="C727">
        <v>153</v>
      </c>
      <c r="D727">
        <v>97</v>
      </c>
      <c r="P727" t="str">
        <f t="shared" si="15"/>
        <v>(NULL,"153","97"),</v>
      </c>
      <c r="Q727" t="str">
        <f>TextJoin(tblEnrolledSubjs[[#This Row],[CSubjID]:[EStudID]],"Value")</f>
        <v>"153","97"</v>
      </c>
      <c r="S727">
        <f>LOOKUP(LOOKUP(tblEnrolledSubjs[[#This Row],[CSubjID]], tblClassSubjs[CSubjID],tblClassSubjs[ClassID]),tblClasses[ClassID],tblClasses[STermID])</f>
        <v>3</v>
      </c>
      <c r="T727" t="str">
        <f>LOOKUP(S727,tblSchoolTerms[STermID],tblSchoolTerms[SemesterID]&amp;" Semester "&amp;tblSchoolTerms[SchoolYear])</f>
        <v>2 Semester S.Y. 2017-2018</v>
      </c>
      <c r="W7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7" t="e">
        <f t="array" ref="Y727">INDEX(tblEnrolledStuds[EStudID],MATCH(tblEnrolledSubjs[[#This Row],[EStudID]]&amp;S727,tblEnrolledStuds[AdmissionStatusID]&amp;tblEnrolledStuds[StudID],0))</f>
        <v>#N/A</v>
      </c>
    </row>
    <row r="728" spans="2:25" x14ac:dyDescent="0.25">
      <c r="B728">
        <v>726</v>
      </c>
      <c r="C728">
        <v>153</v>
      </c>
      <c r="D728">
        <v>99</v>
      </c>
      <c r="P728" t="str">
        <f t="shared" si="15"/>
        <v>(NULL,"153","99"),</v>
      </c>
      <c r="Q728" t="str">
        <f>TextJoin(tblEnrolledSubjs[[#This Row],[CSubjID]:[EStudID]],"Value")</f>
        <v>"153","99"</v>
      </c>
      <c r="S728">
        <f>LOOKUP(LOOKUP(tblEnrolledSubjs[[#This Row],[CSubjID]], tblClassSubjs[CSubjID],tblClassSubjs[ClassID]),tblClasses[ClassID],tblClasses[STermID])</f>
        <v>3</v>
      </c>
      <c r="T728" t="str">
        <f>LOOKUP(S728,tblSchoolTerms[STermID],tblSchoolTerms[SemesterID]&amp;" Semester "&amp;tblSchoolTerms[SchoolYear])</f>
        <v>2 Semester S.Y. 2017-2018</v>
      </c>
      <c r="W7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8" t="e">
        <f t="array" ref="Y728">INDEX(tblEnrolledStuds[EStudID],MATCH(tblEnrolledSubjs[[#This Row],[EStudID]]&amp;S728,tblEnrolledStuds[AdmissionStatusID]&amp;tblEnrolledStuds[StudID],0))</f>
        <v>#N/A</v>
      </c>
    </row>
    <row r="729" spans="2:25" x14ac:dyDescent="0.25">
      <c r="B729">
        <v>727</v>
      </c>
      <c r="C729">
        <v>153</v>
      </c>
      <c r="D729">
        <v>101</v>
      </c>
      <c r="P729" t="str">
        <f t="shared" si="15"/>
        <v>(NULL,"153","101"),</v>
      </c>
      <c r="Q729" t="str">
        <f>TextJoin(tblEnrolledSubjs[[#This Row],[CSubjID]:[EStudID]],"Value")</f>
        <v>"153","101"</v>
      </c>
      <c r="S729">
        <f>LOOKUP(LOOKUP(tblEnrolledSubjs[[#This Row],[CSubjID]], tblClassSubjs[CSubjID],tblClassSubjs[ClassID]),tblClasses[ClassID],tblClasses[STermID])</f>
        <v>3</v>
      </c>
      <c r="T729" t="str">
        <f>LOOKUP(S729,tblSchoolTerms[STermID],tblSchoolTerms[SemesterID]&amp;" Semester "&amp;tblSchoolTerms[SchoolYear])</f>
        <v>2 Semester S.Y. 2017-2018</v>
      </c>
      <c r="W7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29" t="e">
        <f t="array" ref="Y729">INDEX(tblEnrolledStuds[EStudID],MATCH(tblEnrolledSubjs[[#This Row],[EStudID]]&amp;S729,tblEnrolledStuds[AdmissionStatusID]&amp;tblEnrolledStuds[StudID],0))</f>
        <v>#N/A</v>
      </c>
    </row>
    <row r="730" spans="2:25" x14ac:dyDescent="0.25">
      <c r="B730">
        <v>728</v>
      </c>
      <c r="C730">
        <v>153</v>
      </c>
      <c r="D730">
        <v>102</v>
      </c>
      <c r="P730" t="str">
        <f t="shared" si="15"/>
        <v>(NULL,"153","102"),</v>
      </c>
      <c r="Q730" t="str">
        <f>TextJoin(tblEnrolledSubjs[[#This Row],[CSubjID]:[EStudID]],"Value")</f>
        <v>"153","102"</v>
      </c>
      <c r="S730">
        <f>LOOKUP(LOOKUP(tblEnrolledSubjs[[#This Row],[CSubjID]], tblClassSubjs[CSubjID],tblClassSubjs[ClassID]),tblClasses[ClassID],tblClasses[STermID])</f>
        <v>3</v>
      </c>
      <c r="T730" t="str">
        <f>LOOKUP(S730,tblSchoolTerms[STermID],tblSchoolTerms[SemesterID]&amp;" Semester "&amp;tblSchoolTerms[SchoolYear])</f>
        <v>2 Semester S.Y. 2017-2018</v>
      </c>
      <c r="W7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0" t="e">
        <f t="array" ref="Y730">INDEX(tblEnrolledStuds[EStudID],MATCH(tblEnrolledSubjs[[#This Row],[EStudID]]&amp;S730,tblEnrolledStuds[AdmissionStatusID]&amp;tblEnrolledStuds[StudID],0))</f>
        <v>#N/A</v>
      </c>
    </row>
    <row r="731" spans="2:25" x14ac:dyDescent="0.25">
      <c r="B731">
        <v>729</v>
      </c>
      <c r="C731">
        <v>153</v>
      </c>
      <c r="D731">
        <v>95</v>
      </c>
      <c r="P731" t="str">
        <f t="shared" si="15"/>
        <v>(NULL,"153","95"),</v>
      </c>
      <c r="Q731" t="str">
        <f>TextJoin(tblEnrolledSubjs[[#This Row],[CSubjID]:[EStudID]],"Value")</f>
        <v>"153","95"</v>
      </c>
      <c r="S731">
        <f>LOOKUP(LOOKUP(tblEnrolledSubjs[[#This Row],[CSubjID]], tblClassSubjs[CSubjID],tblClassSubjs[ClassID]),tblClasses[ClassID],tblClasses[STermID])</f>
        <v>3</v>
      </c>
      <c r="T731" t="str">
        <f>LOOKUP(S731,tblSchoolTerms[STermID],tblSchoolTerms[SemesterID]&amp;" Semester "&amp;tblSchoolTerms[SchoolYear])</f>
        <v>2 Semester S.Y. 2017-2018</v>
      </c>
      <c r="W7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1" t="e">
        <f t="array" ref="Y731">INDEX(tblEnrolledStuds[EStudID],MATCH(tblEnrolledSubjs[[#This Row],[EStudID]]&amp;S731,tblEnrolledStuds[AdmissionStatusID]&amp;tblEnrolledStuds[StudID],0))</f>
        <v>#N/A</v>
      </c>
    </row>
    <row r="732" spans="2:25" x14ac:dyDescent="0.25">
      <c r="B732">
        <v>730</v>
      </c>
      <c r="C732">
        <v>154</v>
      </c>
      <c r="D732">
        <v>89</v>
      </c>
      <c r="P732" t="str">
        <f t="shared" si="15"/>
        <v>(NULL,"154","89"),</v>
      </c>
      <c r="Q732" t="str">
        <f>TextJoin(tblEnrolledSubjs[[#This Row],[CSubjID]:[EStudID]],"Value")</f>
        <v>"154","89"</v>
      </c>
      <c r="S732">
        <f>LOOKUP(LOOKUP(tblEnrolledSubjs[[#This Row],[CSubjID]], tblClassSubjs[CSubjID],tblClassSubjs[ClassID]),tblClasses[ClassID],tblClasses[STermID])</f>
        <v>3</v>
      </c>
      <c r="T732" t="str">
        <f>LOOKUP(S732,tblSchoolTerms[STermID],tblSchoolTerms[SemesterID]&amp;" Semester "&amp;tblSchoolTerms[SchoolYear])</f>
        <v>2 Semester S.Y. 2017-2018</v>
      </c>
      <c r="W7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2" t="e">
        <f t="array" ref="Y732">INDEX(tblEnrolledStuds[EStudID],MATCH(tblEnrolledSubjs[[#This Row],[EStudID]]&amp;S732,tblEnrolledStuds[AdmissionStatusID]&amp;tblEnrolledStuds[StudID],0))</f>
        <v>#N/A</v>
      </c>
    </row>
    <row r="733" spans="2:25" x14ac:dyDescent="0.25">
      <c r="B733">
        <v>731</v>
      </c>
      <c r="C733">
        <v>154</v>
      </c>
      <c r="D733">
        <v>90</v>
      </c>
      <c r="P733" t="str">
        <f t="shared" si="15"/>
        <v>(NULL,"154","90"),</v>
      </c>
      <c r="Q733" t="str">
        <f>TextJoin(tblEnrolledSubjs[[#This Row],[CSubjID]:[EStudID]],"Value")</f>
        <v>"154","90"</v>
      </c>
      <c r="S733">
        <f>LOOKUP(LOOKUP(tblEnrolledSubjs[[#This Row],[CSubjID]], tblClassSubjs[CSubjID],tblClassSubjs[ClassID]),tblClasses[ClassID],tblClasses[STermID])</f>
        <v>3</v>
      </c>
      <c r="T733" t="str">
        <f>LOOKUP(S733,tblSchoolTerms[STermID],tblSchoolTerms[SemesterID]&amp;" Semester "&amp;tblSchoolTerms[SchoolYear])</f>
        <v>2 Semester S.Y. 2017-2018</v>
      </c>
      <c r="W7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3" t="e">
        <f t="array" ref="Y733">INDEX(tblEnrolledStuds[EStudID],MATCH(tblEnrolledSubjs[[#This Row],[EStudID]]&amp;S733,tblEnrolledStuds[AdmissionStatusID]&amp;tblEnrolledStuds[StudID],0))</f>
        <v>#N/A</v>
      </c>
    </row>
    <row r="734" spans="2:25" x14ac:dyDescent="0.25">
      <c r="B734">
        <v>732</v>
      </c>
      <c r="C734">
        <v>154</v>
      </c>
      <c r="D734">
        <v>91</v>
      </c>
      <c r="P734" t="str">
        <f t="shared" si="15"/>
        <v>(NULL,"154","91"),</v>
      </c>
      <c r="Q734" t="str">
        <f>TextJoin(tblEnrolledSubjs[[#This Row],[CSubjID]:[EStudID]],"Value")</f>
        <v>"154","91"</v>
      </c>
      <c r="S734">
        <f>LOOKUP(LOOKUP(tblEnrolledSubjs[[#This Row],[CSubjID]], tblClassSubjs[CSubjID],tblClassSubjs[ClassID]),tblClasses[ClassID],tblClasses[STermID])</f>
        <v>3</v>
      </c>
      <c r="T734" t="str">
        <f>LOOKUP(S734,tblSchoolTerms[STermID],tblSchoolTerms[SemesterID]&amp;" Semester "&amp;tblSchoolTerms[SchoolYear])</f>
        <v>2 Semester S.Y. 2017-2018</v>
      </c>
      <c r="W7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4" t="e">
        <f t="array" ref="Y734">INDEX(tblEnrolledStuds[EStudID],MATCH(tblEnrolledSubjs[[#This Row],[EStudID]]&amp;S734,tblEnrolledStuds[AdmissionStatusID]&amp;tblEnrolledStuds[StudID],0))</f>
        <v>#N/A</v>
      </c>
    </row>
    <row r="735" spans="2:25" x14ac:dyDescent="0.25">
      <c r="B735">
        <v>733</v>
      </c>
      <c r="C735">
        <v>154</v>
      </c>
      <c r="D735">
        <v>93</v>
      </c>
      <c r="P735" t="str">
        <f t="shared" si="15"/>
        <v>(NULL,"154","93"),</v>
      </c>
      <c r="Q735" t="str">
        <f>TextJoin(tblEnrolledSubjs[[#This Row],[CSubjID]:[EStudID]],"Value")</f>
        <v>"154","93"</v>
      </c>
      <c r="S735">
        <f>LOOKUP(LOOKUP(tblEnrolledSubjs[[#This Row],[CSubjID]], tblClassSubjs[CSubjID],tblClassSubjs[ClassID]),tblClasses[ClassID],tblClasses[STermID])</f>
        <v>3</v>
      </c>
      <c r="T735" t="str">
        <f>LOOKUP(S735,tblSchoolTerms[STermID],tblSchoolTerms[SemesterID]&amp;" Semester "&amp;tblSchoolTerms[SchoolYear])</f>
        <v>2 Semester S.Y. 2017-2018</v>
      </c>
      <c r="W7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5" t="e">
        <f t="array" ref="Y735">INDEX(tblEnrolledStuds[EStudID],MATCH(tblEnrolledSubjs[[#This Row],[EStudID]]&amp;S735,tblEnrolledStuds[AdmissionStatusID]&amp;tblEnrolledStuds[StudID],0))</f>
        <v>#N/A</v>
      </c>
    </row>
    <row r="736" spans="2:25" x14ac:dyDescent="0.25">
      <c r="B736">
        <v>734</v>
      </c>
      <c r="C736">
        <v>154</v>
      </c>
      <c r="D736">
        <v>94</v>
      </c>
      <c r="P736" t="str">
        <f t="shared" si="15"/>
        <v>(NULL,"154","94"),</v>
      </c>
      <c r="Q736" t="str">
        <f>TextJoin(tblEnrolledSubjs[[#This Row],[CSubjID]:[EStudID]],"Value")</f>
        <v>"154","94"</v>
      </c>
      <c r="S736">
        <f>LOOKUP(LOOKUP(tblEnrolledSubjs[[#This Row],[CSubjID]], tblClassSubjs[CSubjID],tblClassSubjs[ClassID]),tblClasses[ClassID],tblClasses[STermID])</f>
        <v>3</v>
      </c>
      <c r="T736" t="str">
        <f>LOOKUP(S736,tblSchoolTerms[STermID],tblSchoolTerms[SemesterID]&amp;" Semester "&amp;tblSchoolTerms[SchoolYear])</f>
        <v>2 Semester S.Y. 2017-2018</v>
      </c>
      <c r="W7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6" t="e">
        <f t="array" ref="Y736">INDEX(tblEnrolledStuds[EStudID],MATCH(tblEnrolledSubjs[[#This Row],[EStudID]]&amp;S736,tblEnrolledStuds[AdmissionStatusID]&amp;tblEnrolledStuds[StudID],0))</f>
        <v>#N/A</v>
      </c>
    </row>
    <row r="737" spans="2:25" x14ac:dyDescent="0.25">
      <c r="B737">
        <v>735</v>
      </c>
      <c r="C737">
        <v>154</v>
      </c>
      <c r="D737">
        <v>96</v>
      </c>
      <c r="P737" t="str">
        <f t="shared" si="15"/>
        <v>(NULL,"154","96"),</v>
      </c>
      <c r="Q737" t="str">
        <f>TextJoin(tblEnrolledSubjs[[#This Row],[CSubjID]:[EStudID]],"Value")</f>
        <v>"154","96"</v>
      </c>
      <c r="S737">
        <f>LOOKUP(LOOKUP(tblEnrolledSubjs[[#This Row],[CSubjID]], tblClassSubjs[CSubjID],tblClassSubjs[ClassID]),tblClasses[ClassID],tblClasses[STermID])</f>
        <v>3</v>
      </c>
      <c r="T737" t="str">
        <f>LOOKUP(S737,tblSchoolTerms[STermID],tblSchoolTerms[SemesterID]&amp;" Semester "&amp;tblSchoolTerms[SchoolYear])</f>
        <v>2 Semester S.Y. 2017-2018</v>
      </c>
      <c r="W7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7" t="e">
        <f t="array" ref="Y737">INDEX(tblEnrolledStuds[EStudID],MATCH(tblEnrolledSubjs[[#This Row],[EStudID]]&amp;S737,tblEnrolledStuds[AdmissionStatusID]&amp;tblEnrolledStuds[StudID],0))</f>
        <v>#N/A</v>
      </c>
    </row>
    <row r="738" spans="2:25" x14ac:dyDescent="0.25">
      <c r="B738">
        <v>736</v>
      </c>
      <c r="C738">
        <v>154</v>
      </c>
      <c r="D738">
        <v>97</v>
      </c>
      <c r="P738" t="str">
        <f t="shared" si="15"/>
        <v>(NULL,"154","97"),</v>
      </c>
      <c r="Q738" t="str">
        <f>TextJoin(tblEnrolledSubjs[[#This Row],[CSubjID]:[EStudID]],"Value")</f>
        <v>"154","97"</v>
      </c>
      <c r="S738">
        <f>LOOKUP(LOOKUP(tblEnrolledSubjs[[#This Row],[CSubjID]], tblClassSubjs[CSubjID],tblClassSubjs[ClassID]),tblClasses[ClassID],tblClasses[STermID])</f>
        <v>3</v>
      </c>
      <c r="T738" t="str">
        <f>LOOKUP(S738,tblSchoolTerms[STermID],tblSchoolTerms[SemesterID]&amp;" Semester "&amp;tblSchoolTerms[SchoolYear])</f>
        <v>2 Semester S.Y. 2017-2018</v>
      </c>
      <c r="W7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8" t="e">
        <f t="array" ref="Y738">INDEX(tblEnrolledStuds[EStudID],MATCH(tblEnrolledSubjs[[#This Row],[EStudID]]&amp;S738,tblEnrolledStuds[AdmissionStatusID]&amp;tblEnrolledStuds[StudID],0))</f>
        <v>#N/A</v>
      </c>
    </row>
    <row r="739" spans="2:25" x14ac:dyDescent="0.25">
      <c r="B739">
        <v>737</v>
      </c>
      <c r="C739">
        <v>154</v>
      </c>
      <c r="D739">
        <v>99</v>
      </c>
      <c r="P739" t="str">
        <f t="shared" si="15"/>
        <v>(NULL,"154","99"),</v>
      </c>
      <c r="Q739" t="str">
        <f>TextJoin(tblEnrolledSubjs[[#This Row],[CSubjID]:[EStudID]],"Value")</f>
        <v>"154","99"</v>
      </c>
      <c r="S739">
        <f>LOOKUP(LOOKUP(tblEnrolledSubjs[[#This Row],[CSubjID]], tblClassSubjs[CSubjID],tblClassSubjs[ClassID]),tblClasses[ClassID],tblClasses[STermID])</f>
        <v>3</v>
      </c>
      <c r="T739" t="str">
        <f>LOOKUP(S739,tblSchoolTerms[STermID],tblSchoolTerms[SemesterID]&amp;" Semester "&amp;tblSchoolTerms[SchoolYear])</f>
        <v>2 Semester S.Y. 2017-2018</v>
      </c>
      <c r="W7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39" t="e">
        <f t="array" ref="Y739">INDEX(tblEnrolledStuds[EStudID],MATCH(tblEnrolledSubjs[[#This Row],[EStudID]]&amp;S739,tblEnrolledStuds[AdmissionStatusID]&amp;tblEnrolledStuds[StudID],0))</f>
        <v>#N/A</v>
      </c>
    </row>
    <row r="740" spans="2:25" x14ac:dyDescent="0.25">
      <c r="B740">
        <v>738</v>
      </c>
      <c r="C740">
        <v>154</v>
      </c>
      <c r="D740">
        <v>101</v>
      </c>
      <c r="P740" t="str">
        <f t="shared" si="15"/>
        <v>(NULL,"154","101"),</v>
      </c>
      <c r="Q740" t="str">
        <f>TextJoin(tblEnrolledSubjs[[#This Row],[CSubjID]:[EStudID]],"Value")</f>
        <v>"154","101"</v>
      </c>
      <c r="S740">
        <f>LOOKUP(LOOKUP(tblEnrolledSubjs[[#This Row],[CSubjID]], tblClassSubjs[CSubjID],tblClassSubjs[ClassID]),tblClasses[ClassID],tblClasses[STermID])</f>
        <v>3</v>
      </c>
      <c r="T740" t="str">
        <f>LOOKUP(S740,tblSchoolTerms[STermID],tblSchoolTerms[SemesterID]&amp;" Semester "&amp;tblSchoolTerms[SchoolYear])</f>
        <v>2 Semester S.Y. 2017-2018</v>
      </c>
      <c r="W7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0" t="e">
        <f t="array" ref="Y740">INDEX(tblEnrolledStuds[EStudID],MATCH(tblEnrolledSubjs[[#This Row],[EStudID]]&amp;S740,tblEnrolledStuds[AdmissionStatusID]&amp;tblEnrolledStuds[StudID],0))</f>
        <v>#N/A</v>
      </c>
    </row>
    <row r="741" spans="2:25" x14ac:dyDescent="0.25">
      <c r="B741">
        <v>739</v>
      </c>
      <c r="C741">
        <v>154</v>
      </c>
      <c r="D741">
        <v>102</v>
      </c>
      <c r="P741" t="str">
        <f t="shared" si="15"/>
        <v>(NULL,"154","102"),</v>
      </c>
      <c r="Q741" t="str">
        <f>TextJoin(tblEnrolledSubjs[[#This Row],[CSubjID]:[EStudID]],"Value")</f>
        <v>"154","102"</v>
      </c>
      <c r="S741">
        <f>LOOKUP(LOOKUP(tblEnrolledSubjs[[#This Row],[CSubjID]], tblClassSubjs[CSubjID],tblClassSubjs[ClassID]),tblClasses[ClassID],tblClasses[STermID])</f>
        <v>3</v>
      </c>
      <c r="T741" t="str">
        <f>LOOKUP(S741,tblSchoolTerms[STermID],tblSchoolTerms[SemesterID]&amp;" Semester "&amp;tblSchoolTerms[SchoolYear])</f>
        <v>2 Semester S.Y. 2017-2018</v>
      </c>
      <c r="W7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1" t="e">
        <f t="array" ref="Y741">INDEX(tblEnrolledStuds[EStudID],MATCH(tblEnrolledSubjs[[#This Row],[EStudID]]&amp;S741,tblEnrolledStuds[AdmissionStatusID]&amp;tblEnrolledStuds[StudID],0))</f>
        <v>#N/A</v>
      </c>
    </row>
    <row r="742" spans="2:25" x14ac:dyDescent="0.25">
      <c r="B742">
        <v>740</v>
      </c>
      <c r="C742">
        <v>154</v>
      </c>
      <c r="D742">
        <v>95</v>
      </c>
      <c r="P742" t="str">
        <f t="shared" si="15"/>
        <v>(NULL,"154","95"),</v>
      </c>
      <c r="Q742" t="str">
        <f>TextJoin(tblEnrolledSubjs[[#This Row],[CSubjID]:[EStudID]],"Value")</f>
        <v>"154","95"</v>
      </c>
      <c r="S742">
        <f>LOOKUP(LOOKUP(tblEnrolledSubjs[[#This Row],[CSubjID]], tblClassSubjs[CSubjID],tblClassSubjs[ClassID]),tblClasses[ClassID],tblClasses[STermID])</f>
        <v>3</v>
      </c>
      <c r="T742" t="str">
        <f>LOOKUP(S742,tblSchoolTerms[STermID],tblSchoolTerms[SemesterID]&amp;" Semester "&amp;tblSchoolTerms[SchoolYear])</f>
        <v>2 Semester S.Y. 2017-2018</v>
      </c>
      <c r="W7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2" t="e">
        <f t="array" ref="Y742">INDEX(tblEnrolledStuds[EStudID],MATCH(tblEnrolledSubjs[[#This Row],[EStudID]]&amp;S742,tblEnrolledStuds[AdmissionStatusID]&amp;tblEnrolledStuds[StudID],0))</f>
        <v>#N/A</v>
      </c>
    </row>
    <row r="743" spans="2:25" x14ac:dyDescent="0.25">
      <c r="B743">
        <v>741</v>
      </c>
      <c r="C743">
        <v>155</v>
      </c>
      <c r="D743">
        <v>89</v>
      </c>
      <c r="P743" t="str">
        <f t="shared" si="15"/>
        <v>(NULL,"155","89"),</v>
      </c>
      <c r="Q743" t="str">
        <f>TextJoin(tblEnrolledSubjs[[#This Row],[CSubjID]:[EStudID]],"Value")</f>
        <v>"155","89"</v>
      </c>
      <c r="S743">
        <f>LOOKUP(LOOKUP(tblEnrolledSubjs[[#This Row],[CSubjID]], tblClassSubjs[CSubjID],tblClassSubjs[ClassID]),tblClasses[ClassID],tblClasses[STermID])</f>
        <v>3</v>
      </c>
      <c r="T743" t="str">
        <f>LOOKUP(S743,tblSchoolTerms[STermID],tblSchoolTerms[SemesterID]&amp;" Semester "&amp;tblSchoolTerms[SchoolYear])</f>
        <v>2 Semester S.Y. 2017-2018</v>
      </c>
      <c r="W7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3" t="e">
        <f t="array" ref="Y743">INDEX(tblEnrolledStuds[EStudID],MATCH(tblEnrolledSubjs[[#This Row],[EStudID]]&amp;S743,tblEnrolledStuds[AdmissionStatusID]&amp;tblEnrolledStuds[StudID],0))</f>
        <v>#N/A</v>
      </c>
    </row>
    <row r="744" spans="2:25" x14ac:dyDescent="0.25">
      <c r="B744">
        <v>742</v>
      </c>
      <c r="C744">
        <v>155</v>
      </c>
      <c r="D744">
        <v>90</v>
      </c>
      <c r="P744" t="str">
        <f t="shared" si="15"/>
        <v>(NULL,"155","90"),</v>
      </c>
      <c r="Q744" t="str">
        <f>TextJoin(tblEnrolledSubjs[[#This Row],[CSubjID]:[EStudID]],"Value")</f>
        <v>"155","90"</v>
      </c>
      <c r="S744">
        <f>LOOKUP(LOOKUP(tblEnrolledSubjs[[#This Row],[CSubjID]], tblClassSubjs[CSubjID],tblClassSubjs[ClassID]),tblClasses[ClassID],tblClasses[STermID])</f>
        <v>3</v>
      </c>
      <c r="T744" t="str">
        <f>LOOKUP(S744,tblSchoolTerms[STermID],tblSchoolTerms[SemesterID]&amp;" Semester "&amp;tblSchoolTerms[SchoolYear])</f>
        <v>2 Semester S.Y. 2017-2018</v>
      </c>
      <c r="W7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4" t="e">
        <f t="array" ref="Y744">INDEX(tblEnrolledStuds[EStudID],MATCH(tblEnrolledSubjs[[#This Row],[EStudID]]&amp;S744,tblEnrolledStuds[AdmissionStatusID]&amp;tblEnrolledStuds[StudID],0))</f>
        <v>#N/A</v>
      </c>
    </row>
    <row r="745" spans="2:25" x14ac:dyDescent="0.25">
      <c r="B745">
        <v>743</v>
      </c>
      <c r="C745">
        <v>155</v>
      </c>
      <c r="D745">
        <v>91</v>
      </c>
      <c r="P745" t="str">
        <f t="shared" si="15"/>
        <v>(NULL,"155","91"),</v>
      </c>
      <c r="Q745" t="str">
        <f>TextJoin(tblEnrolledSubjs[[#This Row],[CSubjID]:[EStudID]],"Value")</f>
        <v>"155","91"</v>
      </c>
      <c r="S745">
        <f>LOOKUP(LOOKUP(tblEnrolledSubjs[[#This Row],[CSubjID]], tblClassSubjs[CSubjID],tblClassSubjs[ClassID]),tblClasses[ClassID],tblClasses[STermID])</f>
        <v>3</v>
      </c>
      <c r="T745" t="str">
        <f>LOOKUP(S745,tblSchoolTerms[STermID],tblSchoolTerms[SemesterID]&amp;" Semester "&amp;tblSchoolTerms[SchoolYear])</f>
        <v>2 Semester S.Y. 2017-2018</v>
      </c>
      <c r="W7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5" t="e">
        <f t="array" ref="Y745">INDEX(tblEnrolledStuds[EStudID],MATCH(tblEnrolledSubjs[[#This Row],[EStudID]]&amp;S745,tblEnrolledStuds[AdmissionStatusID]&amp;tblEnrolledStuds[StudID],0))</f>
        <v>#N/A</v>
      </c>
    </row>
    <row r="746" spans="2:25" x14ac:dyDescent="0.25">
      <c r="B746">
        <v>744</v>
      </c>
      <c r="C746">
        <v>155</v>
      </c>
      <c r="D746">
        <v>93</v>
      </c>
      <c r="P746" t="str">
        <f t="shared" si="15"/>
        <v>(NULL,"155","93"),</v>
      </c>
      <c r="Q746" t="str">
        <f>TextJoin(tblEnrolledSubjs[[#This Row],[CSubjID]:[EStudID]],"Value")</f>
        <v>"155","93"</v>
      </c>
      <c r="S746">
        <f>LOOKUP(LOOKUP(tblEnrolledSubjs[[#This Row],[CSubjID]], tblClassSubjs[CSubjID],tblClassSubjs[ClassID]),tblClasses[ClassID],tblClasses[STermID])</f>
        <v>3</v>
      </c>
      <c r="T746" t="str">
        <f>LOOKUP(S746,tblSchoolTerms[STermID],tblSchoolTerms[SemesterID]&amp;" Semester "&amp;tblSchoolTerms[SchoolYear])</f>
        <v>2 Semester S.Y. 2017-2018</v>
      </c>
      <c r="W7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6" t="e">
        <f t="array" ref="Y746">INDEX(tblEnrolledStuds[EStudID],MATCH(tblEnrolledSubjs[[#This Row],[EStudID]]&amp;S746,tblEnrolledStuds[AdmissionStatusID]&amp;tblEnrolledStuds[StudID],0))</f>
        <v>#N/A</v>
      </c>
    </row>
    <row r="747" spans="2:25" x14ac:dyDescent="0.25">
      <c r="B747">
        <v>745</v>
      </c>
      <c r="C747">
        <v>155</v>
      </c>
      <c r="D747">
        <v>94</v>
      </c>
      <c r="P747" t="str">
        <f t="shared" si="15"/>
        <v>(NULL,"155","94"),</v>
      </c>
      <c r="Q747" t="str">
        <f>TextJoin(tblEnrolledSubjs[[#This Row],[CSubjID]:[EStudID]],"Value")</f>
        <v>"155","94"</v>
      </c>
      <c r="S747">
        <f>LOOKUP(LOOKUP(tblEnrolledSubjs[[#This Row],[CSubjID]], tblClassSubjs[CSubjID],tblClassSubjs[ClassID]),tblClasses[ClassID],tblClasses[STermID])</f>
        <v>3</v>
      </c>
      <c r="T747" t="str">
        <f>LOOKUP(S747,tblSchoolTerms[STermID],tblSchoolTerms[SemesterID]&amp;" Semester "&amp;tblSchoolTerms[SchoolYear])</f>
        <v>2 Semester S.Y. 2017-2018</v>
      </c>
      <c r="W7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7" t="e">
        <f t="array" ref="Y747">INDEX(tblEnrolledStuds[EStudID],MATCH(tblEnrolledSubjs[[#This Row],[EStudID]]&amp;S747,tblEnrolledStuds[AdmissionStatusID]&amp;tblEnrolledStuds[StudID],0))</f>
        <v>#N/A</v>
      </c>
    </row>
    <row r="748" spans="2:25" x14ac:dyDescent="0.25">
      <c r="B748">
        <v>746</v>
      </c>
      <c r="C748">
        <v>155</v>
      </c>
      <c r="D748">
        <v>96</v>
      </c>
      <c r="P748" t="str">
        <f t="shared" si="15"/>
        <v>(NULL,"155","96"),</v>
      </c>
      <c r="Q748" t="str">
        <f>TextJoin(tblEnrolledSubjs[[#This Row],[CSubjID]:[EStudID]],"Value")</f>
        <v>"155","96"</v>
      </c>
      <c r="S748">
        <f>LOOKUP(LOOKUP(tblEnrolledSubjs[[#This Row],[CSubjID]], tblClassSubjs[CSubjID],tblClassSubjs[ClassID]),tblClasses[ClassID],tblClasses[STermID])</f>
        <v>3</v>
      </c>
      <c r="T748" t="str">
        <f>LOOKUP(S748,tblSchoolTerms[STermID],tblSchoolTerms[SemesterID]&amp;" Semester "&amp;tblSchoolTerms[SchoolYear])</f>
        <v>2 Semester S.Y. 2017-2018</v>
      </c>
      <c r="W7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8" t="e">
        <f t="array" ref="Y748">INDEX(tblEnrolledStuds[EStudID],MATCH(tblEnrolledSubjs[[#This Row],[EStudID]]&amp;S748,tblEnrolledStuds[AdmissionStatusID]&amp;tblEnrolledStuds[StudID],0))</f>
        <v>#N/A</v>
      </c>
    </row>
    <row r="749" spans="2:25" x14ac:dyDescent="0.25">
      <c r="B749">
        <v>747</v>
      </c>
      <c r="C749">
        <v>155</v>
      </c>
      <c r="D749">
        <v>97</v>
      </c>
      <c r="P749" t="str">
        <f t="shared" si="15"/>
        <v>(NULL,"155","97"),</v>
      </c>
      <c r="Q749" t="str">
        <f>TextJoin(tblEnrolledSubjs[[#This Row],[CSubjID]:[EStudID]],"Value")</f>
        <v>"155","97"</v>
      </c>
      <c r="S749">
        <f>LOOKUP(LOOKUP(tblEnrolledSubjs[[#This Row],[CSubjID]], tblClassSubjs[CSubjID],tblClassSubjs[ClassID]),tblClasses[ClassID],tblClasses[STermID])</f>
        <v>3</v>
      </c>
      <c r="T749" t="str">
        <f>LOOKUP(S749,tblSchoolTerms[STermID],tblSchoolTerms[SemesterID]&amp;" Semester "&amp;tblSchoolTerms[SchoolYear])</f>
        <v>2 Semester S.Y. 2017-2018</v>
      </c>
      <c r="W7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49" t="e">
        <f t="array" ref="Y749">INDEX(tblEnrolledStuds[EStudID],MATCH(tblEnrolledSubjs[[#This Row],[EStudID]]&amp;S749,tblEnrolledStuds[AdmissionStatusID]&amp;tblEnrolledStuds[StudID],0))</f>
        <v>#N/A</v>
      </c>
    </row>
    <row r="750" spans="2:25" x14ac:dyDescent="0.25">
      <c r="B750">
        <v>748</v>
      </c>
      <c r="C750">
        <v>155</v>
      </c>
      <c r="D750">
        <v>99</v>
      </c>
      <c r="P750" t="str">
        <f t="shared" si="15"/>
        <v>(NULL,"155","99"),</v>
      </c>
      <c r="Q750" t="str">
        <f>TextJoin(tblEnrolledSubjs[[#This Row],[CSubjID]:[EStudID]],"Value")</f>
        <v>"155","99"</v>
      </c>
      <c r="S750">
        <f>LOOKUP(LOOKUP(tblEnrolledSubjs[[#This Row],[CSubjID]], tblClassSubjs[CSubjID],tblClassSubjs[ClassID]),tblClasses[ClassID],tblClasses[STermID])</f>
        <v>3</v>
      </c>
      <c r="T750" t="str">
        <f>LOOKUP(S750,tblSchoolTerms[STermID],tblSchoolTerms[SemesterID]&amp;" Semester "&amp;tblSchoolTerms[SchoolYear])</f>
        <v>2 Semester S.Y. 2017-2018</v>
      </c>
      <c r="W7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0" t="e">
        <f t="array" ref="Y750">INDEX(tblEnrolledStuds[EStudID],MATCH(tblEnrolledSubjs[[#This Row],[EStudID]]&amp;S750,tblEnrolledStuds[AdmissionStatusID]&amp;tblEnrolledStuds[StudID],0))</f>
        <v>#N/A</v>
      </c>
    </row>
    <row r="751" spans="2:25" x14ac:dyDescent="0.25">
      <c r="B751">
        <v>749</v>
      </c>
      <c r="C751">
        <v>155</v>
      </c>
      <c r="D751">
        <v>101</v>
      </c>
      <c r="P751" t="str">
        <f t="shared" si="15"/>
        <v>(NULL,"155","101"),</v>
      </c>
      <c r="Q751" t="str">
        <f>TextJoin(tblEnrolledSubjs[[#This Row],[CSubjID]:[EStudID]],"Value")</f>
        <v>"155","101"</v>
      </c>
      <c r="S751">
        <f>LOOKUP(LOOKUP(tblEnrolledSubjs[[#This Row],[CSubjID]], tblClassSubjs[CSubjID],tblClassSubjs[ClassID]),tblClasses[ClassID],tblClasses[STermID])</f>
        <v>3</v>
      </c>
      <c r="T751" t="str">
        <f>LOOKUP(S751,tblSchoolTerms[STermID],tblSchoolTerms[SemesterID]&amp;" Semester "&amp;tblSchoolTerms[SchoolYear])</f>
        <v>2 Semester S.Y. 2017-2018</v>
      </c>
      <c r="W7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1" t="e">
        <f t="array" ref="Y751">INDEX(tblEnrolledStuds[EStudID],MATCH(tblEnrolledSubjs[[#This Row],[EStudID]]&amp;S751,tblEnrolledStuds[AdmissionStatusID]&amp;tblEnrolledStuds[StudID],0))</f>
        <v>#N/A</v>
      </c>
    </row>
    <row r="752" spans="2:25" x14ac:dyDescent="0.25">
      <c r="B752">
        <v>750</v>
      </c>
      <c r="C752">
        <v>155</v>
      </c>
      <c r="D752">
        <v>102</v>
      </c>
      <c r="P752" t="str">
        <f t="shared" si="15"/>
        <v>(NULL,"155","102"),</v>
      </c>
      <c r="Q752" t="str">
        <f>TextJoin(tblEnrolledSubjs[[#This Row],[CSubjID]:[EStudID]],"Value")</f>
        <v>"155","102"</v>
      </c>
      <c r="S752">
        <f>LOOKUP(LOOKUP(tblEnrolledSubjs[[#This Row],[CSubjID]], tblClassSubjs[CSubjID],tblClassSubjs[ClassID]),tblClasses[ClassID],tblClasses[STermID])</f>
        <v>3</v>
      </c>
      <c r="T752" t="str">
        <f>LOOKUP(S752,tblSchoolTerms[STermID],tblSchoolTerms[SemesterID]&amp;" Semester "&amp;tblSchoolTerms[SchoolYear])</f>
        <v>2 Semester S.Y. 2017-2018</v>
      </c>
      <c r="W7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2" t="e">
        <f t="array" ref="Y752">INDEX(tblEnrolledStuds[EStudID],MATCH(tblEnrolledSubjs[[#This Row],[EStudID]]&amp;S752,tblEnrolledStuds[AdmissionStatusID]&amp;tblEnrolledStuds[StudID],0))</f>
        <v>#N/A</v>
      </c>
    </row>
    <row r="753" spans="2:25" x14ac:dyDescent="0.25">
      <c r="B753">
        <v>751</v>
      </c>
      <c r="C753">
        <v>155</v>
      </c>
      <c r="D753">
        <v>95</v>
      </c>
      <c r="P753" t="str">
        <f t="shared" si="15"/>
        <v>(NULL,"155","95"),</v>
      </c>
      <c r="Q753" t="str">
        <f>TextJoin(tblEnrolledSubjs[[#This Row],[CSubjID]:[EStudID]],"Value")</f>
        <v>"155","95"</v>
      </c>
      <c r="S753">
        <f>LOOKUP(LOOKUP(tblEnrolledSubjs[[#This Row],[CSubjID]], tblClassSubjs[CSubjID],tblClassSubjs[ClassID]),tblClasses[ClassID],tblClasses[STermID])</f>
        <v>3</v>
      </c>
      <c r="T753" t="str">
        <f>LOOKUP(S753,tblSchoolTerms[STermID],tblSchoolTerms[SemesterID]&amp;" Semester "&amp;tblSchoolTerms[SchoolYear])</f>
        <v>2 Semester S.Y. 2017-2018</v>
      </c>
      <c r="W7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3" t="e">
        <f t="array" ref="Y753">INDEX(tblEnrolledStuds[EStudID],MATCH(tblEnrolledSubjs[[#This Row],[EStudID]]&amp;S753,tblEnrolledStuds[AdmissionStatusID]&amp;tblEnrolledStuds[StudID],0))</f>
        <v>#N/A</v>
      </c>
    </row>
    <row r="754" spans="2:25" x14ac:dyDescent="0.25">
      <c r="B754">
        <v>752</v>
      </c>
      <c r="C754">
        <v>156</v>
      </c>
      <c r="D754">
        <v>89</v>
      </c>
      <c r="P754" t="str">
        <f t="shared" si="15"/>
        <v>(NULL,"156","89"),</v>
      </c>
      <c r="Q754" t="str">
        <f>TextJoin(tblEnrolledSubjs[[#This Row],[CSubjID]:[EStudID]],"Value")</f>
        <v>"156","89"</v>
      </c>
      <c r="S754">
        <f>LOOKUP(LOOKUP(tblEnrolledSubjs[[#This Row],[CSubjID]], tblClassSubjs[CSubjID],tblClassSubjs[ClassID]),tblClasses[ClassID],tblClasses[STermID])</f>
        <v>3</v>
      </c>
      <c r="T754" t="str">
        <f>LOOKUP(S754,tblSchoolTerms[STermID],tblSchoolTerms[SemesterID]&amp;" Semester "&amp;tblSchoolTerms[SchoolYear])</f>
        <v>2 Semester S.Y. 2017-2018</v>
      </c>
      <c r="W7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4" t="e">
        <f t="array" ref="Y754">INDEX(tblEnrolledStuds[EStudID],MATCH(tblEnrolledSubjs[[#This Row],[EStudID]]&amp;S754,tblEnrolledStuds[AdmissionStatusID]&amp;tblEnrolledStuds[StudID],0))</f>
        <v>#N/A</v>
      </c>
    </row>
    <row r="755" spans="2:25" x14ac:dyDescent="0.25">
      <c r="B755">
        <v>753</v>
      </c>
      <c r="C755">
        <v>156</v>
      </c>
      <c r="D755">
        <v>90</v>
      </c>
      <c r="P755" t="str">
        <f t="shared" si="15"/>
        <v>(NULL,"156","90"),</v>
      </c>
      <c r="Q755" t="str">
        <f>TextJoin(tblEnrolledSubjs[[#This Row],[CSubjID]:[EStudID]],"Value")</f>
        <v>"156","90"</v>
      </c>
      <c r="S755">
        <f>LOOKUP(LOOKUP(tblEnrolledSubjs[[#This Row],[CSubjID]], tblClassSubjs[CSubjID],tblClassSubjs[ClassID]),tblClasses[ClassID],tblClasses[STermID])</f>
        <v>3</v>
      </c>
      <c r="T755" t="str">
        <f>LOOKUP(S755,tblSchoolTerms[STermID],tblSchoolTerms[SemesterID]&amp;" Semester "&amp;tblSchoolTerms[SchoolYear])</f>
        <v>2 Semester S.Y. 2017-2018</v>
      </c>
      <c r="W7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5" t="e">
        <f t="array" ref="Y755">INDEX(tblEnrolledStuds[EStudID],MATCH(tblEnrolledSubjs[[#This Row],[EStudID]]&amp;S755,tblEnrolledStuds[AdmissionStatusID]&amp;tblEnrolledStuds[StudID],0))</f>
        <v>#N/A</v>
      </c>
    </row>
    <row r="756" spans="2:25" x14ac:dyDescent="0.25">
      <c r="B756">
        <v>754</v>
      </c>
      <c r="C756">
        <v>156</v>
      </c>
      <c r="D756">
        <v>91</v>
      </c>
      <c r="P756" t="str">
        <f t="shared" si="15"/>
        <v>(NULL,"156","91"),</v>
      </c>
      <c r="Q756" t="str">
        <f>TextJoin(tblEnrolledSubjs[[#This Row],[CSubjID]:[EStudID]],"Value")</f>
        <v>"156","91"</v>
      </c>
      <c r="S756">
        <f>LOOKUP(LOOKUP(tblEnrolledSubjs[[#This Row],[CSubjID]], tblClassSubjs[CSubjID],tblClassSubjs[ClassID]),tblClasses[ClassID],tblClasses[STermID])</f>
        <v>3</v>
      </c>
      <c r="T756" t="str">
        <f>LOOKUP(S756,tblSchoolTerms[STermID],tblSchoolTerms[SemesterID]&amp;" Semester "&amp;tblSchoolTerms[SchoolYear])</f>
        <v>2 Semester S.Y. 2017-2018</v>
      </c>
      <c r="W7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6" t="e">
        <f t="array" ref="Y756">INDEX(tblEnrolledStuds[EStudID],MATCH(tblEnrolledSubjs[[#This Row],[EStudID]]&amp;S756,tblEnrolledStuds[AdmissionStatusID]&amp;tblEnrolledStuds[StudID],0))</f>
        <v>#N/A</v>
      </c>
    </row>
    <row r="757" spans="2:25" x14ac:dyDescent="0.25">
      <c r="B757">
        <v>755</v>
      </c>
      <c r="C757">
        <v>156</v>
      </c>
      <c r="D757">
        <v>93</v>
      </c>
      <c r="P757" t="str">
        <f t="shared" si="15"/>
        <v>(NULL,"156","93"),</v>
      </c>
      <c r="Q757" t="str">
        <f>TextJoin(tblEnrolledSubjs[[#This Row],[CSubjID]:[EStudID]],"Value")</f>
        <v>"156","93"</v>
      </c>
      <c r="S757">
        <f>LOOKUP(LOOKUP(tblEnrolledSubjs[[#This Row],[CSubjID]], tblClassSubjs[CSubjID],tblClassSubjs[ClassID]),tblClasses[ClassID],tblClasses[STermID])</f>
        <v>3</v>
      </c>
      <c r="T757" t="str">
        <f>LOOKUP(S757,tblSchoolTerms[STermID],tblSchoolTerms[SemesterID]&amp;" Semester "&amp;tblSchoolTerms[SchoolYear])</f>
        <v>2 Semester S.Y. 2017-2018</v>
      </c>
      <c r="W7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7" t="e">
        <f t="array" ref="Y757">INDEX(tblEnrolledStuds[EStudID],MATCH(tblEnrolledSubjs[[#This Row],[EStudID]]&amp;S757,tblEnrolledStuds[AdmissionStatusID]&amp;tblEnrolledStuds[StudID],0))</f>
        <v>#N/A</v>
      </c>
    </row>
    <row r="758" spans="2:25" x14ac:dyDescent="0.25">
      <c r="B758">
        <v>756</v>
      </c>
      <c r="C758">
        <v>156</v>
      </c>
      <c r="D758">
        <v>94</v>
      </c>
      <c r="P758" t="str">
        <f t="shared" si="15"/>
        <v>(NULL,"156","94"),</v>
      </c>
      <c r="Q758" t="str">
        <f>TextJoin(tblEnrolledSubjs[[#This Row],[CSubjID]:[EStudID]],"Value")</f>
        <v>"156","94"</v>
      </c>
      <c r="S758">
        <f>LOOKUP(LOOKUP(tblEnrolledSubjs[[#This Row],[CSubjID]], tblClassSubjs[CSubjID],tblClassSubjs[ClassID]),tblClasses[ClassID],tblClasses[STermID])</f>
        <v>3</v>
      </c>
      <c r="T758" t="str">
        <f>LOOKUP(S758,tblSchoolTerms[STermID],tblSchoolTerms[SemesterID]&amp;" Semester "&amp;tblSchoolTerms[SchoolYear])</f>
        <v>2 Semester S.Y. 2017-2018</v>
      </c>
      <c r="W7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8" t="e">
        <f t="array" ref="Y758">INDEX(tblEnrolledStuds[EStudID],MATCH(tblEnrolledSubjs[[#This Row],[EStudID]]&amp;S758,tblEnrolledStuds[AdmissionStatusID]&amp;tblEnrolledStuds[StudID],0))</f>
        <v>#N/A</v>
      </c>
    </row>
    <row r="759" spans="2:25" x14ac:dyDescent="0.25">
      <c r="B759">
        <v>757</v>
      </c>
      <c r="C759">
        <v>156</v>
      </c>
      <c r="D759">
        <v>96</v>
      </c>
      <c r="P759" t="str">
        <f t="shared" si="15"/>
        <v>(NULL,"156","96"),</v>
      </c>
      <c r="Q759" t="str">
        <f>TextJoin(tblEnrolledSubjs[[#This Row],[CSubjID]:[EStudID]],"Value")</f>
        <v>"156","96"</v>
      </c>
      <c r="S759">
        <f>LOOKUP(LOOKUP(tblEnrolledSubjs[[#This Row],[CSubjID]], tblClassSubjs[CSubjID],tblClassSubjs[ClassID]),tblClasses[ClassID],tblClasses[STermID])</f>
        <v>3</v>
      </c>
      <c r="T759" t="str">
        <f>LOOKUP(S759,tblSchoolTerms[STermID],tblSchoolTerms[SemesterID]&amp;" Semester "&amp;tblSchoolTerms[SchoolYear])</f>
        <v>2 Semester S.Y. 2017-2018</v>
      </c>
      <c r="W7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59" t="e">
        <f t="array" ref="Y759">INDEX(tblEnrolledStuds[EStudID],MATCH(tblEnrolledSubjs[[#This Row],[EStudID]]&amp;S759,tblEnrolledStuds[AdmissionStatusID]&amp;tblEnrolledStuds[StudID],0))</f>
        <v>#N/A</v>
      </c>
    </row>
    <row r="760" spans="2:25" x14ac:dyDescent="0.25">
      <c r="B760">
        <v>758</v>
      </c>
      <c r="C760">
        <v>156</v>
      </c>
      <c r="D760">
        <v>97</v>
      </c>
      <c r="P760" t="str">
        <f t="shared" si="15"/>
        <v>(NULL,"156","97"),</v>
      </c>
      <c r="Q760" t="str">
        <f>TextJoin(tblEnrolledSubjs[[#This Row],[CSubjID]:[EStudID]],"Value")</f>
        <v>"156","97"</v>
      </c>
      <c r="S760">
        <f>LOOKUP(LOOKUP(tblEnrolledSubjs[[#This Row],[CSubjID]], tblClassSubjs[CSubjID],tblClassSubjs[ClassID]),tblClasses[ClassID],tblClasses[STermID])</f>
        <v>3</v>
      </c>
      <c r="T760" t="str">
        <f>LOOKUP(S760,tblSchoolTerms[STermID],tblSchoolTerms[SemesterID]&amp;" Semester "&amp;tblSchoolTerms[SchoolYear])</f>
        <v>2 Semester S.Y. 2017-2018</v>
      </c>
      <c r="W7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0" t="e">
        <f t="array" ref="Y760">INDEX(tblEnrolledStuds[EStudID],MATCH(tblEnrolledSubjs[[#This Row],[EStudID]]&amp;S760,tblEnrolledStuds[AdmissionStatusID]&amp;tblEnrolledStuds[StudID],0))</f>
        <v>#N/A</v>
      </c>
    </row>
    <row r="761" spans="2:25" x14ac:dyDescent="0.25">
      <c r="B761">
        <v>759</v>
      </c>
      <c r="C761">
        <v>156</v>
      </c>
      <c r="D761">
        <v>99</v>
      </c>
      <c r="P761" t="str">
        <f t="shared" si="15"/>
        <v>(NULL,"156","99"),</v>
      </c>
      <c r="Q761" t="str">
        <f>TextJoin(tblEnrolledSubjs[[#This Row],[CSubjID]:[EStudID]],"Value")</f>
        <v>"156","99"</v>
      </c>
      <c r="S761">
        <f>LOOKUP(LOOKUP(tblEnrolledSubjs[[#This Row],[CSubjID]], tblClassSubjs[CSubjID],tblClassSubjs[ClassID]),tblClasses[ClassID],tblClasses[STermID])</f>
        <v>3</v>
      </c>
      <c r="T761" t="str">
        <f>LOOKUP(S761,tblSchoolTerms[STermID],tblSchoolTerms[SemesterID]&amp;" Semester "&amp;tblSchoolTerms[SchoolYear])</f>
        <v>2 Semester S.Y. 2017-2018</v>
      </c>
      <c r="W7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1" t="e">
        <f t="array" ref="Y761">INDEX(tblEnrolledStuds[EStudID],MATCH(tblEnrolledSubjs[[#This Row],[EStudID]]&amp;S761,tblEnrolledStuds[AdmissionStatusID]&amp;tblEnrolledStuds[StudID],0))</f>
        <v>#N/A</v>
      </c>
    </row>
    <row r="762" spans="2:25" x14ac:dyDescent="0.25">
      <c r="B762">
        <v>760</v>
      </c>
      <c r="C762">
        <v>156</v>
      </c>
      <c r="D762">
        <v>101</v>
      </c>
      <c r="P762" t="str">
        <f t="shared" si="15"/>
        <v>(NULL,"156","101"),</v>
      </c>
      <c r="Q762" t="str">
        <f>TextJoin(tblEnrolledSubjs[[#This Row],[CSubjID]:[EStudID]],"Value")</f>
        <v>"156","101"</v>
      </c>
      <c r="S762">
        <f>LOOKUP(LOOKUP(tblEnrolledSubjs[[#This Row],[CSubjID]], tblClassSubjs[CSubjID],tblClassSubjs[ClassID]),tblClasses[ClassID],tblClasses[STermID])</f>
        <v>3</v>
      </c>
      <c r="T762" t="str">
        <f>LOOKUP(S762,tblSchoolTerms[STermID],tblSchoolTerms[SemesterID]&amp;" Semester "&amp;tblSchoolTerms[SchoolYear])</f>
        <v>2 Semester S.Y. 2017-2018</v>
      </c>
      <c r="W7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2" t="e">
        <f t="array" ref="Y762">INDEX(tblEnrolledStuds[EStudID],MATCH(tblEnrolledSubjs[[#This Row],[EStudID]]&amp;S762,tblEnrolledStuds[AdmissionStatusID]&amp;tblEnrolledStuds[StudID],0))</f>
        <v>#N/A</v>
      </c>
    </row>
    <row r="763" spans="2:25" x14ac:dyDescent="0.25">
      <c r="B763">
        <v>761</v>
      </c>
      <c r="C763">
        <v>156</v>
      </c>
      <c r="D763">
        <v>102</v>
      </c>
      <c r="P763" t="str">
        <f t="shared" si="15"/>
        <v>(NULL,"156","102"),</v>
      </c>
      <c r="Q763" t="str">
        <f>TextJoin(tblEnrolledSubjs[[#This Row],[CSubjID]:[EStudID]],"Value")</f>
        <v>"156","102"</v>
      </c>
      <c r="S763">
        <f>LOOKUP(LOOKUP(tblEnrolledSubjs[[#This Row],[CSubjID]], tblClassSubjs[CSubjID],tblClassSubjs[ClassID]),tblClasses[ClassID],tblClasses[STermID])</f>
        <v>3</v>
      </c>
      <c r="T763" t="str">
        <f>LOOKUP(S763,tblSchoolTerms[STermID],tblSchoolTerms[SemesterID]&amp;" Semester "&amp;tblSchoolTerms[SchoolYear])</f>
        <v>2 Semester S.Y. 2017-2018</v>
      </c>
      <c r="W7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3" t="e">
        <f t="array" ref="Y763">INDEX(tblEnrolledStuds[EStudID],MATCH(tblEnrolledSubjs[[#This Row],[EStudID]]&amp;S763,tblEnrolledStuds[AdmissionStatusID]&amp;tblEnrolledStuds[StudID],0))</f>
        <v>#N/A</v>
      </c>
    </row>
    <row r="764" spans="2:25" x14ac:dyDescent="0.25">
      <c r="B764">
        <v>762</v>
      </c>
      <c r="C764">
        <v>156</v>
      </c>
      <c r="D764">
        <v>95</v>
      </c>
      <c r="P764" t="str">
        <f t="shared" si="15"/>
        <v>(NULL,"156","95"),</v>
      </c>
      <c r="Q764" t="str">
        <f>TextJoin(tblEnrolledSubjs[[#This Row],[CSubjID]:[EStudID]],"Value")</f>
        <v>"156","95"</v>
      </c>
      <c r="S764">
        <f>LOOKUP(LOOKUP(tblEnrolledSubjs[[#This Row],[CSubjID]], tblClassSubjs[CSubjID],tblClassSubjs[ClassID]),tblClasses[ClassID],tblClasses[STermID])</f>
        <v>3</v>
      </c>
      <c r="T764" t="str">
        <f>LOOKUP(S764,tblSchoolTerms[STermID],tblSchoolTerms[SemesterID]&amp;" Semester "&amp;tblSchoolTerms[SchoolYear])</f>
        <v>2 Semester S.Y. 2017-2018</v>
      </c>
      <c r="W7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4" t="e">
        <f t="array" ref="Y764">INDEX(tblEnrolledStuds[EStudID],MATCH(tblEnrolledSubjs[[#This Row],[EStudID]]&amp;S764,tblEnrolledStuds[AdmissionStatusID]&amp;tblEnrolledStuds[StudID],0))</f>
        <v>#N/A</v>
      </c>
    </row>
    <row r="765" spans="2:25" x14ac:dyDescent="0.25">
      <c r="B765">
        <v>763</v>
      </c>
      <c r="C765" s="28">
        <v>172</v>
      </c>
      <c r="D765" s="22">
        <v>92</v>
      </c>
      <c r="P765" t="str">
        <f t="shared" si="15"/>
        <v>(NULL,"172","92"),</v>
      </c>
      <c r="Q765" t="str">
        <f>TextJoin(tblEnrolledSubjs[[#This Row],[CSubjID]:[EStudID]],"Value")</f>
        <v>"172","92"</v>
      </c>
      <c r="S765">
        <f>LOOKUP(LOOKUP(tblEnrolledSubjs[[#This Row],[CSubjID]], tblClassSubjs[CSubjID],tblClassSubjs[ClassID]),tblClasses[ClassID],tblClasses[STermID])</f>
        <v>3</v>
      </c>
      <c r="T765" t="str">
        <f>LOOKUP(S765,tblSchoolTerms[STermID],tblSchoolTerms[SemesterID]&amp;" Semester "&amp;tblSchoolTerms[SchoolYear])</f>
        <v>2 Semester S.Y. 2017-2018</v>
      </c>
      <c r="W7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5" t="e">
        <f t="array" ref="Y765">INDEX(tblEnrolledStuds[EStudID],MATCH(tblEnrolledSubjs[[#This Row],[EStudID]]&amp;S765,tblEnrolledStuds[AdmissionStatusID]&amp;tblEnrolledStuds[StudID],0))</f>
        <v>#N/A</v>
      </c>
    </row>
    <row r="766" spans="2:25" x14ac:dyDescent="0.25">
      <c r="B766">
        <v>764</v>
      </c>
      <c r="C766" s="28">
        <v>172</v>
      </c>
      <c r="D766" s="22">
        <v>98</v>
      </c>
      <c r="P766" t="str">
        <f t="shared" si="15"/>
        <v>(NULL,"172","98"),</v>
      </c>
      <c r="Q766" t="str">
        <f>TextJoin(tblEnrolledSubjs[[#This Row],[CSubjID]:[EStudID]],"Value")</f>
        <v>"172","98"</v>
      </c>
      <c r="S766">
        <f>LOOKUP(LOOKUP(tblEnrolledSubjs[[#This Row],[CSubjID]], tblClassSubjs[CSubjID],tblClassSubjs[ClassID]),tblClasses[ClassID],tblClasses[STermID])</f>
        <v>3</v>
      </c>
      <c r="T766" t="str">
        <f>LOOKUP(S766,tblSchoolTerms[STermID],tblSchoolTerms[SemesterID]&amp;" Semester "&amp;tblSchoolTerms[SchoolYear])</f>
        <v>2 Semester S.Y. 2017-2018</v>
      </c>
      <c r="W7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6" t="e">
        <f t="array" ref="Y766">INDEX(tblEnrolledStuds[EStudID],MATCH(tblEnrolledSubjs[[#This Row],[EStudID]]&amp;S766,tblEnrolledStuds[AdmissionStatusID]&amp;tblEnrolledStuds[StudID],0))</f>
        <v>#N/A</v>
      </c>
    </row>
    <row r="767" spans="2:25" x14ac:dyDescent="0.25">
      <c r="B767">
        <v>765</v>
      </c>
      <c r="C767" s="28">
        <v>172</v>
      </c>
      <c r="D767" s="22">
        <v>100</v>
      </c>
      <c r="P767" t="str">
        <f t="shared" si="15"/>
        <v>(NULL,"172","100"),</v>
      </c>
      <c r="Q767" t="str">
        <f>TextJoin(tblEnrolledSubjs[[#This Row],[CSubjID]:[EStudID]],"Value")</f>
        <v>"172","100"</v>
      </c>
      <c r="S767">
        <f>LOOKUP(LOOKUP(tblEnrolledSubjs[[#This Row],[CSubjID]], tblClassSubjs[CSubjID],tblClassSubjs[ClassID]),tblClasses[ClassID],tblClasses[STermID])</f>
        <v>3</v>
      </c>
      <c r="T767" t="str">
        <f>LOOKUP(S767,tblSchoolTerms[STermID],tblSchoolTerms[SemesterID]&amp;" Semester "&amp;tblSchoolTerms[SchoolYear])</f>
        <v>2 Semester S.Y. 2017-2018</v>
      </c>
      <c r="W7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7" t="e">
        <f t="array" ref="Y767">INDEX(tblEnrolledStuds[EStudID],MATCH(tblEnrolledSubjs[[#This Row],[EStudID]]&amp;S767,tblEnrolledStuds[AdmissionStatusID]&amp;tblEnrolledStuds[StudID],0))</f>
        <v>#N/A</v>
      </c>
    </row>
    <row r="768" spans="2:25" x14ac:dyDescent="0.25">
      <c r="B768">
        <v>766</v>
      </c>
      <c r="C768" s="28">
        <v>172</v>
      </c>
      <c r="D768" s="22">
        <v>103</v>
      </c>
      <c r="P768" t="str">
        <f t="shared" si="15"/>
        <v>(NULL,"172","103"),</v>
      </c>
      <c r="Q768" t="str">
        <f>TextJoin(tblEnrolledSubjs[[#This Row],[CSubjID]:[EStudID]],"Value")</f>
        <v>"172","103"</v>
      </c>
      <c r="S768">
        <f>LOOKUP(LOOKUP(tblEnrolledSubjs[[#This Row],[CSubjID]], tblClassSubjs[CSubjID],tblClassSubjs[ClassID]),tblClasses[ClassID],tblClasses[STermID])</f>
        <v>3</v>
      </c>
      <c r="T768" t="str">
        <f>LOOKUP(S768,tblSchoolTerms[STermID],tblSchoolTerms[SemesterID]&amp;" Semester "&amp;tblSchoolTerms[SchoolYear])</f>
        <v>2 Semester S.Y. 2017-2018</v>
      </c>
      <c r="W7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768" t="e">
        <f t="array" ref="Y768">INDEX(tblEnrolledStuds[EStudID],MATCH(tblEnrolledSubjs[[#This Row],[EStudID]]&amp;S768,tblEnrolledStuds[AdmissionStatusID]&amp;tblEnrolledStuds[StudID],0))</f>
        <v>#N/A</v>
      </c>
    </row>
    <row r="769" spans="2:25" x14ac:dyDescent="0.25">
      <c r="B769">
        <v>767</v>
      </c>
      <c r="C769" s="28">
        <v>172</v>
      </c>
      <c r="D769" s="22">
        <v>104</v>
      </c>
      <c r="P769" t="str">
        <f t="shared" si="15"/>
        <v>(NULL,"172","104"),</v>
      </c>
      <c r="Q769" t="str">
        <f>TextJoin(tblEnrolledSubjs[[#This Row],[CSubjID]:[EStudID]],"Value")</f>
        <v>"172","104"</v>
      </c>
      <c r="S769">
        <f>LOOKUP(LOOKUP(tblEnrolledSubjs[[#This Row],[CSubjID]], tblClassSubjs[CSubjID],tblClassSubjs[ClassID]),tblClasses[ClassID],tblClasses[STermID])</f>
        <v>3</v>
      </c>
      <c r="T769" t="str">
        <f>LOOKUP(S769,tblSchoolTerms[STermID],tblSchoolTerms[SemesterID]&amp;" Semester "&amp;tblSchoolTerms[SchoolYear])</f>
        <v>2 Semester S.Y. 2017-2018</v>
      </c>
      <c r="W7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69" t="e">
        <f t="array" ref="Y769">INDEX(tblEnrolledStuds[EStudID],MATCH(tblEnrolledSubjs[[#This Row],[EStudID]]&amp;S769,tblEnrolledStuds[AdmissionStatusID]&amp;tblEnrolledStuds[StudID],0))</f>
        <v>#N/A</v>
      </c>
    </row>
    <row r="770" spans="2:25" x14ac:dyDescent="0.25">
      <c r="B770">
        <v>768</v>
      </c>
      <c r="C770" s="28">
        <v>172</v>
      </c>
      <c r="D770" s="22">
        <v>105</v>
      </c>
      <c r="P770" t="str">
        <f t="shared" si="15"/>
        <v>(NULL,"172","105"),</v>
      </c>
      <c r="Q770" t="str">
        <f>TextJoin(tblEnrolledSubjs[[#This Row],[CSubjID]:[EStudID]],"Value")</f>
        <v>"172","105"</v>
      </c>
      <c r="S770">
        <f>LOOKUP(LOOKUP(tblEnrolledSubjs[[#This Row],[CSubjID]], tblClassSubjs[CSubjID],tblClassSubjs[ClassID]),tblClasses[ClassID],tblClasses[STermID])</f>
        <v>3</v>
      </c>
      <c r="T770" t="str">
        <f>LOOKUP(S770,tblSchoolTerms[STermID],tblSchoolTerms[SemesterID]&amp;" Semester "&amp;tblSchoolTerms[SchoolYear])</f>
        <v>2 Semester S.Y. 2017-2018</v>
      </c>
      <c r="W7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0" t="e">
        <f t="array" ref="Y770">INDEX(tblEnrolledStuds[EStudID],MATCH(tblEnrolledSubjs[[#This Row],[EStudID]]&amp;S770,tblEnrolledStuds[AdmissionStatusID]&amp;tblEnrolledStuds[StudID],0))</f>
        <v>#N/A</v>
      </c>
    </row>
    <row r="771" spans="2:25" x14ac:dyDescent="0.25">
      <c r="B771">
        <v>769</v>
      </c>
      <c r="C771">
        <v>173</v>
      </c>
      <c r="D771" s="22">
        <v>92</v>
      </c>
      <c r="P771" t="str">
        <f t="shared" si="15"/>
        <v>(NULL,"173","92"),</v>
      </c>
      <c r="Q771" t="str">
        <f>TextJoin(tblEnrolledSubjs[[#This Row],[CSubjID]:[EStudID]],"Value")</f>
        <v>"173","92"</v>
      </c>
      <c r="S771">
        <f>LOOKUP(LOOKUP(tblEnrolledSubjs[[#This Row],[CSubjID]], tblClassSubjs[CSubjID],tblClassSubjs[ClassID]),tblClasses[ClassID],tblClasses[STermID])</f>
        <v>3</v>
      </c>
      <c r="T771" t="str">
        <f>LOOKUP(S771,tblSchoolTerms[STermID],tblSchoolTerms[SemesterID]&amp;" Semester "&amp;tblSchoolTerms[SchoolYear])</f>
        <v>2 Semester S.Y. 2017-2018</v>
      </c>
      <c r="W7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1" t="e">
        <f t="array" ref="Y771">INDEX(tblEnrolledStuds[EStudID],MATCH(tblEnrolledSubjs[[#This Row],[EStudID]]&amp;S771,tblEnrolledStuds[AdmissionStatusID]&amp;tblEnrolledStuds[StudID],0))</f>
        <v>#N/A</v>
      </c>
    </row>
    <row r="772" spans="2:25" x14ac:dyDescent="0.25">
      <c r="B772">
        <v>770</v>
      </c>
      <c r="C772">
        <v>173</v>
      </c>
      <c r="D772" s="22">
        <v>98</v>
      </c>
      <c r="P772" t="str">
        <f t="shared" ref="P772:P835" si="16">"(NULL,"&amp;Q772&amp;")"&amp;IF(P773&lt;&gt;"",",",";")</f>
        <v>(NULL,"173","98"),</v>
      </c>
      <c r="Q772" t="str">
        <f>TextJoin(tblEnrolledSubjs[[#This Row],[CSubjID]:[EStudID]],"Value")</f>
        <v>"173","98"</v>
      </c>
      <c r="S772">
        <f>LOOKUP(LOOKUP(tblEnrolledSubjs[[#This Row],[CSubjID]], tblClassSubjs[CSubjID],tblClassSubjs[ClassID]),tblClasses[ClassID],tblClasses[STermID])</f>
        <v>3</v>
      </c>
      <c r="T772" t="str">
        <f>LOOKUP(S772,tblSchoolTerms[STermID],tblSchoolTerms[SemesterID]&amp;" Semester "&amp;tblSchoolTerms[SchoolYear])</f>
        <v>2 Semester S.Y. 2017-2018</v>
      </c>
      <c r="W7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2" t="e">
        <f t="array" ref="Y772">INDEX(tblEnrolledStuds[EStudID],MATCH(tblEnrolledSubjs[[#This Row],[EStudID]]&amp;S772,tblEnrolledStuds[AdmissionStatusID]&amp;tblEnrolledStuds[StudID],0))</f>
        <v>#N/A</v>
      </c>
    </row>
    <row r="773" spans="2:25" x14ac:dyDescent="0.25">
      <c r="B773">
        <v>771</v>
      </c>
      <c r="C773">
        <v>173</v>
      </c>
      <c r="D773" s="22">
        <v>100</v>
      </c>
      <c r="P773" t="str">
        <f t="shared" si="16"/>
        <v>(NULL,"173","100"),</v>
      </c>
      <c r="Q773" t="str">
        <f>TextJoin(tblEnrolledSubjs[[#This Row],[CSubjID]:[EStudID]],"Value")</f>
        <v>"173","100"</v>
      </c>
      <c r="S773">
        <f>LOOKUP(LOOKUP(tblEnrolledSubjs[[#This Row],[CSubjID]], tblClassSubjs[CSubjID],tblClassSubjs[ClassID]),tblClasses[ClassID],tblClasses[STermID])</f>
        <v>3</v>
      </c>
      <c r="T773" t="str">
        <f>LOOKUP(S773,tblSchoolTerms[STermID],tblSchoolTerms[SemesterID]&amp;" Semester "&amp;tblSchoolTerms[SchoolYear])</f>
        <v>2 Semester S.Y. 2017-2018</v>
      </c>
      <c r="W7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3" t="e">
        <f t="array" ref="Y773">INDEX(tblEnrolledStuds[EStudID],MATCH(tblEnrolledSubjs[[#This Row],[EStudID]]&amp;S773,tblEnrolledStuds[AdmissionStatusID]&amp;tblEnrolledStuds[StudID],0))</f>
        <v>#N/A</v>
      </c>
    </row>
    <row r="774" spans="2:25" x14ac:dyDescent="0.25">
      <c r="B774">
        <v>772</v>
      </c>
      <c r="C774">
        <v>173</v>
      </c>
      <c r="D774" s="22">
        <v>103</v>
      </c>
      <c r="P774" t="str">
        <f t="shared" si="16"/>
        <v>(NULL,"173","103"),</v>
      </c>
      <c r="Q774" t="str">
        <f>TextJoin(tblEnrolledSubjs[[#This Row],[CSubjID]:[EStudID]],"Value")</f>
        <v>"173","103"</v>
      </c>
      <c r="S774">
        <f>LOOKUP(LOOKUP(tblEnrolledSubjs[[#This Row],[CSubjID]], tblClassSubjs[CSubjID],tblClassSubjs[ClassID]),tblClasses[ClassID],tblClasses[STermID])</f>
        <v>3</v>
      </c>
      <c r="T774" t="str">
        <f>LOOKUP(S774,tblSchoolTerms[STermID],tblSchoolTerms[SemesterID]&amp;" Semester "&amp;tblSchoolTerms[SchoolYear])</f>
        <v>2 Semester S.Y. 2017-2018</v>
      </c>
      <c r="W7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774" t="e">
        <f t="array" ref="Y774">INDEX(tblEnrolledStuds[EStudID],MATCH(tblEnrolledSubjs[[#This Row],[EStudID]]&amp;S774,tblEnrolledStuds[AdmissionStatusID]&amp;tblEnrolledStuds[StudID],0))</f>
        <v>#N/A</v>
      </c>
    </row>
    <row r="775" spans="2:25" x14ac:dyDescent="0.25">
      <c r="B775">
        <v>773</v>
      </c>
      <c r="C775">
        <v>173</v>
      </c>
      <c r="D775" s="22">
        <v>104</v>
      </c>
      <c r="P775" t="str">
        <f t="shared" si="16"/>
        <v>(NULL,"173","104"),</v>
      </c>
      <c r="Q775" t="str">
        <f>TextJoin(tblEnrolledSubjs[[#This Row],[CSubjID]:[EStudID]],"Value")</f>
        <v>"173","104"</v>
      </c>
      <c r="S775">
        <f>LOOKUP(LOOKUP(tblEnrolledSubjs[[#This Row],[CSubjID]], tblClassSubjs[CSubjID],tblClassSubjs[ClassID]),tblClasses[ClassID],tblClasses[STermID])</f>
        <v>3</v>
      </c>
      <c r="T775" t="str">
        <f>LOOKUP(S775,tblSchoolTerms[STermID],tblSchoolTerms[SemesterID]&amp;" Semester "&amp;tblSchoolTerms[SchoolYear])</f>
        <v>2 Semester S.Y. 2017-2018</v>
      </c>
      <c r="W7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5" t="e">
        <f t="array" ref="Y775">INDEX(tblEnrolledStuds[EStudID],MATCH(tblEnrolledSubjs[[#This Row],[EStudID]]&amp;S775,tblEnrolledStuds[AdmissionStatusID]&amp;tblEnrolledStuds[StudID],0))</f>
        <v>#N/A</v>
      </c>
    </row>
    <row r="776" spans="2:25" x14ac:dyDescent="0.25">
      <c r="B776">
        <v>774</v>
      </c>
      <c r="C776">
        <v>173</v>
      </c>
      <c r="D776" s="22">
        <v>105</v>
      </c>
      <c r="P776" t="str">
        <f t="shared" si="16"/>
        <v>(NULL,"173","105"),</v>
      </c>
      <c r="Q776" t="str">
        <f>TextJoin(tblEnrolledSubjs[[#This Row],[CSubjID]:[EStudID]],"Value")</f>
        <v>"173","105"</v>
      </c>
      <c r="S776">
        <f>LOOKUP(LOOKUP(tblEnrolledSubjs[[#This Row],[CSubjID]], tblClassSubjs[CSubjID],tblClassSubjs[ClassID]),tblClasses[ClassID],tblClasses[STermID])</f>
        <v>3</v>
      </c>
      <c r="T776" t="str">
        <f>LOOKUP(S776,tblSchoolTerms[STermID],tblSchoolTerms[SemesterID]&amp;" Semester "&amp;tblSchoolTerms[SchoolYear])</f>
        <v>2 Semester S.Y. 2017-2018</v>
      </c>
      <c r="W7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6" t="e">
        <f t="array" ref="Y776">INDEX(tblEnrolledStuds[EStudID],MATCH(tblEnrolledSubjs[[#This Row],[EStudID]]&amp;S776,tblEnrolledStuds[AdmissionStatusID]&amp;tblEnrolledStuds[StudID],0))</f>
        <v>#N/A</v>
      </c>
    </row>
    <row r="777" spans="2:25" x14ac:dyDescent="0.25">
      <c r="B777">
        <v>775</v>
      </c>
      <c r="C777">
        <v>174</v>
      </c>
      <c r="D777" s="22">
        <v>92</v>
      </c>
      <c r="P777" t="str">
        <f t="shared" si="16"/>
        <v>(NULL,"174","92"),</v>
      </c>
      <c r="Q777" t="str">
        <f>TextJoin(tblEnrolledSubjs[[#This Row],[CSubjID]:[EStudID]],"Value")</f>
        <v>"174","92"</v>
      </c>
      <c r="S777">
        <f>LOOKUP(LOOKUP(tblEnrolledSubjs[[#This Row],[CSubjID]], tblClassSubjs[CSubjID],tblClassSubjs[ClassID]),tblClasses[ClassID],tblClasses[STermID])</f>
        <v>3</v>
      </c>
      <c r="T777" t="str">
        <f>LOOKUP(S777,tblSchoolTerms[STermID],tblSchoolTerms[SemesterID]&amp;" Semester "&amp;tblSchoolTerms[SchoolYear])</f>
        <v>2 Semester S.Y. 2017-2018</v>
      </c>
      <c r="W7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7" t="e">
        <f t="array" ref="Y777">INDEX(tblEnrolledStuds[EStudID],MATCH(tblEnrolledSubjs[[#This Row],[EStudID]]&amp;S777,tblEnrolledStuds[AdmissionStatusID]&amp;tblEnrolledStuds[StudID],0))</f>
        <v>#N/A</v>
      </c>
    </row>
    <row r="778" spans="2:25" x14ac:dyDescent="0.25">
      <c r="B778">
        <v>776</v>
      </c>
      <c r="C778">
        <v>174</v>
      </c>
      <c r="D778" s="22">
        <v>98</v>
      </c>
      <c r="P778" t="str">
        <f t="shared" si="16"/>
        <v>(NULL,"174","98"),</v>
      </c>
      <c r="Q778" t="str">
        <f>TextJoin(tblEnrolledSubjs[[#This Row],[CSubjID]:[EStudID]],"Value")</f>
        <v>"174","98"</v>
      </c>
      <c r="S778">
        <f>LOOKUP(LOOKUP(tblEnrolledSubjs[[#This Row],[CSubjID]], tblClassSubjs[CSubjID],tblClassSubjs[ClassID]),tblClasses[ClassID],tblClasses[STermID])</f>
        <v>3</v>
      </c>
      <c r="T778" t="str">
        <f>LOOKUP(S778,tblSchoolTerms[STermID],tblSchoolTerms[SemesterID]&amp;" Semester "&amp;tblSchoolTerms[SchoolYear])</f>
        <v>2 Semester S.Y. 2017-2018</v>
      </c>
      <c r="W7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8" t="e">
        <f t="array" ref="Y778">INDEX(tblEnrolledStuds[EStudID],MATCH(tblEnrolledSubjs[[#This Row],[EStudID]]&amp;S778,tblEnrolledStuds[AdmissionStatusID]&amp;tblEnrolledStuds[StudID],0))</f>
        <v>#N/A</v>
      </c>
    </row>
    <row r="779" spans="2:25" x14ac:dyDescent="0.25">
      <c r="B779">
        <v>777</v>
      </c>
      <c r="C779">
        <v>174</v>
      </c>
      <c r="D779" s="22">
        <v>100</v>
      </c>
      <c r="P779" t="str">
        <f t="shared" si="16"/>
        <v>(NULL,"174","100"),</v>
      </c>
      <c r="Q779" t="str">
        <f>TextJoin(tblEnrolledSubjs[[#This Row],[CSubjID]:[EStudID]],"Value")</f>
        <v>"174","100"</v>
      </c>
      <c r="S779">
        <f>LOOKUP(LOOKUP(tblEnrolledSubjs[[#This Row],[CSubjID]], tblClassSubjs[CSubjID],tblClassSubjs[ClassID]),tblClasses[ClassID],tblClasses[STermID])</f>
        <v>3</v>
      </c>
      <c r="T779" t="str">
        <f>LOOKUP(S779,tblSchoolTerms[STermID],tblSchoolTerms[SemesterID]&amp;" Semester "&amp;tblSchoolTerms[SchoolYear])</f>
        <v>2 Semester S.Y. 2017-2018</v>
      </c>
      <c r="W7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79" t="e">
        <f t="array" ref="Y779">INDEX(tblEnrolledStuds[EStudID],MATCH(tblEnrolledSubjs[[#This Row],[EStudID]]&amp;S779,tblEnrolledStuds[AdmissionStatusID]&amp;tblEnrolledStuds[StudID],0))</f>
        <v>#N/A</v>
      </c>
    </row>
    <row r="780" spans="2:25" x14ac:dyDescent="0.25">
      <c r="B780">
        <v>778</v>
      </c>
      <c r="C780">
        <v>174</v>
      </c>
      <c r="D780" s="22">
        <v>103</v>
      </c>
      <c r="P780" t="str">
        <f t="shared" si="16"/>
        <v>(NULL,"174","103"),</v>
      </c>
      <c r="Q780" t="str">
        <f>TextJoin(tblEnrolledSubjs[[#This Row],[CSubjID]:[EStudID]],"Value")</f>
        <v>"174","103"</v>
      </c>
      <c r="S780">
        <f>LOOKUP(LOOKUP(tblEnrolledSubjs[[#This Row],[CSubjID]], tblClassSubjs[CSubjID],tblClassSubjs[ClassID]),tblClasses[ClassID],tblClasses[STermID])</f>
        <v>3</v>
      </c>
      <c r="T780" t="str">
        <f>LOOKUP(S780,tblSchoolTerms[STermID],tblSchoolTerms[SemesterID]&amp;" Semester "&amp;tblSchoolTerms[SchoolYear])</f>
        <v>2 Semester S.Y. 2017-2018</v>
      </c>
      <c r="W7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780" t="e">
        <f t="array" ref="Y780">INDEX(tblEnrolledStuds[EStudID],MATCH(tblEnrolledSubjs[[#This Row],[EStudID]]&amp;S780,tblEnrolledStuds[AdmissionStatusID]&amp;tblEnrolledStuds[StudID],0))</f>
        <v>#N/A</v>
      </c>
    </row>
    <row r="781" spans="2:25" x14ac:dyDescent="0.25">
      <c r="B781">
        <v>779</v>
      </c>
      <c r="C781">
        <v>174</v>
      </c>
      <c r="D781" s="22">
        <v>104</v>
      </c>
      <c r="P781" t="str">
        <f t="shared" si="16"/>
        <v>(NULL,"174","104"),</v>
      </c>
      <c r="Q781" t="str">
        <f>TextJoin(tblEnrolledSubjs[[#This Row],[CSubjID]:[EStudID]],"Value")</f>
        <v>"174","104"</v>
      </c>
      <c r="S781">
        <f>LOOKUP(LOOKUP(tblEnrolledSubjs[[#This Row],[CSubjID]], tblClassSubjs[CSubjID],tblClassSubjs[ClassID]),tblClasses[ClassID],tblClasses[STermID])</f>
        <v>3</v>
      </c>
      <c r="T781" t="str">
        <f>LOOKUP(S781,tblSchoolTerms[STermID],tblSchoolTerms[SemesterID]&amp;" Semester "&amp;tblSchoolTerms[SchoolYear])</f>
        <v>2 Semester S.Y. 2017-2018</v>
      </c>
      <c r="W7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1" t="e">
        <f t="array" ref="Y781">INDEX(tblEnrolledStuds[EStudID],MATCH(tblEnrolledSubjs[[#This Row],[EStudID]]&amp;S781,tblEnrolledStuds[AdmissionStatusID]&amp;tblEnrolledStuds[StudID],0))</f>
        <v>#N/A</v>
      </c>
    </row>
    <row r="782" spans="2:25" x14ac:dyDescent="0.25">
      <c r="B782">
        <v>780</v>
      </c>
      <c r="C782">
        <v>174</v>
      </c>
      <c r="D782" s="22">
        <v>105</v>
      </c>
      <c r="P782" t="str">
        <f t="shared" si="16"/>
        <v>(NULL,"174","105"),</v>
      </c>
      <c r="Q782" t="str">
        <f>TextJoin(tblEnrolledSubjs[[#This Row],[CSubjID]:[EStudID]],"Value")</f>
        <v>"174","105"</v>
      </c>
      <c r="S782">
        <f>LOOKUP(LOOKUP(tblEnrolledSubjs[[#This Row],[CSubjID]], tblClassSubjs[CSubjID],tblClassSubjs[ClassID]),tblClasses[ClassID],tblClasses[STermID])</f>
        <v>3</v>
      </c>
      <c r="T782" t="str">
        <f>LOOKUP(S782,tblSchoolTerms[STermID],tblSchoolTerms[SemesterID]&amp;" Semester "&amp;tblSchoolTerms[SchoolYear])</f>
        <v>2 Semester S.Y. 2017-2018</v>
      </c>
      <c r="W7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2" t="e">
        <f t="array" ref="Y782">INDEX(tblEnrolledStuds[EStudID],MATCH(tblEnrolledSubjs[[#This Row],[EStudID]]&amp;S782,tblEnrolledStuds[AdmissionStatusID]&amp;tblEnrolledStuds[StudID],0))</f>
        <v>#N/A</v>
      </c>
    </row>
    <row r="783" spans="2:25" x14ac:dyDescent="0.25">
      <c r="B783">
        <v>781</v>
      </c>
      <c r="C783">
        <v>175</v>
      </c>
      <c r="D783" s="22">
        <v>92</v>
      </c>
      <c r="P783" t="str">
        <f t="shared" si="16"/>
        <v>(NULL,"175","92"),</v>
      </c>
      <c r="Q783" t="str">
        <f>TextJoin(tblEnrolledSubjs[[#This Row],[CSubjID]:[EStudID]],"Value")</f>
        <v>"175","92"</v>
      </c>
      <c r="S783">
        <f>LOOKUP(LOOKUP(tblEnrolledSubjs[[#This Row],[CSubjID]], tblClassSubjs[CSubjID],tblClassSubjs[ClassID]),tblClasses[ClassID],tblClasses[STermID])</f>
        <v>3</v>
      </c>
      <c r="T783" t="str">
        <f>LOOKUP(S783,tblSchoolTerms[STermID],tblSchoolTerms[SemesterID]&amp;" Semester "&amp;tblSchoolTerms[SchoolYear])</f>
        <v>2 Semester S.Y. 2017-2018</v>
      </c>
      <c r="W7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3" t="e">
        <f t="array" ref="Y783">INDEX(tblEnrolledStuds[EStudID],MATCH(tblEnrolledSubjs[[#This Row],[EStudID]]&amp;S783,tblEnrolledStuds[AdmissionStatusID]&amp;tblEnrolledStuds[StudID],0))</f>
        <v>#N/A</v>
      </c>
    </row>
    <row r="784" spans="2:25" x14ac:dyDescent="0.25">
      <c r="B784">
        <v>782</v>
      </c>
      <c r="C784">
        <v>175</v>
      </c>
      <c r="D784" s="22">
        <v>98</v>
      </c>
      <c r="P784" t="str">
        <f t="shared" si="16"/>
        <v>(NULL,"175","98"),</v>
      </c>
      <c r="Q784" t="str">
        <f>TextJoin(tblEnrolledSubjs[[#This Row],[CSubjID]:[EStudID]],"Value")</f>
        <v>"175","98"</v>
      </c>
      <c r="S784">
        <f>LOOKUP(LOOKUP(tblEnrolledSubjs[[#This Row],[CSubjID]], tblClassSubjs[CSubjID],tblClassSubjs[ClassID]),tblClasses[ClassID],tblClasses[STermID])</f>
        <v>3</v>
      </c>
      <c r="T784" t="str">
        <f>LOOKUP(S784,tblSchoolTerms[STermID],tblSchoolTerms[SemesterID]&amp;" Semester "&amp;tblSchoolTerms[SchoolYear])</f>
        <v>2 Semester S.Y. 2017-2018</v>
      </c>
      <c r="W7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4" t="e">
        <f t="array" ref="Y784">INDEX(tblEnrolledStuds[EStudID],MATCH(tblEnrolledSubjs[[#This Row],[EStudID]]&amp;S784,tblEnrolledStuds[AdmissionStatusID]&amp;tblEnrolledStuds[StudID],0))</f>
        <v>#N/A</v>
      </c>
    </row>
    <row r="785" spans="2:25" x14ac:dyDescent="0.25">
      <c r="B785">
        <v>783</v>
      </c>
      <c r="C785">
        <v>175</v>
      </c>
      <c r="D785" s="22">
        <v>100</v>
      </c>
      <c r="P785" t="str">
        <f t="shared" si="16"/>
        <v>(NULL,"175","100"),</v>
      </c>
      <c r="Q785" t="str">
        <f>TextJoin(tblEnrolledSubjs[[#This Row],[CSubjID]:[EStudID]],"Value")</f>
        <v>"175","100"</v>
      </c>
      <c r="S785">
        <f>LOOKUP(LOOKUP(tblEnrolledSubjs[[#This Row],[CSubjID]], tblClassSubjs[CSubjID],tblClassSubjs[ClassID]),tblClasses[ClassID],tblClasses[STermID])</f>
        <v>3</v>
      </c>
      <c r="T785" t="str">
        <f>LOOKUP(S785,tblSchoolTerms[STermID],tblSchoolTerms[SemesterID]&amp;" Semester "&amp;tblSchoolTerms[SchoolYear])</f>
        <v>2 Semester S.Y. 2017-2018</v>
      </c>
      <c r="W7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5" t="e">
        <f t="array" ref="Y785">INDEX(tblEnrolledStuds[EStudID],MATCH(tblEnrolledSubjs[[#This Row],[EStudID]]&amp;S785,tblEnrolledStuds[AdmissionStatusID]&amp;tblEnrolledStuds[StudID],0))</f>
        <v>#N/A</v>
      </c>
    </row>
    <row r="786" spans="2:25" x14ac:dyDescent="0.25">
      <c r="B786">
        <v>784</v>
      </c>
      <c r="C786">
        <v>175</v>
      </c>
      <c r="D786" s="22">
        <v>103</v>
      </c>
      <c r="P786" t="str">
        <f t="shared" si="16"/>
        <v>(NULL,"175","103"),</v>
      </c>
      <c r="Q786" t="str">
        <f>TextJoin(tblEnrolledSubjs[[#This Row],[CSubjID]:[EStudID]],"Value")</f>
        <v>"175","103"</v>
      </c>
      <c r="S786">
        <f>LOOKUP(LOOKUP(tblEnrolledSubjs[[#This Row],[CSubjID]], tblClassSubjs[CSubjID],tblClassSubjs[ClassID]),tblClasses[ClassID],tblClasses[STermID])</f>
        <v>3</v>
      </c>
      <c r="T786" t="str">
        <f>LOOKUP(S786,tblSchoolTerms[STermID],tblSchoolTerms[SemesterID]&amp;" Semester "&amp;tblSchoolTerms[SchoolYear])</f>
        <v>2 Semester S.Y. 2017-2018</v>
      </c>
      <c r="W7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786" t="e">
        <f t="array" ref="Y786">INDEX(tblEnrolledStuds[EStudID],MATCH(tblEnrolledSubjs[[#This Row],[EStudID]]&amp;S786,tblEnrolledStuds[AdmissionStatusID]&amp;tblEnrolledStuds[StudID],0))</f>
        <v>#N/A</v>
      </c>
    </row>
    <row r="787" spans="2:25" x14ac:dyDescent="0.25">
      <c r="B787">
        <v>785</v>
      </c>
      <c r="C787">
        <v>175</v>
      </c>
      <c r="D787" s="22">
        <v>104</v>
      </c>
      <c r="P787" t="str">
        <f t="shared" si="16"/>
        <v>(NULL,"175","104"),</v>
      </c>
      <c r="Q787" t="str">
        <f>TextJoin(tblEnrolledSubjs[[#This Row],[CSubjID]:[EStudID]],"Value")</f>
        <v>"175","104"</v>
      </c>
      <c r="S787">
        <f>LOOKUP(LOOKUP(tblEnrolledSubjs[[#This Row],[CSubjID]], tblClassSubjs[CSubjID],tblClassSubjs[ClassID]),tblClasses[ClassID],tblClasses[STermID])</f>
        <v>3</v>
      </c>
      <c r="T787" t="str">
        <f>LOOKUP(S787,tblSchoolTerms[STermID],tblSchoolTerms[SemesterID]&amp;" Semester "&amp;tblSchoolTerms[SchoolYear])</f>
        <v>2 Semester S.Y. 2017-2018</v>
      </c>
      <c r="W7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7" t="e">
        <f t="array" ref="Y787">INDEX(tblEnrolledStuds[EStudID],MATCH(tblEnrolledSubjs[[#This Row],[EStudID]]&amp;S787,tblEnrolledStuds[AdmissionStatusID]&amp;tblEnrolledStuds[StudID],0))</f>
        <v>#N/A</v>
      </c>
    </row>
    <row r="788" spans="2:25" x14ac:dyDescent="0.25">
      <c r="B788">
        <v>786</v>
      </c>
      <c r="C788">
        <v>175</v>
      </c>
      <c r="D788" s="22">
        <v>105</v>
      </c>
      <c r="P788" t="str">
        <f t="shared" si="16"/>
        <v>(NULL,"175","105"),</v>
      </c>
      <c r="Q788" t="str">
        <f>TextJoin(tblEnrolledSubjs[[#This Row],[CSubjID]:[EStudID]],"Value")</f>
        <v>"175","105"</v>
      </c>
      <c r="S788">
        <f>LOOKUP(LOOKUP(tblEnrolledSubjs[[#This Row],[CSubjID]], tblClassSubjs[CSubjID],tblClassSubjs[ClassID]),tblClasses[ClassID],tblClasses[STermID])</f>
        <v>3</v>
      </c>
      <c r="T788" t="str">
        <f>LOOKUP(S788,tblSchoolTerms[STermID],tblSchoolTerms[SemesterID]&amp;" Semester "&amp;tblSchoolTerms[SchoolYear])</f>
        <v>2 Semester S.Y. 2017-2018</v>
      </c>
      <c r="W7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8" t="e">
        <f t="array" ref="Y788">INDEX(tblEnrolledStuds[EStudID],MATCH(tblEnrolledSubjs[[#This Row],[EStudID]]&amp;S788,tblEnrolledStuds[AdmissionStatusID]&amp;tblEnrolledStuds[StudID],0))</f>
        <v>#N/A</v>
      </c>
    </row>
    <row r="789" spans="2:25" x14ac:dyDescent="0.25">
      <c r="B789">
        <v>787</v>
      </c>
      <c r="C789">
        <v>176</v>
      </c>
      <c r="D789" s="22">
        <v>92</v>
      </c>
      <c r="P789" t="str">
        <f t="shared" si="16"/>
        <v>(NULL,"176","92"),</v>
      </c>
      <c r="Q789" t="str">
        <f>TextJoin(tblEnrolledSubjs[[#This Row],[CSubjID]:[EStudID]],"Value")</f>
        <v>"176","92"</v>
      </c>
      <c r="S789">
        <f>LOOKUP(LOOKUP(tblEnrolledSubjs[[#This Row],[CSubjID]], tblClassSubjs[CSubjID],tblClassSubjs[ClassID]),tblClasses[ClassID],tblClasses[STermID])</f>
        <v>3</v>
      </c>
      <c r="T789" t="str">
        <f>LOOKUP(S789,tblSchoolTerms[STermID],tblSchoolTerms[SemesterID]&amp;" Semester "&amp;tblSchoolTerms[SchoolYear])</f>
        <v>2 Semester S.Y. 2017-2018</v>
      </c>
      <c r="W7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89" t="e">
        <f t="array" ref="Y789">INDEX(tblEnrolledStuds[EStudID],MATCH(tblEnrolledSubjs[[#This Row],[EStudID]]&amp;S789,tblEnrolledStuds[AdmissionStatusID]&amp;tblEnrolledStuds[StudID],0))</f>
        <v>#N/A</v>
      </c>
    </row>
    <row r="790" spans="2:25" x14ac:dyDescent="0.25">
      <c r="B790">
        <v>788</v>
      </c>
      <c r="C790">
        <v>176</v>
      </c>
      <c r="D790" s="22">
        <v>98</v>
      </c>
      <c r="P790" t="str">
        <f t="shared" si="16"/>
        <v>(NULL,"176","98"),</v>
      </c>
      <c r="Q790" t="str">
        <f>TextJoin(tblEnrolledSubjs[[#This Row],[CSubjID]:[EStudID]],"Value")</f>
        <v>"176","98"</v>
      </c>
      <c r="S790">
        <f>LOOKUP(LOOKUP(tblEnrolledSubjs[[#This Row],[CSubjID]], tblClassSubjs[CSubjID],tblClassSubjs[ClassID]),tblClasses[ClassID],tblClasses[STermID])</f>
        <v>3</v>
      </c>
      <c r="T790" t="str">
        <f>LOOKUP(S790,tblSchoolTerms[STermID],tblSchoolTerms[SemesterID]&amp;" Semester "&amp;tblSchoolTerms[SchoolYear])</f>
        <v>2 Semester S.Y. 2017-2018</v>
      </c>
      <c r="W7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0" t="e">
        <f t="array" ref="Y790">INDEX(tblEnrolledStuds[EStudID],MATCH(tblEnrolledSubjs[[#This Row],[EStudID]]&amp;S790,tblEnrolledStuds[AdmissionStatusID]&amp;tblEnrolledStuds[StudID],0))</f>
        <v>#N/A</v>
      </c>
    </row>
    <row r="791" spans="2:25" x14ac:dyDescent="0.25">
      <c r="B791">
        <v>789</v>
      </c>
      <c r="C791">
        <v>176</v>
      </c>
      <c r="D791" s="22">
        <v>100</v>
      </c>
      <c r="P791" t="str">
        <f t="shared" si="16"/>
        <v>(NULL,"176","100"),</v>
      </c>
      <c r="Q791" t="str">
        <f>TextJoin(tblEnrolledSubjs[[#This Row],[CSubjID]:[EStudID]],"Value")</f>
        <v>"176","100"</v>
      </c>
      <c r="S791">
        <f>LOOKUP(LOOKUP(tblEnrolledSubjs[[#This Row],[CSubjID]], tblClassSubjs[CSubjID],tblClassSubjs[ClassID]),tblClasses[ClassID],tblClasses[STermID])</f>
        <v>3</v>
      </c>
      <c r="T791" t="str">
        <f>LOOKUP(S791,tblSchoolTerms[STermID],tblSchoolTerms[SemesterID]&amp;" Semester "&amp;tblSchoolTerms[SchoolYear])</f>
        <v>2 Semester S.Y. 2017-2018</v>
      </c>
      <c r="W7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1" t="e">
        <f t="array" ref="Y791">INDEX(tblEnrolledStuds[EStudID],MATCH(tblEnrolledSubjs[[#This Row],[EStudID]]&amp;S791,tblEnrolledStuds[AdmissionStatusID]&amp;tblEnrolledStuds[StudID],0))</f>
        <v>#N/A</v>
      </c>
    </row>
    <row r="792" spans="2:25" x14ac:dyDescent="0.25">
      <c r="B792">
        <v>790</v>
      </c>
      <c r="C792">
        <v>176</v>
      </c>
      <c r="D792" s="22">
        <v>103</v>
      </c>
      <c r="P792" t="str">
        <f t="shared" si="16"/>
        <v>(NULL,"176","103"),</v>
      </c>
      <c r="Q792" t="str">
        <f>TextJoin(tblEnrolledSubjs[[#This Row],[CSubjID]:[EStudID]],"Value")</f>
        <v>"176","103"</v>
      </c>
      <c r="S792">
        <f>LOOKUP(LOOKUP(tblEnrolledSubjs[[#This Row],[CSubjID]], tblClassSubjs[CSubjID],tblClassSubjs[ClassID]),tblClasses[ClassID],tblClasses[STermID])</f>
        <v>3</v>
      </c>
      <c r="T792" t="str">
        <f>LOOKUP(S792,tblSchoolTerms[STermID],tblSchoolTerms[SemesterID]&amp;" Semester "&amp;tblSchoolTerms[SchoolYear])</f>
        <v>2 Semester S.Y. 2017-2018</v>
      </c>
      <c r="W7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792" t="e">
        <f t="array" ref="Y792">INDEX(tblEnrolledStuds[EStudID],MATCH(tblEnrolledSubjs[[#This Row],[EStudID]]&amp;S792,tblEnrolledStuds[AdmissionStatusID]&amp;tblEnrolledStuds[StudID],0))</f>
        <v>#N/A</v>
      </c>
    </row>
    <row r="793" spans="2:25" x14ac:dyDescent="0.25">
      <c r="B793">
        <v>791</v>
      </c>
      <c r="C793">
        <v>176</v>
      </c>
      <c r="D793" s="22">
        <v>104</v>
      </c>
      <c r="P793" t="str">
        <f t="shared" si="16"/>
        <v>(NULL,"176","104"),</v>
      </c>
      <c r="Q793" t="str">
        <f>TextJoin(tblEnrolledSubjs[[#This Row],[CSubjID]:[EStudID]],"Value")</f>
        <v>"176","104"</v>
      </c>
      <c r="S793">
        <f>LOOKUP(LOOKUP(tblEnrolledSubjs[[#This Row],[CSubjID]], tblClassSubjs[CSubjID],tblClassSubjs[ClassID]),tblClasses[ClassID],tblClasses[STermID])</f>
        <v>3</v>
      </c>
      <c r="T793" t="str">
        <f>LOOKUP(S793,tblSchoolTerms[STermID],tblSchoolTerms[SemesterID]&amp;" Semester "&amp;tblSchoolTerms[SchoolYear])</f>
        <v>2 Semester S.Y. 2017-2018</v>
      </c>
      <c r="W7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3" t="e">
        <f t="array" ref="Y793">INDEX(tblEnrolledStuds[EStudID],MATCH(tblEnrolledSubjs[[#This Row],[EStudID]]&amp;S793,tblEnrolledStuds[AdmissionStatusID]&amp;tblEnrolledStuds[StudID],0))</f>
        <v>#N/A</v>
      </c>
    </row>
    <row r="794" spans="2:25" x14ac:dyDescent="0.25">
      <c r="B794">
        <v>792</v>
      </c>
      <c r="C794">
        <v>176</v>
      </c>
      <c r="D794" s="22">
        <v>105</v>
      </c>
      <c r="P794" t="str">
        <f t="shared" si="16"/>
        <v>(NULL,"176","105"),</v>
      </c>
      <c r="Q794" t="str">
        <f>TextJoin(tblEnrolledSubjs[[#This Row],[CSubjID]:[EStudID]],"Value")</f>
        <v>"176","105"</v>
      </c>
      <c r="S794">
        <f>LOOKUP(LOOKUP(tblEnrolledSubjs[[#This Row],[CSubjID]], tblClassSubjs[CSubjID],tblClassSubjs[ClassID]),tblClasses[ClassID],tblClasses[STermID])</f>
        <v>3</v>
      </c>
      <c r="T794" t="str">
        <f>LOOKUP(S794,tblSchoolTerms[STermID],tblSchoolTerms[SemesterID]&amp;" Semester "&amp;tblSchoolTerms[SchoolYear])</f>
        <v>2 Semester S.Y. 2017-2018</v>
      </c>
      <c r="W7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4" t="e">
        <f t="array" ref="Y794">INDEX(tblEnrolledStuds[EStudID],MATCH(tblEnrolledSubjs[[#This Row],[EStudID]]&amp;S794,tblEnrolledStuds[AdmissionStatusID]&amp;tblEnrolledStuds[StudID],0))</f>
        <v>#N/A</v>
      </c>
    </row>
    <row r="795" spans="2:25" x14ac:dyDescent="0.25">
      <c r="B795">
        <v>793</v>
      </c>
      <c r="C795">
        <v>177</v>
      </c>
      <c r="D795" s="22">
        <v>92</v>
      </c>
      <c r="P795" t="str">
        <f t="shared" si="16"/>
        <v>(NULL,"177","92"),</v>
      </c>
      <c r="Q795" t="str">
        <f>TextJoin(tblEnrolledSubjs[[#This Row],[CSubjID]:[EStudID]],"Value")</f>
        <v>"177","92"</v>
      </c>
      <c r="S795">
        <f>LOOKUP(LOOKUP(tblEnrolledSubjs[[#This Row],[CSubjID]], tblClassSubjs[CSubjID],tblClassSubjs[ClassID]),tblClasses[ClassID],tblClasses[STermID])</f>
        <v>3</v>
      </c>
      <c r="T795" t="str">
        <f>LOOKUP(S795,tblSchoolTerms[STermID],tblSchoolTerms[SemesterID]&amp;" Semester "&amp;tblSchoolTerms[SchoolYear])</f>
        <v>2 Semester S.Y. 2017-2018</v>
      </c>
      <c r="W7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5" t="e">
        <f t="array" ref="Y795">INDEX(tblEnrolledStuds[EStudID],MATCH(tblEnrolledSubjs[[#This Row],[EStudID]]&amp;S795,tblEnrolledStuds[AdmissionStatusID]&amp;tblEnrolledStuds[StudID],0))</f>
        <v>#N/A</v>
      </c>
    </row>
    <row r="796" spans="2:25" x14ac:dyDescent="0.25">
      <c r="B796">
        <v>794</v>
      </c>
      <c r="C796">
        <v>177</v>
      </c>
      <c r="D796" s="22">
        <v>98</v>
      </c>
      <c r="P796" t="str">
        <f t="shared" si="16"/>
        <v>(NULL,"177","98"),</v>
      </c>
      <c r="Q796" t="str">
        <f>TextJoin(tblEnrolledSubjs[[#This Row],[CSubjID]:[EStudID]],"Value")</f>
        <v>"177","98"</v>
      </c>
      <c r="S796">
        <f>LOOKUP(LOOKUP(tblEnrolledSubjs[[#This Row],[CSubjID]], tblClassSubjs[CSubjID],tblClassSubjs[ClassID]),tblClasses[ClassID],tblClasses[STermID])</f>
        <v>3</v>
      </c>
      <c r="T796" t="str">
        <f>LOOKUP(S796,tblSchoolTerms[STermID],tblSchoolTerms[SemesterID]&amp;" Semester "&amp;tblSchoolTerms[SchoolYear])</f>
        <v>2 Semester S.Y. 2017-2018</v>
      </c>
      <c r="W7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6" t="e">
        <f t="array" ref="Y796">INDEX(tblEnrolledStuds[EStudID],MATCH(tblEnrolledSubjs[[#This Row],[EStudID]]&amp;S796,tblEnrolledStuds[AdmissionStatusID]&amp;tblEnrolledStuds[StudID],0))</f>
        <v>#N/A</v>
      </c>
    </row>
    <row r="797" spans="2:25" x14ac:dyDescent="0.25">
      <c r="B797">
        <v>795</v>
      </c>
      <c r="C797">
        <v>177</v>
      </c>
      <c r="D797" s="22">
        <v>100</v>
      </c>
      <c r="P797" t="str">
        <f t="shared" si="16"/>
        <v>(NULL,"177","100"),</v>
      </c>
      <c r="Q797" t="str">
        <f>TextJoin(tblEnrolledSubjs[[#This Row],[CSubjID]:[EStudID]],"Value")</f>
        <v>"177","100"</v>
      </c>
      <c r="S797">
        <f>LOOKUP(LOOKUP(tblEnrolledSubjs[[#This Row],[CSubjID]], tblClassSubjs[CSubjID],tblClassSubjs[ClassID]),tblClasses[ClassID],tblClasses[STermID])</f>
        <v>3</v>
      </c>
      <c r="T797" t="str">
        <f>LOOKUP(S797,tblSchoolTerms[STermID],tblSchoolTerms[SemesterID]&amp;" Semester "&amp;tblSchoolTerms[SchoolYear])</f>
        <v>2 Semester S.Y. 2017-2018</v>
      </c>
      <c r="W7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7" t="e">
        <f t="array" ref="Y797">INDEX(tblEnrolledStuds[EStudID],MATCH(tblEnrolledSubjs[[#This Row],[EStudID]]&amp;S797,tblEnrolledStuds[AdmissionStatusID]&amp;tblEnrolledStuds[StudID],0))</f>
        <v>#N/A</v>
      </c>
    </row>
    <row r="798" spans="2:25" x14ac:dyDescent="0.25">
      <c r="B798">
        <v>796</v>
      </c>
      <c r="C798">
        <v>177</v>
      </c>
      <c r="D798" s="22">
        <v>103</v>
      </c>
      <c r="P798" t="str">
        <f t="shared" si="16"/>
        <v>(NULL,"177","103"),</v>
      </c>
      <c r="Q798" t="str">
        <f>TextJoin(tblEnrolledSubjs[[#This Row],[CSubjID]:[EStudID]],"Value")</f>
        <v>"177","103"</v>
      </c>
      <c r="S798">
        <f>LOOKUP(LOOKUP(tblEnrolledSubjs[[#This Row],[CSubjID]], tblClassSubjs[CSubjID],tblClassSubjs[ClassID]),tblClasses[ClassID],tblClasses[STermID])</f>
        <v>3</v>
      </c>
      <c r="T798" t="str">
        <f>LOOKUP(S798,tblSchoolTerms[STermID],tblSchoolTerms[SemesterID]&amp;" Semester "&amp;tblSchoolTerms[SchoolYear])</f>
        <v>2 Semester S.Y. 2017-2018</v>
      </c>
      <c r="W7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798" t="e">
        <f t="array" ref="Y798">INDEX(tblEnrolledStuds[EStudID],MATCH(tblEnrolledSubjs[[#This Row],[EStudID]]&amp;S798,tblEnrolledStuds[AdmissionStatusID]&amp;tblEnrolledStuds[StudID],0))</f>
        <v>#N/A</v>
      </c>
    </row>
    <row r="799" spans="2:25" x14ac:dyDescent="0.25">
      <c r="B799">
        <v>797</v>
      </c>
      <c r="C799">
        <v>177</v>
      </c>
      <c r="D799" s="22">
        <v>104</v>
      </c>
      <c r="P799" t="str">
        <f t="shared" si="16"/>
        <v>(NULL,"177","104"),</v>
      </c>
      <c r="Q799" t="str">
        <f>TextJoin(tblEnrolledSubjs[[#This Row],[CSubjID]:[EStudID]],"Value")</f>
        <v>"177","104"</v>
      </c>
      <c r="S799">
        <f>LOOKUP(LOOKUP(tblEnrolledSubjs[[#This Row],[CSubjID]], tblClassSubjs[CSubjID],tblClassSubjs[ClassID]),tblClasses[ClassID],tblClasses[STermID])</f>
        <v>3</v>
      </c>
      <c r="T799" t="str">
        <f>LOOKUP(S799,tblSchoolTerms[STermID],tblSchoolTerms[SemesterID]&amp;" Semester "&amp;tblSchoolTerms[SchoolYear])</f>
        <v>2 Semester S.Y. 2017-2018</v>
      </c>
      <c r="W7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799" t="e">
        <f t="array" ref="Y799">INDEX(tblEnrolledStuds[EStudID],MATCH(tblEnrolledSubjs[[#This Row],[EStudID]]&amp;S799,tblEnrolledStuds[AdmissionStatusID]&amp;tblEnrolledStuds[StudID],0))</f>
        <v>#N/A</v>
      </c>
    </row>
    <row r="800" spans="2:25" x14ac:dyDescent="0.25">
      <c r="B800">
        <v>798</v>
      </c>
      <c r="C800">
        <v>177</v>
      </c>
      <c r="D800" s="22">
        <v>105</v>
      </c>
      <c r="P800" t="str">
        <f t="shared" si="16"/>
        <v>(NULL,"177","105"),</v>
      </c>
      <c r="Q800" t="str">
        <f>TextJoin(tblEnrolledSubjs[[#This Row],[CSubjID]:[EStudID]],"Value")</f>
        <v>"177","105"</v>
      </c>
      <c r="S800">
        <f>LOOKUP(LOOKUP(tblEnrolledSubjs[[#This Row],[CSubjID]], tblClassSubjs[CSubjID],tblClassSubjs[ClassID]),tblClasses[ClassID],tblClasses[STermID])</f>
        <v>3</v>
      </c>
      <c r="T800" t="str">
        <f>LOOKUP(S800,tblSchoolTerms[STermID],tblSchoolTerms[SemesterID]&amp;" Semester "&amp;tblSchoolTerms[SchoolYear])</f>
        <v>2 Semester S.Y. 2017-2018</v>
      </c>
      <c r="W8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0" t="e">
        <f t="array" ref="Y800">INDEX(tblEnrolledStuds[EStudID],MATCH(tblEnrolledSubjs[[#This Row],[EStudID]]&amp;S800,tblEnrolledStuds[AdmissionStatusID]&amp;tblEnrolledStuds[StudID],0))</f>
        <v>#N/A</v>
      </c>
    </row>
    <row r="801" spans="2:25" x14ac:dyDescent="0.25">
      <c r="B801">
        <v>799</v>
      </c>
      <c r="C801">
        <v>178</v>
      </c>
      <c r="D801" s="22">
        <v>92</v>
      </c>
      <c r="P801" t="str">
        <f t="shared" si="16"/>
        <v>(NULL,"178","92"),</v>
      </c>
      <c r="Q801" t="str">
        <f>TextJoin(tblEnrolledSubjs[[#This Row],[CSubjID]:[EStudID]],"Value")</f>
        <v>"178","92"</v>
      </c>
      <c r="S801">
        <f>LOOKUP(LOOKUP(tblEnrolledSubjs[[#This Row],[CSubjID]], tblClassSubjs[CSubjID],tblClassSubjs[ClassID]),tblClasses[ClassID],tblClasses[STermID])</f>
        <v>3</v>
      </c>
      <c r="T801" t="str">
        <f>LOOKUP(S801,tblSchoolTerms[STermID],tblSchoolTerms[SemesterID]&amp;" Semester "&amp;tblSchoolTerms[SchoolYear])</f>
        <v>2 Semester S.Y. 2017-2018</v>
      </c>
      <c r="W8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1" t="e">
        <f t="array" ref="Y801">INDEX(tblEnrolledStuds[EStudID],MATCH(tblEnrolledSubjs[[#This Row],[EStudID]]&amp;S801,tblEnrolledStuds[AdmissionStatusID]&amp;tblEnrolledStuds[StudID],0))</f>
        <v>#N/A</v>
      </c>
    </row>
    <row r="802" spans="2:25" x14ac:dyDescent="0.25">
      <c r="B802">
        <v>800</v>
      </c>
      <c r="C802">
        <v>178</v>
      </c>
      <c r="D802" s="22">
        <v>98</v>
      </c>
      <c r="P802" t="str">
        <f t="shared" si="16"/>
        <v>(NULL,"178","98"),</v>
      </c>
      <c r="Q802" t="str">
        <f>TextJoin(tblEnrolledSubjs[[#This Row],[CSubjID]:[EStudID]],"Value")</f>
        <v>"178","98"</v>
      </c>
      <c r="S802">
        <f>LOOKUP(LOOKUP(tblEnrolledSubjs[[#This Row],[CSubjID]], tblClassSubjs[CSubjID],tblClassSubjs[ClassID]),tblClasses[ClassID],tblClasses[STermID])</f>
        <v>3</v>
      </c>
      <c r="T802" t="str">
        <f>LOOKUP(S802,tblSchoolTerms[STermID],tblSchoolTerms[SemesterID]&amp;" Semester "&amp;tblSchoolTerms[SchoolYear])</f>
        <v>2 Semester S.Y. 2017-2018</v>
      </c>
      <c r="W8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2" t="e">
        <f t="array" ref="Y802">INDEX(tblEnrolledStuds[EStudID],MATCH(tblEnrolledSubjs[[#This Row],[EStudID]]&amp;S802,tblEnrolledStuds[AdmissionStatusID]&amp;tblEnrolledStuds[StudID],0))</f>
        <v>#N/A</v>
      </c>
    </row>
    <row r="803" spans="2:25" x14ac:dyDescent="0.25">
      <c r="B803">
        <v>801</v>
      </c>
      <c r="C803">
        <v>178</v>
      </c>
      <c r="D803" s="22">
        <v>100</v>
      </c>
      <c r="P803" t="str">
        <f t="shared" si="16"/>
        <v>(NULL,"178","100"),</v>
      </c>
      <c r="Q803" t="str">
        <f>TextJoin(tblEnrolledSubjs[[#This Row],[CSubjID]:[EStudID]],"Value")</f>
        <v>"178","100"</v>
      </c>
      <c r="S803">
        <f>LOOKUP(LOOKUP(tblEnrolledSubjs[[#This Row],[CSubjID]], tblClassSubjs[CSubjID],tblClassSubjs[ClassID]),tblClasses[ClassID],tblClasses[STermID])</f>
        <v>3</v>
      </c>
      <c r="T803" t="str">
        <f>LOOKUP(S803,tblSchoolTerms[STermID],tblSchoolTerms[SemesterID]&amp;" Semester "&amp;tblSchoolTerms[SchoolYear])</f>
        <v>2 Semester S.Y. 2017-2018</v>
      </c>
      <c r="W8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3" t="e">
        <f t="array" ref="Y803">INDEX(tblEnrolledStuds[EStudID],MATCH(tblEnrolledSubjs[[#This Row],[EStudID]]&amp;S803,tblEnrolledStuds[AdmissionStatusID]&amp;tblEnrolledStuds[StudID],0))</f>
        <v>#N/A</v>
      </c>
    </row>
    <row r="804" spans="2:25" x14ac:dyDescent="0.25">
      <c r="B804">
        <v>802</v>
      </c>
      <c r="C804">
        <v>178</v>
      </c>
      <c r="D804" s="22">
        <v>103</v>
      </c>
      <c r="P804" t="str">
        <f t="shared" si="16"/>
        <v>(NULL,"178","103"),</v>
      </c>
      <c r="Q804" t="str">
        <f>TextJoin(tblEnrolledSubjs[[#This Row],[CSubjID]:[EStudID]],"Value")</f>
        <v>"178","103"</v>
      </c>
      <c r="S804">
        <f>LOOKUP(LOOKUP(tblEnrolledSubjs[[#This Row],[CSubjID]], tblClassSubjs[CSubjID],tblClassSubjs[ClassID]),tblClasses[ClassID],tblClasses[STermID])</f>
        <v>3</v>
      </c>
      <c r="T804" t="str">
        <f>LOOKUP(S804,tblSchoolTerms[STermID],tblSchoolTerms[SemesterID]&amp;" Semester "&amp;tblSchoolTerms[SchoolYear])</f>
        <v>2 Semester S.Y. 2017-2018</v>
      </c>
      <c r="W8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804" t="e">
        <f t="array" ref="Y804">INDEX(tblEnrolledStuds[EStudID],MATCH(tblEnrolledSubjs[[#This Row],[EStudID]]&amp;S804,tblEnrolledStuds[AdmissionStatusID]&amp;tblEnrolledStuds[StudID],0))</f>
        <v>#N/A</v>
      </c>
    </row>
    <row r="805" spans="2:25" x14ac:dyDescent="0.25">
      <c r="B805">
        <v>803</v>
      </c>
      <c r="C805">
        <v>178</v>
      </c>
      <c r="D805" s="22">
        <v>104</v>
      </c>
      <c r="P805" t="str">
        <f t="shared" si="16"/>
        <v>(NULL,"178","104"),</v>
      </c>
      <c r="Q805" t="str">
        <f>TextJoin(tblEnrolledSubjs[[#This Row],[CSubjID]:[EStudID]],"Value")</f>
        <v>"178","104"</v>
      </c>
      <c r="S805">
        <f>LOOKUP(LOOKUP(tblEnrolledSubjs[[#This Row],[CSubjID]], tblClassSubjs[CSubjID],tblClassSubjs[ClassID]),tblClasses[ClassID],tblClasses[STermID])</f>
        <v>3</v>
      </c>
      <c r="T805" t="str">
        <f>LOOKUP(S805,tblSchoolTerms[STermID],tblSchoolTerms[SemesterID]&amp;" Semester "&amp;tblSchoolTerms[SchoolYear])</f>
        <v>2 Semester S.Y. 2017-2018</v>
      </c>
      <c r="W8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5" t="e">
        <f t="array" ref="Y805">INDEX(tblEnrolledStuds[EStudID],MATCH(tblEnrolledSubjs[[#This Row],[EStudID]]&amp;S805,tblEnrolledStuds[AdmissionStatusID]&amp;tblEnrolledStuds[StudID],0))</f>
        <v>#N/A</v>
      </c>
    </row>
    <row r="806" spans="2:25" x14ac:dyDescent="0.25">
      <c r="B806">
        <v>804</v>
      </c>
      <c r="C806">
        <v>178</v>
      </c>
      <c r="D806" s="22">
        <v>105</v>
      </c>
      <c r="I806">
        <v>3</v>
      </c>
      <c r="P806" t="str">
        <f t="shared" si="16"/>
        <v>(NULL,"178","105"),</v>
      </c>
      <c r="Q806" t="str">
        <f>TextJoin(tblEnrolledSubjs[[#This Row],[CSubjID]:[EStudID]],"Value")</f>
        <v>"178","105"</v>
      </c>
      <c r="S806">
        <f>LOOKUP(LOOKUP(tblEnrolledSubjs[[#This Row],[CSubjID]], tblClassSubjs[CSubjID],tblClassSubjs[ClassID]),tblClasses[ClassID],tblClasses[STermID])</f>
        <v>3</v>
      </c>
      <c r="T806" t="str">
        <f>LOOKUP(S806,tblSchoolTerms[STermID],tblSchoolTerms[SemesterID]&amp;" Semester "&amp;tblSchoolTerms[SchoolYear])</f>
        <v>2 Semester S.Y. 2017-2018</v>
      </c>
      <c r="W8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6" t="e">
        <f t="array" ref="Y806">INDEX(tblEnrolledStuds[EStudID],MATCH(tblEnrolledSubjs[[#This Row],[EStudID]]&amp;S806,tblEnrolledStuds[AdmissionStatusID]&amp;tblEnrolledStuds[StudID],0))</f>
        <v>#N/A</v>
      </c>
    </row>
    <row r="807" spans="2:25" x14ac:dyDescent="0.25">
      <c r="B807">
        <v>805</v>
      </c>
      <c r="C807">
        <v>203</v>
      </c>
      <c r="D807">
        <v>106</v>
      </c>
      <c r="F807" s="28"/>
      <c r="G807" s="28"/>
      <c r="H807" s="28"/>
      <c r="I807" s="28">
        <v>4</v>
      </c>
      <c r="P807" t="str">
        <f t="shared" si="16"/>
        <v>(NULL,"203","106"),</v>
      </c>
      <c r="Q807" t="str">
        <f>TextJoin(tblEnrolledSubjs[[#This Row],[CSubjID]:[EStudID]],"Value")</f>
        <v>"203","106"</v>
      </c>
      <c r="S807">
        <f>LOOKUP(LOOKUP(tblEnrolledSubjs[[#This Row],[CSubjID]], tblClassSubjs[CSubjID],tblClassSubjs[ClassID]),tblClasses[ClassID],tblClasses[STermID])</f>
        <v>4</v>
      </c>
      <c r="T807" t="str">
        <f>LOOKUP(S807,tblSchoolTerms[STermID],tblSchoolTerms[SemesterID]&amp;" Semester "&amp;tblSchoolTerms[SchoolYear])</f>
        <v>1 Semester S.Y. 2017-2018</v>
      </c>
      <c r="W8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7" t="e">
        <f t="array" ref="Y807">INDEX(tblEnrolledStuds[EStudID],MATCH(tblEnrolledSubjs[[#This Row],[EStudID]]&amp;S807,tblEnrolledStuds[AdmissionStatusID]&amp;tblEnrolledStuds[StudID],0))</f>
        <v>#N/A</v>
      </c>
    </row>
    <row r="808" spans="2:25" x14ac:dyDescent="0.25">
      <c r="B808">
        <v>806</v>
      </c>
      <c r="C808">
        <v>203</v>
      </c>
      <c r="D808">
        <v>107</v>
      </c>
      <c r="P808" t="str">
        <f t="shared" si="16"/>
        <v>(NULL,"203","107"),</v>
      </c>
      <c r="Q808" t="str">
        <f>TextJoin(tblEnrolledSubjs[[#This Row],[CSubjID]:[EStudID]],"Value")</f>
        <v>"203","107"</v>
      </c>
      <c r="S808">
        <f>LOOKUP(LOOKUP(tblEnrolledSubjs[[#This Row],[CSubjID]], tblClassSubjs[CSubjID],tblClassSubjs[ClassID]),tblClasses[ClassID],tblClasses[STermID])</f>
        <v>4</v>
      </c>
      <c r="T808" t="str">
        <f>LOOKUP(S808,tblSchoolTerms[STermID],tblSchoolTerms[SemesterID]&amp;" Semester "&amp;tblSchoolTerms[SchoolYear])</f>
        <v>1 Semester S.Y. 2017-2018</v>
      </c>
      <c r="W8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8" t="e">
        <f t="array" ref="Y808">INDEX(tblEnrolledStuds[EStudID],MATCH(tblEnrolledSubjs[[#This Row],[EStudID]]&amp;S808,tblEnrolledStuds[AdmissionStatusID]&amp;tblEnrolledStuds[StudID],0))</f>
        <v>#N/A</v>
      </c>
    </row>
    <row r="809" spans="2:25" x14ac:dyDescent="0.25">
      <c r="B809">
        <v>807</v>
      </c>
      <c r="C809">
        <v>203</v>
      </c>
      <c r="D809">
        <v>108</v>
      </c>
      <c r="P809" t="str">
        <f t="shared" si="16"/>
        <v>(NULL,"203","108"),</v>
      </c>
      <c r="Q809" t="str">
        <f>TextJoin(tblEnrolledSubjs[[#This Row],[CSubjID]:[EStudID]],"Value")</f>
        <v>"203","108"</v>
      </c>
      <c r="S809">
        <f>LOOKUP(LOOKUP(tblEnrolledSubjs[[#This Row],[CSubjID]], tblClassSubjs[CSubjID],tblClassSubjs[ClassID]),tblClasses[ClassID],tblClasses[STermID])</f>
        <v>4</v>
      </c>
      <c r="T809" t="str">
        <f>LOOKUP(S809,tblSchoolTerms[STermID],tblSchoolTerms[SemesterID]&amp;" Semester "&amp;tblSchoolTerms[SchoolYear])</f>
        <v>1 Semester S.Y. 2017-2018</v>
      </c>
      <c r="W8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09" t="e">
        <f t="array" ref="Y809">INDEX(tblEnrolledStuds[EStudID],MATCH(tblEnrolledSubjs[[#This Row],[EStudID]]&amp;S809,tblEnrolledStuds[AdmissionStatusID]&amp;tblEnrolledStuds[StudID],0))</f>
        <v>#N/A</v>
      </c>
    </row>
    <row r="810" spans="2:25" x14ac:dyDescent="0.25">
      <c r="B810">
        <v>808</v>
      </c>
      <c r="C810">
        <v>203</v>
      </c>
      <c r="D810">
        <v>110</v>
      </c>
      <c r="P810" t="str">
        <f t="shared" si="16"/>
        <v>(NULL,"203","110"),</v>
      </c>
      <c r="Q810" t="str">
        <f>TextJoin(tblEnrolledSubjs[[#This Row],[CSubjID]:[EStudID]],"Value")</f>
        <v>"203","110"</v>
      </c>
      <c r="S810">
        <f>LOOKUP(LOOKUP(tblEnrolledSubjs[[#This Row],[CSubjID]], tblClassSubjs[CSubjID],tblClassSubjs[ClassID]),tblClasses[ClassID],tblClasses[STermID])</f>
        <v>4</v>
      </c>
      <c r="T810" t="str">
        <f>LOOKUP(S810,tblSchoolTerms[STermID],tblSchoolTerms[SemesterID]&amp;" Semester "&amp;tblSchoolTerms[SchoolYear])</f>
        <v>1 Semester S.Y. 2017-2018</v>
      </c>
      <c r="W8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0" t="e">
        <f t="array" ref="Y810">INDEX(tblEnrolledStuds[EStudID],MATCH(tblEnrolledSubjs[[#This Row],[EStudID]]&amp;S810,tblEnrolledStuds[AdmissionStatusID]&amp;tblEnrolledStuds[StudID],0))</f>
        <v>#N/A</v>
      </c>
    </row>
    <row r="811" spans="2:25" x14ac:dyDescent="0.25">
      <c r="B811">
        <v>809</v>
      </c>
      <c r="C811">
        <v>203</v>
      </c>
      <c r="D811">
        <v>111</v>
      </c>
      <c r="P811" t="str">
        <f t="shared" si="16"/>
        <v>(NULL,"203","111"),</v>
      </c>
      <c r="Q811" t="str">
        <f>TextJoin(tblEnrolledSubjs[[#This Row],[CSubjID]:[EStudID]],"Value")</f>
        <v>"203","111"</v>
      </c>
      <c r="S811">
        <f>LOOKUP(LOOKUP(tblEnrolledSubjs[[#This Row],[CSubjID]], tblClassSubjs[CSubjID],tblClassSubjs[ClassID]),tblClasses[ClassID],tblClasses[STermID])</f>
        <v>4</v>
      </c>
      <c r="T811" t="str">
        <f>LOOKUP(S811,tblSchoolTerms[STermID],tblSchoolTerms[SemesterID]&amp;" Semester "&amp;tblSchoolTerms[SchoolYear])</f>
        <v>1 Semester S.Y. 2017-2018</v>
      </c>
      <c r="W8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1" t="e">
        <f t="array" ref="Y811">INDEX(tblEnrolledStuds[EStudID],MATCH(tblEnrolledSubjs[[#This Row],[EStudID]]&amp;S811,tblEnrolledStuds[AdmissionStatusID]&amp;tblEnrolledStuds[StudID],0))</f>
        <v>#N/A</v>
      </c>
    </row>
    <row r="812" spans="2:25" x14ac:dyDescent="0.25">
      <c r="B812">
        <v>810</v>
      </c>
      <c r="C812">
        <v>203</v>
      </c>
      <c r="D812">
        <v>113</v>
      </c>
      <c r="P812" t="str">
        <f t="shared" si="16"/>
        <v>(NULL,"203","113"),</v>
      </c>
      <c r="Q812" t="str">
        <f>TextJoin(tblEnrolledSubjs[[#This Row],[CSubjID]:[EStudID]],"Value")</f>
        <v>"203","113"</v>
      </c>
      <c r="S812">
        <f>LOOKUP(LOOKUP(tblEnrolledSubjs[[#This Row],[CSubjID]], tblClassSubjs[CSubjID],tblClassSubjs[ClassID]),tblClasses[ClassID],tblClasses[STermID])</f>
        <v>4</v>
      </c>
      <c r="T812" t="str">
        <f>LOOKUP(S812,tblSchoolTerms[STermID],tblSchoolTerms[SemesterID]&amp;" Semester "&amp;tblSchoolTerms[SchoolYear])</f>
        <v>1 Semester S.Y. 2017-2018</v>
      </c>
      <c r="W8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2" t="e">
        <f t="array" ref="Y812">INDEX(tblEnrolledStuds[EStudID],MATCH(tblEnrolledSubjs[[#This Row],[EStudID]]&amp;S812,tblEnrolledStuds[AdmissionStatusID]&amp;tblEnrolledStuds[StudID],0))</f>
        <v>#N/A</v>
      </c>
    </row>
    <row r="813" spans="2:25" x14ac:dyDescent="0.25">
      <c r="B813">
        <v>811</v>
      </c>
      <c r="C813">
        <v>203</v>
      </c>
      <c r="D813">
        <v>114</v>
      </c>
      <c r="P813" t="str">
        <f t="shared" si="16"/>
        <v>(NULL,"203","114"),</v>
      </c>
      <c r="Q813" t="str">
        <f>TextJoin(tblEnrolledSubjs[[#This Row],[CSubjID]:[EStudID]],"Value")</f>
        <v>"203","114"</v>
      </c>
      <c r="S813">
        <f>LOOKUP(LOOKUP(tblEnrolledSubjs[[#This Row],[CSubjID]], tblClassSubjs[CSubjID],tblClassSubjs[ClassID]),tblClasses[ClassID],tblClasses[STermID])</f>
        <v>4</v>
      </c>
      <c r="T813" t="str">
        <f>LOOKUP(S813,tblSchoolTerms[STermID],tblSchoolTerms[SemesterID]&amp;" Semester "&amp;tblSchoolTerms[SchoolYear])</f>
        <v>1 Semester S.Y. 2017-2018</v>
      </c>
      <c r="W8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3" t="e">
        <f t="array" ref="Y813">INDEX(tblEnrolledStuds[EStudID],MATCH(tblEnrolledSubjs[[#This Row],[EStudID]]&amp;S813,tblEnrolledStuds[AdmissionStatusID]&amp;tblEnrolledStuds[StudID],0))</f>
        <v>#N/A</v>
      </c>
    </row>
    <row r="814" spans="2:25" x14ac:dyDescent="0.25">
      <c r="B814">
        <v>812</v>
      </c>
      <c r="C814">
        <v>203</v>
      </c>
      <c r="D814">
        <v>116</v>
      </c>
      <c r="P814" t="str">
        <f t="shared" si="16"/>
        <v>(NULL,"203","116"),</v>
      </c>
      <c r="Q814" t="str">
        <f>TextJoin(tblEnrolledSubjs[[#This Row],[CSubjID]:[EStudID]],"Value")</f>
        <v>"203","116"</v>
      </c>
      <c r="S814">
        <f>LOOKUP(LOOKUP(tblEnrolledSubjs[[#This Row],[CSubjID]], tblClassSubjs[CSubjID],tblClassSubjs[ClassID]),tblClasses[ClassID],tblClasses[STermID])</f>
        <v>4</v>
      </c>
      <c r="T814" t="str">
        <f>LOOKUP(S814,tblSchoolTerms[STermID],tblSchoolTerms[SemesterID]&amp;" Semester "&amp;tblSchoolTerms[SchoolYear])</f>
        <v>1 Semester S.Y. 2017-2018</v>
      </c>
      <c r="W8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4" t="e">
        <f t="array" ref="Y814">INDEX(tblEnrolledStuds[EStudID],MATCH(tblEnrolledSubjs[[#This Row],[EStudID]]&amp;S814,tblEnrolledStuds[AdmissionStatusID]&amp;tblEnrolledStuds[StudID],0))</f>
        <v>#N/A</v>
      </c>
    </row>
    <row r="815" spans="2:25" x14ac:dyDescent="0.25">
      <c r="B815">
        <v>813</v>
      </c>
      <c r="C815">
        <v>203</v>
      </c>
      <c r="D815">
        <v>118</v>
      </c>
      <c r="P815" t="str">
        <f t="shared" si="16"/>
        <v>(NULL,"203","118"),</v>
      </c>
      <c r="Q815" t="str">
        <f>TextJoin(tblEnrolledSubjs[[#This Row],[CSubjID]:[EStudID]],"Value")</f>
        <v>"203","118"</v>
      </c>
      <c r="S815">
        <f>LOOKUP(LOOKUP(tblEnrolledSubjs[[#This Row],[CSubjID]], tblClassSubjs[CSubjID],tblClassSubjs[ClassID]),tblClasses[ClassID],tblClasses[STermID])</f>
        <v>4</v>
      </c>
      <c r="T815" t="str">
        <f>LOOKUP(S815,tblSchoolTerms[STermID],tblSchoolTerms[SemesterID]&amp;" Semester "&amp;tblSchoolTerms[SchoolYear])</f>
        <v>1 Semester S.Y. 2017-2018</v>
      </c>
      <c r="W8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5" t="e">
        <f t="array" ref="Y815">INDEX(tblEnrolledStuds[EStudID],MATCH(tblEnrolledSubjs[[#This Row],[EStudID]]&amp;S815,tblEnrolledStuds[AdmissionStatusID]&amp;tblEnrolledStuds[StudID],0))</f>
        <v>#N/A</v>
      </c>
    </row>
    <row r="816" spans="2:25" x14ac:dyDescent="0.25">
      <c r="B816">
        <v>814</v>
      </c>
      <c r="C816">
        <v>203</v>
      </c>
      <c r="D816">
        <v>119</v>
      </c>
      <c r="P816" t="str">
        <f t="shared" si="16"/>
        <v>(NULL,"203","119"),</v>
      </c>
      <c r="Q816" t="str">
        <f>TextJoin(tblEnrolledSubjs[[#This Row],[CSubjID]:[EStudID]],"Value")</f>
        <v>"203","119"</v>
      </c>
      <c r="S816">
        <f>LOOKUP(LOOKUP(tblEnrolledSubjs[[#This Row],[CSubjID]], tblClassSubjs[CSubjID],tblClassSubjs[ClassID]),tblClasses[ClassID],tblClasses[STermID])</f>
        <v>4</v>
      </c>
      <c r="T816" t="str">
        <f>LOOKUP(S816,tblSchoolTerms[STermID],tblSchoolTerms[SemesterID]&amp;" Semester "&amp;tblSchoolTerms[SchoolYear])</f>
        <v>1 Semester S.Y. 2017-2018</v>
      </c>
      <c r="W8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6" t="e">
        <f t="array" ref="Y816">INDEX(tblEnrolledStuds[EStudID],MATCH(tblEnrolledSubjs[[#This Row],[EStudID]]&amp;S816,tblEnrolledStuds[AdmissionStatusID]&amp;tblEnrolledStuds[StudID],0))</f>
        <v>#N/A</v>
      </c>
    </row>
    <row r="817" spans="2:25" x14ac:dyDescent="0.25">
      <c r="B817">
        <v>815</v>
      </c>
      <c r="C817">
        <v>203</v>
      </c>
      <c r="D817">
        <v>112</v>
      </c>
      <c r="P817" t="str">
        <f t="shared" si="16"/>
        <v>(NULL,"203","112"),</v>
      </c>
      <c r="Q817" t="str">
        <f>TextJoin(tblEnrolledSubjs[[#This Row],[CSubjID]:[EStudID]],"Value")</f>
        <v>"203","112"</v>
      </c>
      <c r="S817">
        <f>LOOKUP(LOOKUP(tblEnrolledSubjs[[#This Row],[CSubjID]], tblClassSubjs[CSubjID],tblClassSubjs[ClassID]),tblClasses[ClassID],tblClasses[STermID])</f>
        <v>4</v>
      </c>
      <c r="T817" t="str">
        <f>LOOKUP(S817,tblSchoolTerms[STermID],tblSchoolTerms[SemesterID]&amp;" Semester "&amp;tblSchoolTerms[SchoolYear])</f>
        <v>1 Semester S.Y. 2017-2018</v>
      </c>
      <c r="W8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7" t="e">
        <f t="array" ref="Y817">INDEX(tblEnrolledStuds[EStudID],MATCH(tblEnrolledSubjs[[#This Row],[EStudID]]&amp;S817,tblEnrolledStuds[AdmissionStatusID]&amp;tblEnrolledStuds[StudID],0))</f>
        <v>#N/A</v>
      </c>
    </row>
    <row r="818" spans="2:25" x14ac:dyDescent="0.25">
      <c r="B818">
        <v>816</v>
      </c>
      <c r="C818">
        <v>206</v>
      </c>
      <c r="D818">
        <v>106</v>
      </c>
      <c r="P818" t="str">
        <f t="shared" si="16"/>
        <v>(NULL,"206","106"),</v>
      </c>
      <c r="Q818" t="str">
        <f>TextJoin(tblEnrolledSubjs[[#This Row],[CSubjID]:[EStudID]],"Value")</f>
        <v>"206","106"</v>
      </c>
      <c r="S818">
        <f>LOOKUP(LOOKUP(tblEnrolledSubjs[[#This Row],[CSubjID]], tblClassSubjs[CSubjID],tblClassSubjs[ClassID]),tblClasses[ClassID],tblClasses[STermID])</f>
        <v>4</v>
      </c>
      <c r="T818" t="str">
        <f>LOOKUP(S818,tblSchoolTerms[STermID],tblSchoolTerms[SemesterID]&amp;" Semester "&amp;tblSchoolTerms[SchoolYear])</f>
        <v>1 Semester S.Y. 2017-2018</v>
      </c>
      <c r="W8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8" t="e">
        <f t="array" ref="Y818">INDEX(tblEnrolledStuds[EStudID],MATCH(tblEnrolledSubjs[[#This Row],[EStudID]]&amp;S818,tblEnrolledStuds[AdmissionStatusID]&amp;tblEnrolledStuds[StudID],0))</f>
        <v>#N/A</v>
      </c>
    </row>
    <row r="819" spans="2:25" x14ac:dyDescent="0.25">
      <c r="B819">
        <v>817</v>
      </c>
      <c r="C819">
        <v>206</v>
      </c>
      <c r="D819">
        <v>107</v>
      </c>
      <c r="P819" t="str">
        <f t="shared" si="16"/>
        <v>(NULL,"206","107"),</v>
      </c>
      <c r="Q819" t="str">
        <f>TextJoin(tblEnrolledSubjs[[#This Row],[CSubjID]:[EStudID]],"Value")</f>
        <v>"206","107"</v>
      </c>
      <c r="S819">
        <f>LOOKUP(LOOKUP(tblEnrolledSubjs[[#This Row],[CSubjID]], tblClassSubjs[CSubjID],tblClassSubjs[ClassID]),tblClasses[ClassID],tblClasses[STermID])</f>
        <v>4</v>
      </c>
      <c r="T819" t="str">
        <f>LOOKUP(S819,tblSchoolTerms[STermID],tblSchoolTerms[SemesterID]&amp;" Semester "&amp;tblSchoolTerms[SchoolYear])</f>
        <v>1 Semester S.Y. 2017-2018</v>
      </c>
      <c r="W8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19" t="e">
        <f t="array" ref="Y819">INDEX(tblEnrolledStuds[EStudID],MATCH(tblEnrolledSubjs[[#This Row],[EStudID]]&amp;S819,tblEnrolledStuds[AdmissionStatusID]&amp;tblEnrolledStuds[StudID],0))</f>
        <v>#N/A</v>
      </c>
    </row>
    <row r="820" spans="2:25" x14ac:dyDescent="0.25">
      <c r="B820">
        <v>818</v>
      </c>
      <c r="C820">
        <v>206</v>
      </c>
      <c r="D820">
        <v>108</v>
      </c>
      <c r="P820" t="str">
        <f t="shared" si="16"/>
        <v>(NULL,"206","108"),</v>
      </c>
      <c r="Q820" t="str">
        <f>TextJoin(tblEnrolledSubjs[[#This Row],[CSubjID]:[EStudID]],"Value")</f>
        <v>"206","108"</v>
      </c>
      <c r="S820">
        <f>LOOKUP(LOOKUP(tblEnrolledSubjs[[#This Row],[CSubjID]], tblClassSubjs[CSubjID],tblClassSubjs[ClassID]),tblClasses[ClassID],tblClasses[STermID])</f>
        <v>4</v>
      </c>
      <c r="T820" t="str">
        <f>LOOKUP(S820,tblSchoolTerms[STermID],tblSchoolTerms[SemesterID]&amp;" Semester "&amp;tblSchoolTerms[SchoolYear])</f>
        <v>1 Semester S.Y. 2017-2018</v>
      </c>
      <c r="W8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0" t="e">
        <f t="array" ref="Y820">INDEX(tblEnrolledStuds[EStudID],MATCH(tblEnrolledSubjs[[#This Row],[EStudID]]&amp;S820,tblEnrolledStuds[AdmissionStatusID]&amp;tblEnrolledStuds[StudID],0))</f>
        <v>#N/A</v>
      </c>
    </row>
    <row r="821" spans="2:25" x14ac:dyDescent="0.25">
      <c r="B821">
        <v>819</v>
      </c>
      <c r="C821">
        <v>206</v>
      </c>
      <c r="D821">
        <v>110</v>
      </c>
      <c r="P821" t="str">
        <f t="shared" si="16"/>
        <v>(NULL,"206","110"),</v>
      </c>
      <c r="Q821" t="str">
        <f>TextJoin(tblEnrolledSubjs[[#This Row],[CSubjID]:[EStudID]],"Value")</f>
        <v>"206","110"</v>
      </c>
      <c r="S821">
        <f>LOOKUP(LOOKUP(tblEnrolledSubjs[[#This Row],[CSubjID]], tblClassSubjs[CSubjID],tblClassSubjs[ClassID]),tblClasses[ClassID],tblClasses[STermID])</f>
        <v>4</v>
      </c>
      <c r="T821" t="str">
        <f>LOOKUP(S821,tblSchoolTerms[STermID],tblSchoolTerms[SemesterID]&amp;" Semester "&amp;tblSchoolTerms[SchoolYear])</f>
        <v>1 Semester S.Y. 2017-2018</v>
      </c>
      <c r="W8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1" t="e">
        <f t="array" ref="Y821">INDEX(tblEnrolledStuds[EStudID],MATCH(tblEnrolledSubjs[[#This Row],[EStudID]]&amp;S821,tblEnrolledStuds[AdmissionStatusID]&amp;tblEnrolledStuds[StudID],0))</f>
        <v>#N/A</v>
      </c>
    </row>
    <row r="822" spans="2:25" x14ac:dyDescent="0.25">
      <c r="B822">
        <v>820</v>
      </c>
      <c r="C822">
        <v>206</v>
      </c>
      <c r="D822">
        <v>111</v>
      </c>
      <c r="P822" t="str">
        <f t="shared" si="16"/>
        <v>(NULL,"206","111"),</v>
      </c>
      <c r="Q822" t="str">
        <f>TextJoin(tblEnrolledSubjs[[#This Row],[CSubjID]:[EStudID]],"Value")</f>
        <v>"206","111"</v>
      </c>
      <c r="S822">
        <f>LOOKUP(LOOKUP(tblEnrolledSubjs[[#This Row],[CSubjID]], tblClassSubjs[CSubjID],tblClassSubjs[ClassID]),tblClasses[ClassID],tblClasses[STermID])</f>
        <v>4</v>
      </c>
      <c r="T822" t="str">
        <f>LOOKUP(S822,tblSchoolTerms[STermID],tblSchoolTerms[SemesterID]&amp;" Semester "&amp;tblSchoolTerms[SchoolYear])</f>
        <v>1 Semester S.Y. 2017-2018</v>
      </c>
      <c r="W8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2" t="e">
        <f t="array" ref="Y822">INDEX(tblEnrolledStuds[EStudID],MATCH(tblEnrolledSubjs[[#This Row],[EStudID]]&amp;S822,tblEnrolledStuds[AdmissionStatusID]&amp;tblEnrolledStuds[StudID],0))</f>
        <v>#N/A</v>
      </c>
    </row>
    <row r="823" spans="2:25" x14ac:dyDescent="0.25">
      <c r="B823">
        <v>821</v>
      </c>
      <c r="C823">
        <v>206</v>
      </c>
      <c r="D823">
        <v>113</v>
      </c>
      <c r="P823" t="str">
        <f t="shared" si="16"/>
        <v>(NULL,"206","113"),</v>
      </c>
      <c r="Q823" t="str">
        <f>TextJoin(tblEnrolledSubjs[[#This Row],[CSubjID]:[EStudID]],"Value")</f>
        <v>"206","113"</v>
      </c>
      <c r="S823">
        <f>LOOKUP(LOOKUP(tblEnrolledSubjs[[#This Row],[CSubjID]], tblClassSubjs[CSubjID],tblClassSubjs[ClassID]),tblClasses[ClassID],tblClasses[STermID])</f>
        <v>4</v>
      </c>
      <c r="T823" t="str">
        <f>LOOKUP(S823,tblSchoolTerms[STermID],tblSchoolTerms[SemesterID]&amp;" Semester "&amp;tblSchoolTerms[SchoolYear])</f>
        <v>1 Semester S.Y. 2017-2018</v>
      </c>
      <c r="W8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3" t="e">
        <f t="array" ref="Y823">INDEX(tblEnrolledStuds[EStudID],MATCH(tblEnrolledSubjs[[#This Row],[EStudID]]&amp;S823,tblEnrolledStuds[AdmissionStatusID]&amp;tblEnrolledStuds[StudID],0))</f>
        <v>#N/A</v>
      </c>
    </row>
    <row r="824" spans="2:25" x14ac:dyDescent="0.25">
      <c r="B824">
        <v>822</v>
      </c>
      <c r="C824">
        <v>206</v>
      </c>
      <c r="D824">
        <v>114</v>
      </c>
      <c r="P824" t="str">
        <f t="shared" si="16"/>
        <v>(NULL,"206","114"),</v>
      </c>
      <c r="Q824" t="str">
        <f>TextJoin(tblEnrolledSubjs[[#This Row],[CSubjID]:[EStudID]],"Value")</f>
        <v>"206","114"</v>
      </c>
      <c r="S824">
        <f>LOOKUP(LOOKUP(tblEnrolledSubjs[[#This Row],[CSubjID]], tblClassSubjs[CSubjID],tblClassSubjs[ClassID]),tblClasses[ClassID],tblClasses[STermID])</f>
        <v>4</v>
      </c>
      <c r="T824" t="str">
        <f>LOOKUP(S824,tblSchoolTerms[STermID],tblSchoolTerms[SemesterID]&amp;" Semester "&amp;tblSchoolTerms[SchoolYear])</f>
        <v>1 Semester S.Y. 2017-2018</v>
      </c>
      <c r="W8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4" t="e">
        <f t="array" ref="Y824">INDEX(tblEnrolledStuds[EStudID],MATCH(tblEnrolledSubjs[[#This Row],[EStudID]]&amp;S824,tblEnrolledStuds[AdmissionStatusID]&amp;tblEnrolledStuds[StudID],0))</f>
        <v>#N/A</v>
      </c>
    </row>
    <row r="825" spans="2:25" x14ac:dyDescent="0.25">
      <c r="B825">
        <v>823</v>
      </c>
      <c r="C825">
        <v>206</v>
      </c>
      <c r="D825">
        <v>116</v>
      </c>
      <c r="P825" t="str">
        <f t="shared" si="16"/>
        <v>(NULL,"206","116"),</v>
      </c>
      <c r="Q825" t="str">
        <f>TextJoin(tblEnrolledSubjs[[#This Row],[CSubjID]:[EStudID]],"Value")</f>
        <v>"206","116"</v>
      </c>
      <c r="S825">
        <f>LOOKUP(LOOKUP(tblEnrolledSubjs[[#This Row],[CSubjID]], tblClassSubjs[CSubjID],tblClassSubjs[ClassID]),tblClasses[ClassID],tblClasses[STermID])</f>
        <v>4</v>
      </c>
      <c r="T825" t="str">
        <f>LOOKUP(S825,tblSchoolTerms[STermID],tblSchoolTerms[SemesterID]&amp;" Semester "&amp;tblSchoolTerms[SchoolYear])</f>
        <v>1 Semester S.Y. 2017-2018</v>
      </c>
      <c r="W8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5" t="e">
        <f t="array" ref="Y825">INDEX(tblEnrolledStuds[EStudID],MATCH(tblEnrolledSubjs[[#This Row],[EStudID]]&amp;S825,tblEnrolledStuds[AdmissionStatusID]&amp;tblEnrolledStuds[StudID],0))</f>
        <v>#N/A</v>
      </c>
    </row>
    <row r="826" spans="2:25" x14ac:dyDescent="0.25">
      <c r="B826">
        <v>824</v>
      </c>
      <c r="C826">
        <v>206</v>
      </c>
      <c r="D826">
        <v>118</v>
      </c>
      <c r="P826" t="str">
        <f t="shared" si="16"/>
        <v>(NULL,"206","118"),</v>
      </c>
      <c r="Q826" t="str">
        <f>TextJoin(tblEnrolledSubjs[[#This Row],[CSubjID]:[EStudID]],"Value")</f>
        <v>"206","118"</v>
      </c>
      <c r="S826">
        <f>LOOKUP(LOOKUP(tblEnrolledSubjs[[#This Row],[CSubjID]], tblClassSubjs[CSubjID],tblClassSubjs[ClassID]),tblClasses[ClassID],tblClasses[STermID])</f>
        <v>4</v>
      </c>
      <c r="T826" t="str">
        <f>LOOKUP(S826,tblSchoolTerms[STermID],tblSchoolTerms[SemesterID]&amp;" Semester "&amp;tblSchoolTerms[SchoolYear])</f>
        <v>1 Semester S.Y. 2017-2018</v>
      </c>
      <c r="W8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6" t="e">
        <f t="array" ref="Y826">INDEX(tblEnrolledStuds[EStudID],MATCH(tblEnrolledSubjs[[#This Row],[EStudID]]&amp;S826,tblEnrolledStuds[AdmissionStatusID]&amp;tblEnrolledStuds[StudID],0))</f>
        <v>#N/A</v>
      </c>
    </row>
    <row r="827" spans="2:25" x14ac:dyDescent="0.25">
      <c r="B827">
        <v>825</v>
      </c>
      <c r="C827">
        <v>206</v>
      </c>
      <c r="D827">
        <v>119</v>
      </c>
      <c r="P827" t="str">
        <f t="shared" si="16"/>
        <v>(NULL,"206","119"),</v>
      </c>
      <c r="Q827" t="str">
        <f>TextJoin(tblEnrolledSubjs[[#This Row],[CSubjID]:[EStudID]],"Value")</f>
        <v>"206","119"</v>
      </c>
      <c r="S827">
        <f>LOOKUP(LOOKUP(tblEnrolledSubjs[[#This Row],[CSubjID]], tblClassSubjs[CSubjID],tblClassSubjs[ClassID]),tblClasses[ClassID],tblClasses[STermID])</f>
        <v>4</v>
      </c>
      <c r="T827" t="str">
        <f>LOOKUP(S827,tblSchoolTerms[STermID],tblSchoolTerms[SemesterID]&amp;" Semester "&amp;tblSchoolTerms[SchoolYear])</f>
        <v>1 Semester S.Y. 2017-2018</v>
      </c>
      <c r="W8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7" t="e">
        <f t="array" ref="Y827">INDEX(tblEnrolledStuds[EStudID],MATCH(tblEnrolledSubjs[[#This Row],[EStudID]]&amp;S827,tblEnrolledStuds[AdmissionStatusID]&amp;tblEnrolledStuds[StudID],0))</f>
        <v>#N/A</v>
      </c>
    </row>
    <row r="828" spans="2:25" x14ac:dyDescent="0.25">
      <c r="B828">
        <v>826</v>
      </c>
      <c r="C828">
        <v>206</v>
      </c>
      <c r="D828">
        <v>112</v>
      </c>
      <c r="P828" t="str">
        <f t="shared" si="16"/>
        <v>(NULL,"206","112"),</v>
      </c>
      <c r="Q828" t="str">
        <f>TextJoin(tblEnrolledSubjs[[#This Row],[CSubjID]:[EStudID]],"Value")</f>
        <v>"206","112"</v>
      </c>
      <c r="S828">
        <f>LOOKUP(LOOKUP(tblEnrolledSubjs[[#This Row],[CSubjID]], tblClassSubjs[CSubjID],tblClassSubjs[ClassID]),tblClasses[ClassID],tblClasses[STermID])</f>
        <v>4</v>
      </c>
      <c r="T828" t="str">
        <f>LOOKUP(S828,tblSchoolTerms[STermID],tblSchoolTerms[SemesterID]&amp;" Semester "&amp;tblSchoolTerms[SchoolYear])</f>
        <v>1 Semester S.Y. 2017-2018</v>
      </c>
      <c r="W8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8" t="e">
        <f t="array" ref="Y828">INDEX(tblEnrolledStuds[EStudID],MATCH(tblEnrolledSubjs[[#This Row],[EStudID]]&amp;S828,tblEnrolledStuds[AdmissionStatusID]&amp;tblEnrolledStuds[StudID],0))</f>
        <v>#N/A</v>
      </c>
    </row>
    <row r="829" spans="2:25" x14ac:dyDescent="0.25">
      <c r="B829">
        <v>827</v>
      </c>
      <c r="C829">
        <v>209</v>
      </c>
      <c r="D829">
        <v>106</v>
      </c>
      <c r="P829" t="str">
        <f t="shared" si="16"/>
        <v>(NULL,"209","106"),</v>
      </c>
      <c r="Q829" t="str">
        <f>TextJoin(tblEnrolledSubjs[[#This Row],[CSubjID]:[EStudID]],"Value")</f>
        <v>"209","106"</v>
      </c>
      <c r="S829">
        <f>LOOKUP(LOOKUP(tblEnrolledSubjs[[#This Row],[CSubjID]], tblClassSubjs[CSubjID],tblClassSubjs[ClassID]),tblClasses[ClassID],tblClasses[STermID])</f>
        <v>4</v>
      </c>
      <c r="T829" t="str">
        <f>LOOKUP(S829,tblSchoolTerms[STermID],tblSchoolTerms[SemesterID]&amp;" Semester "&amp;tblSchoolTerms[SchoolYear])</f>
        <v>1 Semester S.Y. 2017-2018</v>
      </c>
      <c r="W8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29" t="e">
        <f t="array" ref="Y829">INDEX(tblEnrolledStuds[EStudID],MATCH(tblEnrolledSubjs[[#This Row],[EStudID]]&amp;S829,tblEnrolledStuds[AdmissionStatusID]&amp;tblEnrolledStuds[StudID],0))</f>
        <v>#N/A</v>
      </c>
    </row>
    <row r="830" spans="2:25" x14ac:dyDescent="0.25">
      <c r="B830">
        <v>828</v>
      </c>
      <c r="C830">
        <v>209</v>
      </c>
      <c r="D830">
        <v>107</v>
      </c>
      <c r="P830" t="str">
        <f t="shared" si="16"/>
        <v>(NULL,"209","107"),</v>
      </c>
      <c r="Q830" t="str">
        <f>TextJoin(tblEnrolledSubjs[[#This Row],[CSubjID]:[EStudID]],"Value")</f>
        <v>"209","107"</v>
      </c>
      <c r="S830">
        <f>LOOKUP(LOOKUP(tblEnrolledSubjs[[#This Row],[CSubjID]], tblClassSubjs[CSubjID],tblClassSubjs[ClassID]),tblClasses[ClassID],tblClasses[STermID])</f>
        <v>4</v>
      </c>
      <c r="T830" t="str">
        <f>LOOKUP(S830,tblSchoolTerms[STermID],tblSchoolTerms[SemesterID]&amp;" Semester "&amp;tblSchoolTerms[SchoolYear])</f>
        <v>1 Semester S.Y. 2017-2018</v>
      </c>
      <c r="W8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0" t="e">
        <f t="array" ref="Y830">INDEX(tblEnrolledStuds[EStudID],MATCH(tblEnrolledSubjs[[#This Row],[EStudID]]&amp;S830,tblEnrolledStuds[AdmissionStatusID]&amp;tblEnrolledStuds[StudID],0))</f>
        <v>#N/A</v>
      </c>
    </row>
    <row r="831" spans="2:25" x14ac:dyDescent="0.25">
      <c r="B831">
        <v>829</v>
      </c>
      <c r="C831">
        <v>209</v>
      </c>
      <c r="D831">
        <v>108</v>
      </c>
      <c r="P831" t="str">
        <f t="shared" si="16"/>
        <v>(NULL,"209","108"),</v>
      </c>
      <c r="Q831" t="str">
        <f>TextJoin(tblEnrolledSubjs[[#This Row],[CSubjID]:[EStudID]],"Value")</f>
        <v>"209","108"</v>
      </c>
      <c r="S831">
        <f>LOOKUP(LOOKUP(tblEnrolledSubjs[[#This Row],[CSubjID]], tblClassSubjs[CSubjID],tblClassSubjs[ClassID]),tblClasses[ClassID],tblClasses[STermID])</f>
        <v>4</v>
      </c>
      <c r="T831" t="str">
        <f>LOOKUP(S831,tblSchoolTerms[STermID],tblSchoolTerms[SemesterID]&amp;" Semester "&amp;tblSchoolTerms[SchoolYear])</f>
        <v>1 Semester S.Y. 2017-2018</v>
      </c>
      <c r="W8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1" t="e">
        <f t="array" ref="Y831">INDEX(tblEnrolledStuds[EStudID],MATCH(tblEnrolledSubjs[[#This Row],[EStudID]]&amp;S831,tblEnrolledStuds[AdmissionStatusID]&amp;tblEnrolledStuds[StudID],0))</f>
        <v>#N/A</v>
      </c>
    </row>
    <row r="832" spans="2:25" x14ac:dyDescent="0.25">
      <c r="B832">
        <v>830</v>
      </c>
      <c r="C832">
        <v>209</v>
      </c>
      <c r="D832">
        <v>110</v>
      </c>
      <c r="P832" t="str">
        <f t="shared" si="16"/>
        <v>(NULL,"209","110"),</v>
      </c>
      <c r="Q832" t="str">
        <f>TextJoin(tblEnrolledSubjs[[#This Row],[CSubjID]:[EStudID]],"Value")</f>
        <v>"209","110"</v>
      </c>
      <c r="S832">
        <f>LOOKUP(LOOKUP(tblEnrolledSubjs[[#This Row],[CSubjID]], tblClassSubjs[CSubjID],tblClassSubjs[ClassID]),tblClasses[ClassID],tblClasses[STermID])</f>
        <v>4</v>
      </c>
      <c r="T832" t="str">
        <f>LOOKUP(S832,tblSchoolTerms[STermID],tblSchoolTerms[SemesterID]&amp;" Semester "&amp;tblSchoolTerms[SchoolYear])</f>
        <v>1 Semester S.Y. 2017-2018</v>
      </c>
      <c r="W8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2" t="e">
        <f t="array" ref="Y832">INDEX(tblEnrolledStuds[EStudID],MATCH(tblEnrolledSubjs[[#This Row],[EStudID]]&amp;S832,tblEnrolledStuds[AdmissionStatusID]&amp;tblEnrolledStuds[StudID],0))</f>
        <v>#N/A</v>
      </c>
    </row>
    <row r="833" spans="2:25" x14ac:dyDescent="0.25">
      <c r="B833">
        <v>831</v>
      </c>
      <c r="C833">
        <v>209</v>
      </c>
      <c r="D833">
        <v>111</v>
      </c>
      <c r="P833" t="str">
        <f t="shared" si="16"/>
        <v>(NULL,"209","111"),</v>
      </c>
      <c r="Q833" t="str">
        <f>TextJoin(tblEnrolledSubjs[[#This Row],[CSubjID]:[EStudID]],"Value")</f>
        <v>"209","111"</v>
      </c>
      <c r="S833">
        <f>LOOKUP(LOOKUP(tblEnrolledSubjs[[#This Row],[CSubjID]], tblClassSubjs[CSubjID],tblClassSubjs[ClassID]),tblClasses[ClassID],tblClasses[STermID])</f>
        <v>4</v>
      </c>
      <c r="T833" t="str">
        <f>LOOKUP(S833,tblSchoolTerms[STermID],tblSchoolTerms[SemesterID]&amp;" Semester "&amp;tblSchoolTerms[SchoolYear])</f>
        <v>1 Semester S.Y. 2017-2018</v>
      </c>
      <c r="W8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3" t="e">
        <f t="array" ref="Y833">INDEX(tblEnrolledStuds[EStudID],MATCH(tblEnrolledSubjs[[#This Row],[EStudID]]&amp;S833,tblEnrolledStuds[AdmissionStatusID]&amp;tblEnrolledStuds[StudID],0))</f>
        <v>#N/A</v>
      </c>
    </row>
    <row r="834" spans="2:25" x14ac:dyDescent="0.25">
      <c r="B834">
        <v>832</v>
      </c>
      <c r="C834">
        <v>209</v>
      </c>
      <c r="D834">
        <v>113</v>
      </c>
      <c r="P834" t="str">
        <f t="shared" si="16"/>
        <v>(NULL,"209","113"),</v>
      </c>
      <c r="Q834" t="str">
        <f>TextJoin(tblEnrolledSubjs[[#This Row],[CSubjID]:[EStudID]],"Value")</f>
        <v>"209","113"</v>
      </c>
      <c r="S834">
        <f>LOOKUP(LOOKUP(tblEnrolledSubjs[[#This Row],[CSubjID]], tblClassSubjs[CSubjID],tblClassSubjs[ClassID]),tblClasses[ClassID],tblClasses[STermID])</f>
        <v>4</v>
      </c>
      <c r="T834" t="str">
        <f>LOOKUP(S834,tblSchoolTerms[STermID],tblSchoolTerms[SemesterID]&amp;" Semester "&amp;tblSchoolTerms[SchoolYear])</f>
        <v>1 Semester S.Y. 2017-2018</v>
      </c>
      <c r="W8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4" t="e">
        <f t="array" ref="Y834">INDEX(tblEnrolledStuds[EStudID],MATCH(tblEnrolledSubjs[[#This Row],[EStudID]]&amp;S834,tblEnrolledStuds[AdmissionStatusID]&amp;tblEnrolledStuds[StudID],0))</f>
        <v>#N/A</v>
      </c>
    </row>
    <row r="835" spans="2:25" x14ac:dyDescent="0.25">
      <c r="B835">
        <v>833</v>
      </c>
      <c r="C835">
        <v>209</v>
      </c>
      <c r="D835">
        <v>114</v>
      </c>
      <c r="P835" t="str">
        <f t="shared" si="16"/>
        <v>(NULL,"209","114"),</v>
      </c>
      <c r="Q835" t="str">
        <f>TextJoin(tblEnrolledSubjs[[#This Row],[CSubjID]:[EStudID]],"Value")</f>
        <v>"209","114"</v>
      </c>
      <c r="S835">
        <f>LOOKUP(LOOKUP(tblEnrolledSubjs[[#This Row],[CSubjID]], tblClassSubjs[CSubjID],tblClassSubjs[ClassID]),tblClasses[ClassID],tblClasses[STermID])</f>
        <v>4</v>
      </c>
      <c r="T835" t="str">
        <f>LOOKUP(S835,tblSchoolTerms[STermID],tblSchoolTerms[SemesterID]&amp;" Semester "&amp;tblSchoolTerms[SchoolYear])</f>
        <v>1 Semester S.Y. 2017-2018</v>
      </c>
      <c r="W8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5" t="e">
        <f t="array" ref="Y835">INDEX(tblEnrolledStuds[EStudID],MATCH(tblEnrolledSubjs[[#This Row],[EStudID]]&amp;S835,tblEnrolledStuds[AdmissionStatusID]&amp;tblEnrolledStuds[StudID],0))</f>
        <v>#N/A</v>
      </c>
    </row>
    <row r="836" spans="2:25" x14ac:dyDescent="0.25">
      <c r="B836">
        <v>834</v>
      </c>
      <c r="C836">
        <v>209</v>
      </c>
      <c r="D836">
        <v>116</v>
      </c>
      <c r="P836" t="str">
        <f t="shared" ref="P836:P899" si="17">"(NULL,"&amp;Q836&amp;")"&amp;IF(P837&lt;&gt;"",",",";")</f>
        <v>(NULL,"209","116"),</v>
      </c>
      <c r="Q836" t="str">
        <f>TextJoin(tblEnrolledSubjs[[#This Row],[CSubjID]:[EStudID]],"Value")</f>
        <v>"209","116"</v>
      </c>
      <c r="S836">
        <f>LOOKUP(LOOKUP(tblEnrolledSubjs[[#This Row],[CSubjID]], tblClassSubjs[CSubjID],tblClassSubjs[ClassID]),tblClasses[ClassID],tblClasses[STermID])</f>
        <v>4</v>
      </c>
      <c r="T836" t="str">
        <f>LOOKUP(S836,tblSchoolTerms[STermID],tblSchoolTerms[SemesterID]&amp;" Semester "&amp;tblSchoolTerms[SchoolYear])</f>
        <v>1 Semester S.Y. 2017-2018</v>
      </c>
      <c r="W8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6" t="e">
        <f t="array" ref="Y836">INDEX(tblEnrolledStuds[EStudID],MATCH(tblEnrolledSubjs[[#This Row],[EStudID]]&amp;S836,tblEnrolledStuds[AdmissionStatusID]&amp;tblEnrolledStuds[StudID],0))</f>
        <v>#N/A</v>
      </c>
    </row>
    <row r="837" spans="2:25" x14ac:dyDescent="0.25">
      <c r="B837">
        <v>835</v>
      </c>
      <c r="C837">
        <v>209</v>
      </c>
      <c r="D837">
        <v>118</v>
      </c>
      <c r="P837" t="str">
        <f t="shared" si="17"/>
        <v>(NULL,"209","118"),</v>
      </c>
      <c r="Q837" t="str">
        <f>TextJoin(tblEnrolledSubjs[[#This Row],[CSubjID]:[EStudID]],"Value")</f>
        <v>"209","118"</v>
      </c>
      <c r="S837">
        <f>LOOKUP(LOOKUP(tblEnrolledSubjs[[#This Row],[CSubjID]], tblClassSubjs[CSubjID],tblClassSubjs[ClassID]),tblClasses[ClassID],tblClasses[STermID])</f>
        <v>4</v>
      </c>
      <c r="T837" t="str">
        <f>LOOKUP(S837,tblSchoolTerms[STermID],tblSchoolTerms[SemesterID]&amp;" Semester "&amp;tblSchoolTerms[SchoolYear])</f>
        <v>1 Semester S.Y. 2017-2018</v>
      </c>
      <c r="W8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7" t="e">
        <f t="array" ref="Y837">INDEX(tblEnrolledStuds[EStudID],MATCH(tblEnrolledSubjs[[#This Row],[EStudID]]&amp;S837,tblEnrolledStuds[AdmissionStatusID]&amp;tblEnrolledStuds[StudID],0))</f>
        <v>#N/A</v>
      </c>
    </row>
    <row r="838" spans="2:25" x14ac:dyDescent="0.25">
      <c r="B838">
        <v>836</v>
      </c>
      <c r="C838">
        <v>209</v>
      </c>
      <c r="D838">
        <v>119</v>
      </c>
      <c r="P838" t="str">
        <f t="shared" si="17"/>
        <v>(NULL,"209","119"),</v>
      </c>
      <c r="Q838" t="str">
        <f>TextJoin(tblEnrolledSubjs[[#This Row],[CSubjID]:[EStudID]],"Value")</f>
        <v>"209","119"</v>
      </c>
      <c r="S838">
        <f>LOOKUP(LOOKUP(tblEnrolledSubjs[[#This Row],[CSubjID]], tblClassSubjs[CSubjID],tblClassSubjs[ClassID]),tblClasses[ClassID],tblClasses[STermID])</f>
        <v>4</v>
      </c>
      <c r="T838" t="str">
        <f>LOOKUP(S838,tblSchoolTerms[STermID],tblSchoolTerms[SemesterID]&amp;" Semester "&amp;tblSchoolTerms[SchoolYear])</f>
        <v>1 Semester S.Y. 2017-2018</v>
      </c>
      <c r="W8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8" t="e">
        <f t="array" ref="Y838">INDEX(tblEnrolledStuds[EStudID],MATCH(tblEnrolledSubjs[[#This Row],[EStudID]]&amp;S838,tblEnrolledStuds[AdmissionStatusID]&amp;tblEnrolledStuds[StudID],0))</f>
        <v>#N/A</v>
      </c>
    </row>
    <row r="839" spans="2:25" x14ac:dyDescent="0.25">
      <c r="B839">
        <v>837</v>
      </c>
      <c r="C839">
        <v>209</v>
      </c>
      <c r="D839">
        <v>112</v>
      </c>
      <c r="P839" t="str">
        <f t="shared" si="17"/>
        <v>(NULL,"209","112"),</v>
      </c>
      <c r="Q839" t="str">
        <f>TextJoin(tblEnrolledSubjs[[#This Row],[CSubjID]:[EStudID]],"Value")</f>
        <v>"209","112"</v>
      </c>
      <c r="S839">
        <f>LOOKUP(LOOKUP(tblEnrolledSubjs[[#This Row],[CSubjID]], tblClassSubjs[CSubjID],tblClassSubjs[ClassID]),tblClasses[ClassID],tblClasses[STermID])</f>
        <v>4</v>
      </c>
      <c r="T839" t="str">
        <f>LOOKUP(S839,tblSchoolTerms[STermID],tblSchoolTerms[SemesterID]&amp;" Semester "&amp;tblSchoolTerms[SchoolYear])</f>
        <v>1 Semester S.Y. 2017-2018</v>
      </c>
      <c r="W8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39" t="e">
        <f t="array" ref="Y839">INDEX(tblEnrolledStuds[EStudID],MATCH(tblEnrolledSubjs[[#This Row],[EStudID]]&amp;S839,tblEnrolledStuds[AdmissionStatusID]&amp;tblEnrolledStuds[StudID],0))</f>
        <v>#N/A</v>
      </c>
    </row>
    <row r="840" spans="2:25" x14ac:dyDescent="0.25">
      <c r="B840">
        <v>838</v>
      </c>
      <c r="C840">
        <v>210</v>
      </c>
      <c r="D840">
        <v>106</v>
      </c>
      <c r="P840" t="str">
        <f t="shared" si="17"/>
        <v>(NULL,"210","106"),</v>
      </c>
      <c r="Q840" t="str">
        <f>TextJoin(tblEnrolledSubjs[[#This Row],[CSubjID]:[EStudID]],"Value")</f>
        <v>"210","106"</v>
      </c>
      <c r="S840">
        <f>LOOKUP(LOOKUP(tblEnrolledSubjs[[#This Row],[CSubjID]], tblClassSubjs[CSubjID],tblClassSubjs[ClassID]),tblClasses[ClassID],tblClasses[STermID])</f>
        <v>4</v>
      </c>
      <c r="T840" t="str">
        <f>LOOKUP(S840,tblSchoolTerms[STermID],tblSchoolTerms[SemesterID]&amp;" Semester "&amp;tblSchoolTerms[SchoolYear])</f>
        <v>1 Semester S.Y. 2017-2018</v>
      </c>
      <c r="W8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0" t="e">
        <f t="array" ref="Y840">INDEX(tblEnrolledStuds[EStudID],MATCH(tblEnrolledSubjs[[#This Row],[EStudID]]&amp;S840,tblEnrolledStuds[AdmissionStatusID]&amp;tblEnrolledStuds[StudID],0))</f>
        <v>#N/A</v>
      </c>
    </row>
    <row r="841" spans="2:25" x14ac:dyDescent="0.25">
      <c r="B841">
        <v>839</v>
      </c>
      <c r="C841">
        <v>210</v>
      </c>
      <c r="D841">
        <v>107</v>
      </c>
      <c r="P841" t="str">
        <f t="shared" si="17"/>
        <v>(NULL,"210","107"),</v>
      </c>
      <c r="Q841" t="str">
        <f>TextJoin(tblEnrolledSubjs[[#This Row],[CSubjID]:[EStudID]],"Value")</f>
        <v>"210","107"</v>
      </c>
      <c r="S841">
        <f>LOOKUP(LOOKUP(tblEnrolledSubjs[[#This Row],[CSubjID]], tblClassSubjs[CSubjID],tblClassSubjs[ClassID]),tblClasses[ClassID],tblClasses[STermID])</f>
        <v>4</v>
      </c>
      <c r="T841" t="str">
        <f>LOOKUP(S841,tblSchoolTerms[STermID],tblSchoolTerms[SemesterID]&amp;" Semester "&amp;tblSchoolTerms[SchoolYear])</f>
        <v>1 Semester S.Y. 2017-2018</v>
      </c>
      <c r="W8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1" t="e">
        <f t="array" ref="Y841">INDEX(tblEnrolledStuds[EStudID],MATCH(tblEnrolledSubjs[[#This Row],[EStudID]]&amp;S841,tblEnrolledStuds[AdmissionStatusID]&amp;tblEnrolledStuds[StudID],0))</f>
        <v>#N/A</v>
      </c>
    </row>
    <row r="842" spans="2:25" x14ac:dyDescent="0.25">
      <c r="B842">
        <v>840</v>
      </c>
      <c r="C842">
        <v>210</v>
      </c>
      <c r="D842">
        <v>108</v>
      </c>
      <c r="P842" t="str">
        <f t="shared" si="17"/>
        <v>(NULL,"210","108"),</v>
      </c>
      <c r="Q842" t="str">
        <f>TextJoin(tblEnrolledSubjs[[#This Row],[CSubjID]:[EStudID]],"Value")</f>
        <v>"210","108"</v>
      </c>
      <c r="S842">
        <f>LOOKUP(LOOKUP(tblEnrolledSubjs[[#This Row],[CSubjID]], tblClassSubjs[CSubjID],tblClassSubjs[ClassID]),tblClasses[ClassID],tblClasses[STermID])</f>
        <v>4</v>
      </c>
      <c r="T842" t="str">
        <f>LOOKUP(S842,tblSchoolTerms[STermID],tblSchoolTerms[SemesterID]&amp;" Semester "&amp;tblSchoolTerms[SchoolYear])</f>
        <v>1 Semester S.Y. 2017-2018</v>
      </c>
      <c r="W8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2" t="e">
        <f t="array" ref="Y842">INDEX(tblEnrolledStuds[EStudID],MATCH(tblEnrolledSubjs[[#This Row],[EStudID]]&amp;S842,tblEnrolledStuds[AdmissionStatusID]&amp;tblEnrolledStuds[StudID],0))</f>
        <v>#N/A</v>
      </c>
    </row>
    <row r="843" spans="2:25" x14ac:dyDescent="0.25">
      <c r="B843">
        <v>841</v>
      </c>
      <c r="C843">
        <v>210</v>
      </c>
      <c r="D843">
        <v>110</v>
      </c>
      <c r="P843" t="str">
        <f t="shared" si="17"/>
        <v>(NULL,"210","110"),</v>
      </c>
      <c r="Q843" t="str">
        <f>TextJoin(tblEnrolledSubjs[[#This Row],[CSubjID]:[EStudID]],"Value")</f>
        <v>"210","110"</v>
      </c>
      <c r="S843">
        <f>LOOKUP(LOOKUP(tblEnrolledSubjs[[#This Row],[CSubjID]], tblClassSubjs[CSubjID],tblClassSubjs[ClassID]),tblClasses[ClassID],tblClasses[STermID])</f>
        <v>4</v>
      </c>
      <c r="T843" t="str">
        <f>LOOKUP(S843,tblSchoolTerms[STermID],tblSchoolTerms[SemesterID]&amp;" Semester "&amp;tblSchoolTerms[SchoolYear])</f>
        <v>1 Semester S.Y. 2017-2018</v>
      </c>
      <c r="W8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3" t="e">
        <f t="array" ref="Y843">INDEX(tblEnrolledStuds[EStudID],MATCH(tblEnrolledSubjs[[#This Row],[EStudID]]&amp;S843,tblEnrolledStuds[AdmissionStatusID]&amp;tblEnrolledStuds[StudID],0))</f>
        <v>#N/A</v>
      </c>
    </row>
    <row r="844" spans="2:25" x14ac:dyDescent="0.25">
      <c r="B844">
        <v>842</v>
      </c>
      <c r="C844">
        <v>210</v>
      </c>
      <c r="D844">
        <v>111</v>
      </c>
      <c r="P844" t="str">
        <f t="shared" si="17"/>
        <v>(NULL,"210","111"),</v>
      </c>
      <c r="Q844" t="str">
        <f>TextJoin(tblEnrolledSubjs[[#This Row],[CSubjID]:[EStudID]],"Value")</f>
        <v>"210","111"</v>
      </c>
      <c r="S844">
        <f>LOOKUP(LOOKUP(tblEnrolledSubjs[[#This Row],[CSubjID]], tblClassSubjs[CSubjID],tblClassSubjs[ClassID]),tblClasses[ClassID],tblClasses[STermID])</f>
        <v>4</v>
      </c>
      <c r="T844" t="str">
        <f>LOOKUP(S844,tblSchoolTerms[STermID],tblSchoolTerms[SemesterID]&amp;" Semester "&amp;tblSchoolTerms[SchoolYear])</f>
        <v>1 Semester S.Y. 2017-2018</v>
      </c>
      <c r="W8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4" t="e">
        <f t="array" ref="Y844">INDEX(tblEnrolledStuds[EStudID],MATCH(tblEnrolledSubjs[[#This Row],[EStudID]]&amp;S844,tblEnrolledStuds[AdmissionStatusID]&amp;tblEnrolledStuds[StudID],0))</f>
        <v>#N/A</v>
      </c>
    </row>
    <row r="845" spans="2:25" x14ac:dyDescent="0.25">
      <c r="B845">
        <v>843</v>
      </c>
      <c r="C845">
        <v>210</v>
      </c>
      <c r="D845">
        <v>113</v>
      </c>
      <c r="P845" t="str">
        <f t="shared" si="17"/>
        <v>(NULL,"210","113"),</v>
      </c>
      <c r="Q845" t="str">
        <f>TextJoin(tblEnrolledSubjs[[#This Row],[CSubjID]:[EStudID]],"Value")</f>
        <v>"210","113"</v>
      </c>
      <c r="S845">
        <f>LOOKUP(LOOKUP(tblEnrolledSubjs[[#This Row],[CSubjID]], tblClassSubjs[CSubjID],tblClassSubjs[ClassID]),tblClasses[ClassID],tblClasses[STermID])</f>
        <v>4</v>
      </c>
      <c r="T845" t="str">
        <f>LOOKUP(S845,tblSchoolTerms[STermID],tblSchoolTerms[SemesterID]&amp;" Semester "&amp;tblSchoolTerms[SchoolYear])</f>
        <v>1 Semester S.Y. 2017-2018</v>
      </c>
      <c r="W8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5" t="e">
        <f t="array" ref="Y845">INDEX(tblEnrolledStuds[EStudID],MATCH(tblEnrolledSubjs[[#This Row],[EStudID]]&amp;S845,tblEnrolledStuds[AdmissionStatusID]&amp;tblEnrolledStuds[StudID],0))</f>
        <v>#N/A</v>
      </c>
    </row>
    <row r="846" spans="2:25" x14ac:dyDescent="0.25">
      <c r="B846">
        <v>844</v>
      </c>
      <c r="C846">
        <v>210</v>
      </c>
      <c r="D846">
        <v>114</v>
      </c>
      <c r="P846" t="str">
        <f t="shared" si="17"/>
        <v>(NULL,"210","114"),</v>
      </c>
      <c r="Q846" t="str">
        <f>TextJoin(tblEnrolledSubjs[[#This Row],[CSubjID]:[EStudID]],"Value")</f>
        <v>"210","114"</v>
      </c>
      <c r="S846">
        <f>LOOKUP(LOOKUP(tblEnrolledSubjs[[#This Row],[CSubjID]], tblClassSubjs[CSubjID],tblClassSubjs[ClassID]),tblClasses[ClassID],tblClasses[STermID])</f>
        <v>4</v>
      </c>
      <c r="T846" t="str">
        <f>LOOKUP(S846,tblSchoolTerms[STermID],tblSchoolTerms[SemesterID]&amp;" Semester "&amp;tblSchoolTerms[SchoolYear])</f>
        <v>1 Semester S.Y. 2017-2018</v>
      </c>
      <c r="W8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6" t="e">
        <f t="array" ref="Y846">INDEX(tblEnrolledStuds[EStudID],MATCH(tblEnrolledSubjs[[#This Row],[EStudID]]&amp;S846,tblEnrolledStuds[AdmissionStatusID]&amp;tblEnrolledStuds[StudID],0))</f>
        <v>#N/A</v>
      </c>
    </row>
    <row r="847" spans="2:25" x14ac:dyDescent="0.25">
      <c r="B847">
        <v>845</v>
      </c>
      <c r="C847">
        <v>210</v>
      </c>
      <c r="D847">
        <v>116</v>
      </c>
      <c r="P847" t="str">
        <f t="shared" si="17"/>
        <v>(NULL,"210","116"),</v>
      </c>
      <c r="Q847" t="str">
        <f>TextJoin(tblEnrolledSubjs[[#This Row],[CSubjID]:[EStudID]],"Value")</f>
        <v>"210","116"</v>
      </c>
      <c r="S847">
        <f>LOOKUP(LOOKUP(tblEnrolledSubjs[[#This Row],[CSubjID]], tblClassSubjs[CSubjID],tblClassSubjs[ClassID]),tblClasses[ClassID],tblClasses[STermID])</f>
        <v>4</v>
      </c>
      <c r="T847" t="str">
        <f>LOOKUP(S847,tblSchoolTerms[STermID],tblSchoolTerms[SemesterID]&amp;" Semester "&amp;tblSchoolTerms[SchoolYear])</f>
        <v>1 Semester S.Y. 2017-2018</v>
      </c>
      <c r="W8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7" t="e">
        <f t="array" ref="Y847">INDEX(tblEnrolledStuds[EStudID],MATCH(tblEnrolledSubjs[[#This Row],[EStudID]]&amp;S847,tblEnrolledStuds[AdmissionStatusID]&amp;tblEnrolledStuds[StudID],0))</f>
        <v>#N/A</v>
      </c>
    </row>
    <row r="848" spans="2:25" x14ac:dyDescent="0.25">
      <c r="B848">
        <v>846</v>
      </c>
      <c r="C848">
        <v>210</v>
      </c>
      <c r="D848">
        <v>118</v>
      </c>
      <c r="P848" t="str">
        <f t="shared" si="17"/>
        <v>(NULL,"210","118"),</v>
      </c>
      <c r="Q848" t="str">
        <f>TextJoin(tblEnrolledSubjs[[#This Row],[CSubjID]:[EStudID]],"Value")</f>
        <v>"210","118"</v>
      </c>
      <c r="S848">
        <f>LOOKUP(LOOKUP(tblEnrolledSubjs[[#This Row],[CSubjID]], tblClassSubjs[CSubjID],tblClassSubjs[ClassID]),tblClasses[ClassID],tblClasses[STermID])</f>
        <v>4</v>
      </c>
      <c r="T848" t="str">
        <f>LOOKUP(S848,tblSchoolTerms[STermID],tblSchoolTerms[SemesterID]&amp;" Semester "&amp;tblSchoolTerms[SchoolYear])</f>
        <v>1 Semester S.Y. 2017-2018</v>
      </c>
      <c r="W8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8" t="e">
        <f t="array" ref="Y848">INDEX(tblEnrolledStuds[EStudID],MATCH(tblEnrolledSubjs[[#This Row],[EStudID]]&amp;S848,tblEnrolledStuds[AdmissionStatusID]&amp;tblEnrolledStuds[StudID],0))</f>
        <v>#N/A</v>
      </c>
    </row>
    <row r="849" spans="2:25" x14ac:dyDescent="0.25">
      <c r="B849">
        <v>847</v>
      </c>
      <c r="C849">
        <v>210</v>
      </c>
      <c r="D849">
        <v>119</v>
      </c>
      <c r="P849" t="str">
        <f t="shared" si="17"/>
        <v>(NULL,"210","119"),</v>
      </c>
      <c r="Q849" t="str">
        <f>TextJoin(tblEnrolledSubjs[[#This Row],[CSubjID]:[EStudID]],"Value")</f>
        <v>"210","119"</v>
      </c>
      <c r="S849">
        <f>LOOKUP(LOOKUP(tblEnrolledSubjs[[#This Row],[CSubjID]], tblClassSubjs[CSubjID],tblClassSubjs[ClassID]),tblClasses[ClassID],tblClasses[STermID])</f>
        <v>4</v>
      </c>
      <c r="T849" t="str">
        <f>LOOKUP(S849,tblSchoolTerms[STermID],tblSchoolTerms[SemesterID]&amp;" Semester "&amp;tblSchoolTerms[SchoolYear])</f>
        <v>1 Semester S.Y. 2017-2018</v>
      </c>
      <c r="W8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49" t="e">
        <f t="array" ref="Y849">INDEX(tblEnrolledStuds[EStudID],MATCH(tblEnrolledSubjs[[#This Row],[EStudID]]&amp;S849,tblEnrolledStuds[AdmissionStatusID]&amp;tblEnrolledStuds[StudID],0))</f>
        <v>#N/A</v>
      </c>
    </row>
    <row r="850" spans="2:25" x14ac:dyDescent="0.25">
      <c r="B850">
        <v>848</v>
      </c>
      <c r="C850">
        <v>210</v>
      </c>
      <c r="D850">
        <v>112</v>
      </c>
      <c r="P850" t="str">
        <f t="shared" si="17"/>
        <v>(NULL,"210","112"),</v>
      </c>
      <c r="Q850" t="str">
        <f>TextJoin(tblEnrolledSubjs[[#This Row],[CSubjID]:[EStudID]],"Value")</f>
        <v>"210","112"</v>
      </c>
      <c r="S850">
        <f>LOOKUP(LOOKUP(tblEnrolledSubjs[[#This Row],[CSubjID]], tblClassSubjs[CSubjID],tblClassSubjs[ClassID]),tblClasses[ClassID],tblClasses[STermID])</f>
        <v>4</v>
      </c>
      <c r="T850" t="str">
        <f>LOOKUP(S850,tblSchoolTerms[STermID],tblSchoolTerms[SemesterID]&amp;" Semester "&amp;tblSchoolTerms[SchoolYear])</f>
        <v>1 Semester S.Y. 2017-2018</v>
      </c>
      <c r="W8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0" t="e">
        <f t="array" ref="Y850">INDEX(tblEnrolledStuds[EStudID],MATCH(tblEnrolledSubjs[[#This Row],[EStudID]]&amp;S850,tblEnrolledStuds[AdmissionStatusID]&amp;tblEnrolledStuds[StudID],0))</f>
        <v>#N/A</v>
      </c>
    </row>
    <row r="851" spans="2:25" x14ac:dyDescent="0.25">
      <c r="B851">
        <v>849</v>
      </c>
      <c r="C851">
        <v>211</v>
      </c>
      <c r="D851">
        <v>106</v>
      </c>
      <c r="P851" t="str">
        <f t="shared" si="17"/>
        <v>(NULL,"211","106"),</v>
      </c>
      <c r="Q851" t="str">
        <f>TextJoin(tblEnrolledSubjs[[#This Row],[CSubjID]:[EStudID]],"Value")</f>
        <v>"211","106"</v>
      </c>
      <c r="S851">
        <f>LOOKUP(LOOKUP(tblEnrolledSubjs[[#This Row],[CSubjID]], tblClassSubjs[CSubjID],tblClassSubjs[ClassID]),tblClasses[ClassID],tblClasses[STermID])</f>
        <v>4</v>
      </c>
      <c r="T851" t="str">
        <f>LOOKUP(S851,tblSchoolTerms[STermID],tblSchoolTerms[SemesterID]&amp;" Semester "&amp;tblSchoolTerms[SchoolYear])</f>
        <v>1 Semester S.Y. 2017-2018</v>
      </c>
      <c r="W8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1" t="e">
        <f t="array" ref="Y851">INDEX(tblEnrolledStuds[EStudID],MATCH(tblEnrolledSubjs[[#This Row],[EStudID]]&amp;S851,tblEnrolledStuds[AdmissionStatusID]&amp;tblEnrolledStuds[StudID],0))</f>
        <v>#N/A</v>
      </c>
    </row>
    <row r="852" spans="2:25" x14ac:dyDescent="0.25">
      <c r="B852">
        <v>850</v>
      </c>
      <c r="C852">
        <v>211</v>
      </c>
      <c r="D852">
        <v>107</v>
      </c>
      <c r="P852" t="str">
        <f t="shared" si="17"/>
        <v>(NULL,"211","107"),</v>
      </c>
      <c r="Q852" t="str">
        <f>TextJoin(tblEnrolledSubjs[[#This Row],[CSubjID]:[EStudID]],"Value")</f>
        <v>"211","107"</v>
      </c>
      <c r="S852">
        <f>LOOKUP(LOOKUP(tblEnrolledSubjs[[#This Row],[CSubjID]], tblClassSubjs[CSubjID],tblClassSubjs[ClassID]),tblClasses[ClassID],tblClasses[STermID])</f>
        <v>4</v>
      </c>
      <c r="T852" t="str">
        <f>LOOKUP(S852,tblSchoolTerms[STermID],tblSchoolTerms[SemesterID]&amp;" Semester "&amp;tblSchoolTerms[SchoolYear])</f>
        <v>1 Semester S.Y. 2017-2018</v>
      </c>
      <c r="W8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2" t="e">
        <f t="array" ref="Y852">INDEX(tblEnrolledStuds[EStudID],MATCH(tblEnrolledSubjs[[#This Row],[EStudID]]&amp;S852,tblEnrolledStuds[AdmissionStatusID]&amp;tblEnrolledStuds[StudID],0))</f>
        <v>#N/A</v>
      </c>
    </row>
    <row r="853" spans="2:25" x14ac:dyDescent="0.25">
      <c r="B853">
        <v>851</v>
      </c>
      <c r="C853">
        <v>211</v>
      </c>
      <c r="D853">
        <v>108</v>
      </c>
      <c r="P853" t="str">
        <f t="shared" si="17"/>
        <v>(NULL,"211","108"),</v>
      </c>
      <c r="Q853" t="str">
        <f>TextJoin(tblEnrolledSubjs[[#This Row],[CSubjID]:[EStudID]],"Value")</f>
        <v>"211","108"</v>
      </c>
      <c r="S853">
        <f>LOOKUP(LOOKUP(tblEnrolledSubjs[[#This Row],[CSubjID]], tblClassSubjs[CSubjID],tblClassSubjs[ClassID]),tblClasses[ClassID],tblClasses[STermID])</f>
        <v>4</v>
      </c>
      <c r="T853" t="str">
        <f>LOOKUP(S853,tblSchoolTerms[STermID],tblSchoolTerms[SemesterID]&amp;" Semester "&amp;tblSchoolTerms[SchoolYear])</f>
        <v>1 Semester S.Y. 2017-2018</v>
      </c>
      <c r="W8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3" t="e">
        <f t="array" ref="Y853">INDEX(tblEnrolledStuds[EStudID],MATCH(tblEnrolledSubjs[[#This Row],[EStudID]]&amp;S853,tblEnrolledStuds[AdmissionStatusID]&amp;tblEnrolledStuds[StudID],0))</f>
        <v>#N/A</v>
      </c>
    </row>
    <row r="854" spans="2:25" x14ac:dyDescent="0.25">
      <c r="B854">
        <v>852</v>
      </c>
      <c r="C854">
        <v>211</v>
      </c>
      <c r="D854">
        <v>110</v>
      </c>
      <c r="P854" t="str">
        <f t="shared" si="17"/>
        <v>(NULL,"211","110"),</v>
      </c>
      <c r="Q854" t="str">
        <f>TextJoin(tblEnrolledSubjs[[#This Row],[CSubjID]:[EStudID]],"Value")</f>
        <v>"211","110"</v>
      </c>
      <c r="S854">
        <f>LOOKUP(LOOKUP(tblEnrolledSubjs[[#This Row],[CSubjID]], tblClassSubjs[CSubjID],tblClassSubjs[ClassID]),tblClasses[ClassID],tblClasses[STermID])</f>
        <v>4</v>
      </c>
      <c r="T854" t="str">
        <f>LOOKUP(S854,tblSchoolTerms[STermID],tblSchoolTerms[SemesterID]&amp;" Semester "&amp;tblSchoolTerms[SchoolYear])</f>
        <v>1 Semester S.Y. 2017-2018</v>
      </c>
      <c r="W8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4" t="e">
        <f t="array" ref="Y854">INDEX(tblEnrolledStuds[EStudID],MATCH(tblEnrolledSubjs[[#This Row],[EStudID]]&amp;S854,tblEnrolledStuds[AdmissionStatusID]&amp;tblEnrolledStuds[StudID],0))</f>
        <v>#N/A</v>
      </c>
    </row>
    <row r="855" spans="2:25" x14ac:dyDescent="0.25">
      <c r="B855">
        <v>853</v>
      </c>
      <c r="C855">
        <v>211</v>
      </c>
      <c r="D855">
        <v>111</v>
      </c>
      <c r="P855" t="str">
        <f t="shared" si="17"/>
        <v>(NULL,"211","111"),</v>
      </c>
      <c r="Q855" t="str">
        <f>TextJoin(tblEnrolledSubjs[[#This Row],[CSubjID]:[EStudID]],"Value")</f>
        <v>"211","111"</v>
      </c>
      <c r="S855">
        <f>LOOKUP(LOOKUP(tblEnrolledSubjs[[#This Row],[CSubjID]], tblClassSubjs[CSubjID],tblClassSubjs[ClassID]),tblClasses[ClassID],tblClasses[STermID])</f>
        <v>4</v>
      </c>
      <c r="T855" t="str">
        <f>LOOKUP(S855,tblSchoolTerms[STermID],tblSchoolTerms[SemesterID]&amp;" Semester "&amp;tblSchoolTerms[SchoolYear])</f>
        <v>1 Semester S.Y. 2017-2018</v>
      </c>
      <c r="W8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5" t="e">
        <f t="array" ref="Y855">INDEX(tblEnrolledStuds[EStudID],MATCH(tblEnrolledSubjs[[#This Row],[EStudID]]&amp;S855,tblEnrolledStuds[AdmissionStatusID]&amp;tblEnrolledStuds[StudID],0))</f>
        <v>#N/A</v>
      </c>
    </row>
    <row r="856" spans="2:25" x14ac:dyDescent="0.25">
      <c r="B856">
        <v>854</v>
      </c>
      <c r="C856">
        <v>211</v>
      </c>
      <c r="D856">
        <v>113</v>
      </c>
      <c r="P856" t="str">
        <f t="shared" si="17"/>
        <v>(NULL,"211","113"),</v>
      </c>
      <c r="Q856" t="str">
        <f>TextJoin(tblEnrolledSubjs[[#This Row],[CSubjID]:[EStudID]],"Value")</f>
        <v>"211","113"</v>
      </c>
      <c r="S856">
        <f>LOOKUP(LOOKUP(tblEnrolledSubjs[[#This Row],[CSubjID]], tblClassSubjs[CSubjID],tblClassSubjs[ClassID]),tblClasses[ClassID],tblClasses[STermID])</f>
        <v>4</v>
      </c>
      <c r="T856" t="str">
        <f>LOOKUP(S856,tblSchoolTerms[STermID],tblSchoolTerms[SemesterID]&amp;" Semester "&amp;tblSchoolTerms[SchoolYear])</f>
        <v>1 Semester S.Y. 2017-2018</v>
      </c>
      <c r="W8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6" t="e">
        <f t="array" ref="Y856">INDEX(tblEnrolledStuds[EStudID],MATCH(tblEnrolledSubjs[[#This Row],[EStudID]]&amp;S856,tblEnrolledStuds[AdmissionStatusID]&amp;tblEnrolledStuds[StudID],0))</f>
        <v>#N/A</v>
      </c>
    </row>
    <row r="857" spans="2:25" x14ac:dyDescent="0.25">
      <c r="B857">
        <v>855</v>
      </c>
      <c r="C857">
        <v>211</v>
      </c>
      <c r="D857">
        <v>114</v>
      </c>
      <c r="P857" t="str">
        <f t="shared" si="17"/>
        <v>(NULL,"211","114"),</v>
      </c>
      <c r="Q857" t="str">
        <f>TextJoin(tblEnrolledSubjs[[#This Row],[CSubjID]:[EStudID]],"Value")</f>
        <v>"211","114"</v>
      </c>
      <c r="S857">
        <f>LOOKUP(LOOKUP(tblEnrolledSubjs[[#This Row],[CSubjID]], tblClassSubjs[CSubjID],tblClassSubjs[ClassID]),tblClasses[ClassID],tblClasses[STermID])</f>
        <v>4</v>
      </c>
      <c r="T857" t="str">
        <f>LOOKUP(S857,tblSchoolTerms[STermID],tblSchoolTerms[SemesterID]&amp;" Semester "&amp;tblSchoolTerms[SchoolYear])</f>
        <v>1 Semester S.Y. 2017-2018</v>
      </c>
      <c r="W8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7" t="e">
        <f t="array" ref="Y857">INDEX(tblEnrolledStuds[EStudID],MATCH(tblEnrolledSubjs[[#This Row],[EStudID]]&amp;S857,tblEnrolledStuds[AdmissionStatusID]&amp;tblEnrolledStuds[StudID],0))</f>
        <v>#N/A</v>
      </c>
    </row>
    <row r="858" spans="2:25" x14ac:dyDescent="0.25">
      <c r="B858">
        <v>856</v>
      </c>
      <c r="C858">
        <v>211</v>
      </c>
      <c r="D858">
        <v>116</v>
      </c>
      <c r="P858" t="str">
        <f t="shared" si="17"/>
        <v>(NULL,"211","116"),</v>
      </c>
      <c r="Q858" t="str">
        <f>TextJoin(tblEnrolledSubjs[[#This Row],[CSubjID]:[EStudID]],"Value")</f>
        <v>"211","116"</v>
      </c>
      <c r="S858">
        <f>LOOKUP(LOOKUP(tblEnrolledSubjs[[#This Row],[CSubjID]], tblClassSubjs[CSubjID],tblClassSubjs[ClassID]),tblClasses[ClassID],tblClasses[STermID])</f>
        <v>4</v>
      </c>
      <c r="T858" t="str">
        <f>LOOKUP(S858,tblSchoolTerms[STermID],tblSchoolTerms[SemesterID]&amp;" Semester "&amp;tblSchoolTerms[SchoolYear])</f>
        <v>1 Semester S.Y. 2017-2018</v>
      </c>
      <c r="W8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8" t="e">
        <f t="array" ref="Y858">INDEX(tblEnrolledStuds[EStudID],MATCH(tblEnrolledSubjs[[#This Row],[EStudID]]&amp;S858,tblEnrolledStuds[AdmissionStatusID]&amp;tblEnrolledStuds[StudID],0))</f>
        <v>#N/A</v>
      </c>
    </row>
    <row r="859" spans="2:25" x14ac:dyDescent="0.25">
      <c r="B859">
        <v>857</v>
      </c>
      <c r="C859">
        <v>211</v>
      </c>
      <c r="D859">
        <v>118</v>
      </c>
      <c r="P859" t="str">
        <f t="shared" si="17"/>
        <v>(NULL,"211","118"),</v>
      </c>
      <c r="Q859" t="str">
        <f>TextJoin(tblEnrolledSubjs[[#This Row],[CSubjID]:[EStudID]],"Value")</f>
        <v>"211","118"</v>
      </c>
      <c r="S859">
        <f>LOOKUP(LOOKUP(tblEnrolledSubjs[[#This Row],[CSubjID]], tblClassSubjs[CSubjID],tblClassSubjs[ClassID]),tblClasses[ClassID],tblClasses[STermID])</f>
        <v>4</v>
      </c>
      <c r="T859" t="str">
        <f>LOOKUP(S859,tblSchoolTerms[STermID],tblSchoolTerms[SemesterID]&amp;" Semester "&amp;tblSchoolTerms[SchoolYear])</f>
        <v>1 Semester S.Y. 2017-2018</v>
      </c>
      <c r="W8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59" t="e">
        <f t="array" ref="Y859">INDEX(tblEnrolledStuds[EStudID],MATCH(tblEnrolledSubjs[[#This Row],[EStudID]]&amp;S859,tblEnrolledStuds[AdmissionStatusID]&amp;tblEnrolledStuds[StudID],0))</f>
        <v>#N/A</v>
      </c>
    </row>
    <row r="860" spans="2:25" x14ac:dyDescent="0.25">
      <c r="B860">
        <v>858</v>
      </c>
      <c r="C860">
        <v>211</v>
      </c>
      <c r="D860">
        <v>119</v>
      </c>
      <c r="P860" t="str">
        <f t="shared" si="17"/>
        <v>(NULL,"211","119"),</v>
      </c>
      <c r="Q860" t="str">
        <f>TextJoin(tblEnrolledSubjs[[#This Row],[CSubjID]:[EStudID]],"Value")</f>
        <v>"211","119"</v>
      </c>
      <c r="S860">
        <f>LOOKUP(LOOKUP(tblEnrolledSubjs[[#This Row],[CSubjID]], tblClassSubjs[CSubjID],tblClassSubjs[ClassID]),tblClasses[ClassID],tblClasses[STermID])</f>
        <v>4</v>
      </c>
      <c r="T860" t="str">
        <f>LOOKUP(S860,tblSchoolTerms[STermID],tblSchoolTerms[SemesterID]&amp;" Semester "&amp;tblSchoolTerms[SchoolYear])</f>
        <v>1 Semester S.Y. 2017-2018</v>
      </c>
      <c r="W8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0" t="e">
        <f t="array" ref="Y860">INDEX(tblEnrolledStuds[EStudID],MATCH(tblEnrolledSubjs[[#This Row],[EStudID]]&amp;S860,tblEnrolledStuds[AdmissionStatusID]&amp;tblEnrolledStuds[StudID],0))</f>
        <v>#N/A</v>
      </c>
    </row>
    <row r="861" spans="2:25" x14ac:dyDescent="0.25">
      <c r="B861">
        <v>859</v>
      </c>
      <c r="C861">
        <v>211</v>
      </c>
      <c r="D861">
        <v>112</v>
      </c>
      <c r="P861" t="str">
        <f t="shared" si="17"/>
        <v>(NULL,"211","112"),</v>
      </c>
      <c r="Q861" t="str">
        <f>TextJoin(tblEnrolledSubjs[[#This Row],[CSubjID]:[EStudID]],"Value")</f>
        <v>"211","112"</v>
      </c>
      <c r="S861">
        <f>LOOKUP(LOOKUP(tblEnrolledSubjs[[#This Row],[CSubjID]], tblClassSubjs[CSubjID],tblClassSubjs[ClassID]),tblClasses[ClassID],tblClasses[STermID])</f>
        <v>4</v>
      </c>
      <c r="T861" t="str">
        <f>LOOKUP(S861,tblSchoolTerms[STermID],tblSchoolTerms[SemesterID]&amp;" Semester "&amp;tblSchoolTerms[SchoolYear])</f>
        <v>1 Semester S.Y. 2017-2018</v>
      </c>
      <c r="W8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1" t="e">
        <f t="array" ref="Y861">INDEX(tblEnrolledStuds[EStudID],MATCH(tblEnrolledSubjs[[#This Row],[EStudID]]&amp;S861,tblEnrolledStuds[AdmissionStatusID]&amp;tblEnrolledStuds[StudID],0))</f>
        <v>#N/A</v>
      </c>
    </row>
    <row r="862" spans="2:25" x14ac:dyDescent="0.25">
      <c r="B862">
        <v>860</v>
      </c>
      <c r="C862">
        <v>212</v>
      </c>
      <c r="D862">
        <v>106</v>
      </c>
      <c r="P862" t="str">
        <f t="shared" si="17"/>
        <v>(NULL,"212","106"),</v>
      </c>
      <c r="Q862" t="str">
        <f>TextJoin(tblEnrolledSubjs[[#This Row],[CSubjID]:[EStudID]],"Value")</f>
        <v>"212","106"</v>
      </c>
      <c r="S862">
        <f>LOOKUP(LOOKUP(tblEnrolledSubjs[[#This Row],[CSubjID]], tblClassSubjs[CSubjID],tblClassSubjs[ClassID]),tblClasses[ClassID],tblClasses[STermID])</f>
        <v>4</v>
      </c>
      <c r="T862" t="str">
        <f>LOOKUP(S862,tblSchoolTerms[STermID],tblSchoolTerms[SemesterID]&amp;" Semester "&amp;tblSchoolTerms[SchoolYear])</f>
        <v>1 Semester S.Y. 2017-2018</v>
      </c>
      <c r="W8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2" t="e">
        <f t="array" ref="Y862">INDEX(tblEnrolledStuds[EStudID],MATCH(tblEnrolledSubjs[[#This Row],[EStudID]]&amp;S862,tblEnrolledStuds[AdmissionStatusID]&amp;tblEnrolledStuds[StudID],0))</f>
        <v>#N/A</v>
      </c>
    </row>
    <row r="863" spans="2:25" x14ac:dyDescent="0.25">
      <c r="B863">
        <v>861</v>
      </c>
      <c r="C863">
        <v>212</v>
      </c>
      <c r="D863">
        <v>107</v>
      </c>
      <c r="P863" t="str">
        <f t="shared" si="17"/>
        <v>(NULL,"212","107"),</v>
      </c>
      <c r="Q863" t="str">
        <f>TextJoin(tblEnrolledSubjs[[#This Row],[CSubjID]:[EStudID]],"Value")</f>
        <v>"212","107"</v>
      </c>
      <c r="S863">
        <f>LOOKUP(LOOKUP(tblEnrolledSubjs[[#This Row],[CSubjID]], tblClassSubjs[CSubjID],tblClassSubjs[ClassID]),tblClasses[ClassID],tblClasses[STermID])</f>
        <v>4</v>
      </c>
      <c r="T863" t="str">
        <f>LOOKUP(S863,tblSchoolTerms[STermID],tblSchoolTerms[SemesterID]&amp;" Semester "&amp;tblSchoolTerms[SchoolYear])</f>
        <v>1 Semester S.Y. 2017-2018</v>
      </c>
      <c r="W8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3" t="e">
        <f t="array" ref="Y863">INDEX(tblEnrolledStuds[EStudID],MATCH(tblEnrolledSubjs[[#This Row],[EStudID]]&amp;S863,tblEnrolledStuds[AdmissionStatusID]&amp;tblEnrolledStuds[StudID],0))</f>
        <v>#N/A</v>
      </c>
    </row>
    <row r="864" spans="2:25" x14ac:dyDescent="0.25">
      <c r="B864">
        <v>862</v>
      </c>
      <c r="C864">
        <v>212</v>
      </c>
      <c r="D864">
        <v>108</v>
      </c>
      <c r="P864" t="str">
        <f t="shared" si="17"/>
        <v>(NULL,"212","108"),</v>
      </c>
      <c r="Q864" t="str">
        <f>TextJoin(tblEnrolledSubjs[[#This Row],[CSubjID]:[EStudID]],"Value")</f>
        <v>"212","108"</v>
      </c>
      <c r="S864">
        <f>LOOKUP(LOOKUP(tblEnrolledSubjs[[#This Row],[CSubjID]], tblClassSubjs[CSubjID],tblClassSubjs[ClassID]),tblClasses[ClassID],tblClasses[STermID])</f>
        <v>4</v>
      </c>
      <c r="T864" t="str">
        <f>LOOKUP(S864,tblSchoolTerms[STermID],tblSchoolTerms[SemesterID]&amp;" Semester "&amp;tblSchoolTerms[SchoolYear])</f>
        <v>1 Semester S.Y. 2017-2018</v>
      </c>
      <c r="W8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4" t="e">
        <f t="array" ref="Y864">INDEX(tblEnrolledStuds[EStudID],MATCH(tblEnrolledSubjs[[#This Row],[EStudID]]&amp;S864,tblEnrolledStuds[AdmissionStatusID]&amp;tblEnrolledStuds[StudID],0))</f>
        <v>#N/A</v>
      </c>
    </row>
    <row r="865" spans="2:25" x14ac:dyDescent="0.25">
      <c r="B865">
        <v>863</v>
      </c>
      <c r="C865">
        <v>212</v>
      </c>
      <c r="D865">
        <v>110</v>
      </c>
      <c r="P865" t="str">
        <f t="shared" si="17"/>
        <v>(NULL,"212","110"),</v>
      </c>
      <c r="Q865" t="str">
        <f>TextJoin(tblEnrolledSubjs[[#This Row],[CSubjID]:[EStudID]],"Value")</f>
        <v>"212","110"</v>
      </c>
      <c r="S865">
        <f>LOOKUP(LOOKUP(tblEnrolledSubjs[[#This Row],[CSubjID]], tblClassSubjs[CSubjID],tblClassSubjs[ClassID]),tblClasses[ClassID],tblClasses[STermID])</f>
        <v>4</v>
      </c>
      <c r="T865" t="str">
        <f>LOOKUP(S865,tblSchoolTerms[STermID],tblSchoolTerms[SemesterID]&amp;" Semester "&amp;tblSchoolTerms[SchoolYear])</f>
        <v>1 Semester S.Y. 2017-2018</v>
      </c>
      <c r="W8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5" t="e">
        <f t="array" ref="Y865">INDEX(tblEnrolledStuds[EStudID],MATCH(tblEnrolledSubjs[[#This Row],[EStudID]]&amp;S865,tblEnrolledStuds[AdmissionStatusID]&amp;tblEnrolledStuds[StudID],0))</f>
        <v>#N/A</v>
      </c>
    </row>
    <row r="866" spans="2:25" x14ac:dyDescent="0.25">
      <c r="B866">
        <v>864</v>
      </c>
      <c r="C866">
        <v>212</v>
      </c>
      <c r="D866">
        <v>111</v>
      </c>
      <c r="P866" t="str">
        <f t="shared" si="17"/>
        <v>(NULL,"212","111"),</v>
      </c>
      <c r="Q866" t="str">
        <f>TextJoin(tblEnrolledSubjs[[#This Row],[CSubjID]:[EStudID]],"Value")</f>
        <v>"212","111"</v>
      </c>
      <c r="S866">
        <f>LOOKUP(LOOKUP(tblEnrolledSubjs[[#This Row],[CSubjID]], tblClassSubjs[CSubjID],tblClassSubjs[ClassID]),tblClasses[ClassID],tblClasses[STermID])</f>
        <v>4</v>
      </c>
      <c r="T866" t="str">
        <f>LOOKUP(S866,tblSchoolTerms[STermID],tblSchoolTerms[SemesterID]&amp;" Semester "&amp;tblSchoolTerms[SchoolYear])</f>
        <v>1 Semester S.Y. 2017-2018</v>
      </c>
      <c r="W8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6" t="e">
        <f t="array" ref="Y866">INDEX(tblEnrolledStuds[EStudID],MATCH(tblEnrolledSubjs[[#This Row],[EStudID]]&amp;S866,tblEnrolledStuds[AdmissionStatusID]&amp;tblEnrolledStuds[StudID],0))</f>
        <v>#N/A</v>
      </c>
    </row>
    <row r="867" spans="2:25" x14ac:dyDescent="0.25">
      <c r="B867">
        <v>865</v>
      </c>
      <c r="C867">
        <v>212</v>
      </c>
      <c r="D867">
        <v>113</v>
      </c>
      <c r="P867" t="str">
        <f t="shared" si="17"/>
        <v>(NULL,"212","113"),</v>
      </c>
      <c r="Q867" t="str">
        <f>TextJoin(tblEnrolledSubjs[[#This Row],[CSubjID]:[EStudID]],"Value")</f>
        <v>"212","113"</v>
      </c>
      <c r="S867">
        <f>LOOKUP(LOOKUP(tblEnrolledSubjs[[#This Row],[CSubjID]], tblClassSubjs[CSubjID],tblClassSubjs[ClassID]),tblClasses[ClassID],tblClasses[STermID])</f>
        <v>4</v>
      </c>
      <c r="T867" t="str">
        <f>LOOKUP(S867,tblSchoolTerms[STermID],tblSchoolTerms[SemesterID]&amp;" Semester "&amp;tblSchoolTerms[SchoolYear])</f>
        <v>1 Semester S.Y. 2017-2018</v>
      </c>
      <c r="W8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7" t="e">
        <f t="array" ref="Y867">INDEX(tblEnrolledStuds[EStudID],MATCH(tblEnrolledSubjs[[#This Row],[EStudID]]&amp;S867,tblEnrolledStuds[AdmissionStatusID]&amp;tblEnrolledStuds[StudID],0))</f>
        <v>#N/A</v>
      </c>
    </row>
    <row r="868" spans="2:25" x14ac:dyDescent="0.25">
      <c r="B868">
        <v>866</v>
      </c>
      <c r="C868">
        <v>212</v>
      </c>
      <c r="D868">
        <v>114</v>
      </c>
      <c r="P868" t="str">
        <f t="shared" si="17"/>
        <v>(NULL,"212","114"),</v>
      </c>
      <c r="Q868" t="str">
        <f>TextJoin(tblEnrolledSubjs[[#This Row],[CSubjID]:[EStudID]],"Value")</f>
        <v>"212","114"</v>
      </c>
      <c r="S868">
        <f>LOOKUP(LOOKUP(tblEnrolledSubjs[[#This Row],[CSubjID]], tblClassSubjs[CSubjID],tblClassSubjs[ClassID]),tblClasses[ClassID],tblClasses[STermID])</f>
        <v>4</v>
      </c>
      <c r="T868" t="str">
        <f>LOOKUP(S868,tblSchoolTerms[STermID],tblSchoolTerms[SemesterID]&amp;" Semester "&amp;tblSchoolTerms[SchoolYear])</f>
        <v>1 Semester S.Y. 2017-2018</v>
      </c>
      <c r="W8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8" t="e">
        <f t="array" ref="Y868">INDEX(tblEnrolledStuds[EStudID],MATCH(tblEnrolledSubjs[[#This Row],[EStudID]]&amp;S868,tblEnrolledStuds[AdmissionStatusID]&amp;tblEnrolledStuds[StudID],0))</f>
        <v>#N/A</v>
      </c>
    </row>
    <row r="869" spans="2:25" x14ac:dyDescent="0.25">
      <c r="B869">
        <v>867</v>
      </c>
      <c r="C869">
        <v>212</v>
      </c>
      <c r="D869">
        <v>116</v>
      </c>
      <c r="P869" t="str">
        <f t="shared" si="17"/>
        <v>(NULL,"212","116"),</v>
      </c>
      <c r="Q869" t="str">
        <f>TextJoin(tblEnrolledSubjs[[#This Row],[CSubjID]:[EStudID]],"Value")</f>
        <v>"212","116"</v>
      </c>
      <c r="S869">
        <f>LOOKUP(LOOKUP(tblEnrolledSubjs[[#This Row],[CSubjID]], tblClassSubjs[CSubjID],tblClassSubjs[ClassID]),tblClasses[ClassID],tblClasses[STermID])</f>
        <v>4</v>
      </c>
      <c r="T869" t="str">
        <f>LOOKUP(S869,tblSchoolTerms[STermID],tblSchoolTerms[SemesterID]&amp;" Semester "&amp;tblSchoolTerms[SchoolYear])</f>
        <v>1 Semester S.Y. 2017-2018</v>
      </c>
      <c r="W8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69" t="e">
        <f t="array" ref="Y869">INDEX(tblEnrolledStuds[EStudID],MATCH(tblEnrolledSubjs[[#This Row],[EStudID]]&amp;S869,tblEnrolledStuds[AdmissionStatusID]&amp;tblEnrolledStuds[StudID],0))</f>
        <v>#N/A</v>
      </c>
    </row>
    <row r="870" spans="2:25" x14ac:dyDescent="0.25">
      <c r="B870">
        <v>868</v>
      </c>
      <c r="C870">
        <v>212</v>
      </c>
      <c r="D870">
        <v>118</v>
      </c>
      <c r="P870" t="str">
        <f t="shared" si="17"/>
        <v>(NULL,"212","118"),</v>
      </c>
      <c r="Q870" t="str">
        <f>TextJoin(tblEnrolledSubjs[[#This Row],[CSubjID]:[EStudID]],"Value")</f>
        <v>"212","118"</v>
      </c>
      <c r="S870">
        <f>LOOKUP(LOOKUP(tblEnrolledSubjs[[#This Row],[CSubjID]], tblClassSubjs[CSubjID],tblClassSubjs[ClassID]),tblClasses[ClassID],tblClasses[STermID])</f>
        <v>4</v>
      </c>
      <c r="T870" t="str">
        <f>LOOKUP(S870,tblSchoolTerms[STermID],tblSchoolTerms[SemesterID]&amp;" Semester "&amp;tblSchoolTerms[SchoolYear])</f>
        <v>1 Semester S.Y. 2017-2018</v>
      </c>
      <c r="W8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0" t="e">
        <f t="array" ref="Y870">INDEX(tblEnrolledStuds[EStudID],MATCH(tblEnrolledSubjs[[#This Row],[EStudID]]&amp;S870,tblEnrolledStuds[AdmissionStatusID]&amp;tblEnrolledStuds[StudID],0))</f>
        <v>#N/A</v>
      </c>
    </row>
    <row r="871" spans="2:25" x14ac:dyDescent="0.25">
      <c r="B871">
        <v>869</v>
      </c>
      <c r="C871">
        <v>212</v>
      </c>
      <c r="D871">
        <v>119</v>
      </c>
      <c r="P871" t="str">
        <f t="shared" si="17"/>
        <v>(NULL,"212","119"),</v>
      </c>
      <c r="Q871" t="str">
        <f>TextJoin(tblEnrolledSubjs[[#This Row],[CSubjID]:[EStudID]],"Value")</f>
        <v>"212","119"</v>
      </c>
      <c r="S871">
        <f>LOOKUP(LOOKUP(tblEnrolledSubjs[[#This Row],[CSubjID]], tblClassSubjs[CSubjID],tblClassSubjs[ClassID]),tblClasses[ClassID],tblClasses[STermID])</f>
        <v>4</v>
      </c>
      <c r="T871" t="str">
        <f>LOOKUP(S871,tblSchoolTerms[STermID],tblSchoolTerms[SemesterID]&amp;" Semester "&amp;tblSchoolTerms[SchoolYear])</f>
        <v>1 Semester S.Y. 2017-2018</v>
      </c>
      <c r="W8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1" t="e">
        <f t="array" ref="Y871">INDEX(tblEnrolledStuds[EStudID],MATCH(tblEnrolledSubjs[[#This Row],[EStudID]]&amp;S871,tblEnrolledStuds[AdmissionStatusID]&amp;tblEnrolledStuds[StudID],0))</f>
        <v>#N/A</v>
      </c>
    </row>
    <row r="872" spans="2:25" x14ac:dyDescent="0.25">
      <c r="B872">
        <v>870</v>
      </c>
      <c r="C872">
        <v>212</v>
      </c>
      <c r="D872">
        <v>112</v>
      </c>
      <c r="P872" t="str">
        <f t="shared" si="17"/>
        <v>(NULL,"212","112"),</v>
      </c>
      <c r="Q872" t="str">
        <f>TextJoin(tblEnrolledSubjs[[#This Row],[CSubjID]:[EStudID]],"Value")</f>
        <v>"212","112"</v>
      </c>
      <c r="S872">
        <f>LOOKUP(LOOKUP(tblEnrolledSubjs[[#This Row],[CSubjID]], tblClassSubjs[CSubjID],tblClassSubjs[ClassID]),tblClasses[ClassID],tblClasses[STermID])</f>
        <v>4</v>
      </c>
      <c r="T872" t="str">
        <f>LOOKUP(S872,tblSchoolTerms[STermID],tblSchoolTerms[SemesterID]&amp;" Semester "&amp;tblSchoolTerms[SchoolYear])</f>
        <v>1 Semester S.Y. 2017-2018</v>
      </c>
      <c r="W8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2" t="e">
        <f t="array" ref="Y872">INDEX(tblEnrolledStuds[EStudID],MATCH(tblEnrolledSubjs[[#This Row],[EStudID]]&amp;S872,tblEnrolledStuds[AdmissionStatusID]&amp;tblEnrolledStuds[StudID],0))</f>
        <v>#N/A</v>
      </c>
    </row>
    <row r="873" spans="2:25" x14ac:dyDescent="0.25">
      <c r="B873">
        <v>871</v>
      </c>
      <c r="C873">
        <v>213</v>
      </c>
      <c r="D873">
        <v>106</v>
      </c>
      <c r="P873" t="str">
        <f t="shared" si="17"/>
        <v>(NULL,"213","106"),</v>
      </c>
      <c r="Q873" t="str">
        <f>TextJoin(tblEnrolledSubjs[[#This Row],[CSubjID]:[EStudID]],"Value")</f>
        <v>"213","106"</v>
      </c>
      <c r="S873">
        <f>LOOKUP(LOOKUP(tblEnrolledSubjs[[#This Row],[CSubjID]], tblClassSubjs[CSubjID],tblClassSubjs[ClassID]),tblClasses[ClassID],tblClasses[STermID])</f>
        <v>4</v>
      </c>
      <c r="T873" t="str">
        <f>LOOKUP(S873,tblSchoolTerms[STermID],tblSchoolTerms[SemesterID]&amp;" Semester "&amp;tblSchoolTerms[SchoolYear])</f>
        <v>1 Semester S.Y. 2017-2018</v>
      </c>
      <c r="W8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3" t="e">
        <f t="array" ref="Y873">INDEX(tblEnrolledStuds[EStudID],MATCH(tblEnrolledSubjs[[#This Row],[EStudID]]&amp;S873,tblEnrolledStuds[AdmissionStatusID]&amp;tblEnrolledStuds[StudID],0))</f>
        <v>#N/A</v>
      </c>
    </row>
    <row r="874" spans="2:25" x14ac:dyDescent="0.25">
      <c r="B874">
        <v>872</v>
      </c>
      <c r="C874">
        <v>213</v>
      </c>
      <c r="D874">
        <v>107</v>
      </c>
      <c r="P874" t="str">
        <f t="shared" si="17"/>
        <v>(NULL,"213","107"),</v>
      </c>
      <c r="Q874" t="str">
        <f>TextJoin(tblEnrolledSubjs[[#This Row],[CSubjID]:[EStudID]],"Value")</f>
        <v>"213","107"</v>
      </c>
      <c r="S874">
        <f>LOOKUP(LOOKUP(tblEnrolledSubjs[[#This Row],[CSubjID]], tblClassSubjs[CSubjID],tblClassSubjs[ClassID]),tblClasses[ClassID],tblClasses[STermID])</f>
        <v>4</v>
      </c>
      <c r="T874" t="str">
        <f>LOOKUP(S874,tblSchoolTerms[STermID],tblSchoolTerms[SemesterID]&amp;" Semester "&amp;tblSchoolTerms[SchoolYear])</f>
        <v>1 Semester S.Y. 2017-2018</v>
      </c>
      <c r="W8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4" t="e">
        <f t="array" ref="Y874">INDEX(tblEnrolledStuds[EStudID],MATCH(tblEnrolledSubjs[[#This Row],[EStudID]]&amp;S874,tblEnrolledStuds[AdmissionStatusID]&amp;tblEnrolledStuds[StudID],0))</f>
        <v>#N/A</v>
      </c>
    </row>
    <row r="875" spans="2:25" x14ac:dyDescent="0.25">
      <c r="B875">
        <v>873</v>
      </c>
      <c r="C875">
        <v>213</v>
      </c>
      <c r="D875">
        <v>108</v>
      </c>
      <c r="P875" t="str">
        <f t="shared" si="17"/>
        <v>(NULL,"213","108"),</v>
      </c>
      <c r="Q875" t="str">
        <f>TextJoin(tblEnrolledSubjs[[#This Row],[CSubjID]:[EStudID]],"Value")</f>
        <v>"213","108"</v>
      </c>
      <c r="S875">
        <f>LOOKUP(LOOKUP(tblEnrolledSubjs[[#This Row],[CSubjID]], tblClassSubjs[CSubjID],tblClassSubjs[ClassID]),tblClasses[ClassID],tblClasses[STermID])</f>
        <v>4</v>
      </c>
      <c r="T875" t="str">
        <f>LOOKUP(S875,tblSchoolTerms[STermID],tblSchoolTerms[SemesterID]&amp;" Semester "&amp;tblSchoolTerms[SchoolYear])</f>
        <v>1 Semester S.Y. 2017-2018</v>
      </c>
      <c r="W8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5" t="e">
        <f t="array" ref="Y875">INDEX(tblEnrolledStuds[EStudID],MATCH(tblEnrolledSubjs[[#This Row],[EStudID]]&amp;S875,tblEnrolledStuds[AdmissionStatusID]&amp;tblEnrolledStuds[StudID],0))</f>
        <v>#N/A</v>
      </c>
    </row>
    <row r="876" spans="2:25" x14ac:dyDescent="0.25">
      <c r="B876">
        <v>874</v>
      </c>
      <c r="C876">
        <v>213</v>
      </c>
      <c r="D876">
        <v>110</v>
      </c>
      <c r="P876" t="str">
        <f t="shared" si="17"/>
        <v>(NULL,"213","110"),</v>
      </c>
      <c r="Q876" t="str">
        <f>TextJoin(tblEnrolledSubjs[[#This Row],[CSubjID]:[EStudID]],"Value")</f>
        <v>"213","110"</v>
      </c>
      <c r="S876">
        <f>LOOKUP(LOOKUP(tblEnrolledSubjs[[#This Row],[CSubjID]], tblClassSubjs[CSubjID],tblClassSubjs[ClassID]),tblClasses[ClassID],tblClasses[STermID])</f>
        <v>4</v>
      </c>
      <c r="T876" t="str">
        <f>LOOKUP(S876,tblSchoolTerms[STermID],tblSchoolTerms[SemesterID]&amp;" Semester "&amp;tblSchoolTerms[SchoolYear])</f>
        <v>1 Semester S.Y. 2017-2018</v>
      </c>
      <c r="W8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6" t="e">
        <f t="array" ref="Y876">INDEX(tblEnrolledStuds[EStudID],MATCH(tblEnrolledSubjs[[#This Row],[EStudID]]&amp;S876,tblEnrolledStuds[AdmissionStatusID]&amp;tblEnrolledStuds[StudID],0))</f>
        <v>#N/A</v>
      </c>
    </row>
    <row r="877" spans="2:25" x14ac:dyDescent="0.25">
      <c r="B877">
        <v>875</v>
      </c>
      <c r="C877">
        <v>213</v>
      </c>
      <c r="D877">
        <v>111</v>
      </c>
      <c r="P877" t="str">
        <f t="shared" si="17"/>
        <v>(NULL,"213","111"),</v>
      </c>
      <c r="Q877" t="str">
        <f>TextJoin(tblEnrolledSubjs[[#This Row],[CSubjID]:[EStudID]],"Value")</f>
        <v>"213","111"</v>
      </c>
      <c r="S877">
        <f>LOOKUP(LOOKUP(tblEnrolledSubjs[[#This Row],[CSubjID]], tblClassSubjs[CSubjID],tblClassSubjs[ClassID]),tblClasses[ClassID],tblClasses[STermID])</f>
        <v>4</v>
      </c>
      <c r="T877" t="str">
        <f>LOOKUP(S877,tblSchoolTerms[STermID],tblSchoolTerms[SemesterID]&amp;" Semester "&amp;tblSchoolTerms[SchoolYear])</f>
        <v>1 Semester S.Y. 2017-2018</v>
      </c>
      <c r="W8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7" t="e">
        <f t="array" ref="Y877">INDEX(tblEnrolledStuds[EStudID],MATCH(tblEnrolledSubjs[[#This Row],[EStudID]]&amp;S877,tblEnrolledStuds[AdmissionStatusID]&amp;tblEnrolledStuds[StudID],0))</f>
        <v>#N/A</v>
      </c>
    </row>
    <row r="878" spans="2:25" x14ac:dyDescent="0.25">
      <c r="B878">
        <v>876</v>
      </c>
      <c r="C878">
        <v>213</v>
      </c>
      <c r="D878">
        <v>113</v>
      </c>
      <c r="P878" t="str">
        <f t="shared" si="17"/>
        <v>(NULL,"213","113"),</v>
      </c>
      <c r="Q878" t="str">
        <f>TextJoin(tblEnrolledSubjs[[#This Row],[CSubjID]:[EStudID]],"Value")</f>
        <v>"213","113"</v>
      </c>
      <c r="S878">
        <f>LOOKUP(LOOKUP(tblEnrolledSubjs[[#This Row],[CSubjID]], tblClassSubjs[CSubjID],tblClassSubjs[ClassID]),tblClasses[ClassID],tblClasses[STermID])</f>
        <v>4</v>
      </c>
      <c r="T878" t="str">
        <f>LOOKUP(S878,tblSchoolTerms[STermID],tblSchoolTerms[SemesterID]&amp;" Semester "&amp;tblSchoolTerms[SchoolYear])</f>
        <v>1 Semester S.Y. 2017-2018</v>
      </c>
      <c r="W8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8" t="e">
        <f t="array" ref="Y878">INDEX(tblEnrolledStuds[EStudID],MATCH(tblEnrolledSubjs[[#This Row],[EStudID]]&amp;S878,tblEnrolledStuds[AdmissionStatusID]&amp;tblEnrolledStuds[StudID],0))</f>
        <v>#N/A</v>
      </c>
    </row>
    <row r="879" spans="2:25" x14ac:dyDescent="0.25">
      <c r="B879">
        <v>877</v>
      </c>
      <c r="C879">
        <v>213</v>
      </c>
      <c r="D879">
        <v>114</v>
      </c>
      <c r="P879" t="str">
        <f t="shared" si="17"/>
        <v>(NULL,"213","114"),</v>
      </c>
      <c r="Q879" t="str">
        <f>TextJoin(tblEnrolledSubjs[[#This Row],[CSubjID]:[EStudID]],"Value")</f>
        <v>"213","114"</v>
      </c>
      <c r="S879">
        <f>LOOKUP(LOOKUP(tblEnrolledSubjs[[#This Row],[CSubjID]], tblClassSubjs[CSubjID],tblClassSubjs[ClassID]),tblClasses[ClassID],tblClasses[STermID])</f>
        <v>4</v>
      </c>
      <c r="T879" t="str">
        <f>LOOKUP(S879,tblSchoolTerms[STermID],tblSchoolTerms[SemesterID]&amp;" Semester "&amp;tblSchoolTerms[SchoolYear])</f>
        <v>1 Semester S.Y. 2017-2018</v>
      </c>
      <c r="W8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79" t="e">
        <f t="array" ref="Y879">INDEX(tblEnrolledStuds[EStudID],MATCH(tblEnrolledSubjs[[#This Row],[EStudID]]&amp;S879,tblEnrolledStuds[AdmissionStatusID]&amp;tblEnrolledStuds[StudID],0))</f>
        <v>#N/A</v>
      </c>
    </row>
    <row r="880" spans="2:25" x14ac:dyDescent="0.25">
      <c r="B880">
        <v>878</v>
      </c>
      <c r="C880">
        <v>213</v>
      </c>
      <c r="D880">
        <v>116</v>
      </c>
      <c r="P880" t="str">
        <f t="shared" si="17"/>
        <v>(NULL,"213","116"),</v>
      </c>
      <c r="Q880" t="str">
        <f>TextJoin(tblEnrolledSubjs[[#This Row],[CSubjID]:[EStudID]],"Value")</f>
        <v>"213","116"</v>
      </c>
      <c r="S880">
        <f>LOOKUP(LOOKUP(tblEnrolledSubjs[[#This Row],[CSubjID]], tblClassSubjs[CSubjID],tblClassSubjs[ClassID]),tblClasses[ClassID],tblClasses[STermID])</f>
        <v>4</v>
      </c>
      <c r="T880" t="str">
        <f>LOOKUP(S880,tblSchoolTerms[STermID],tblSchoolTerms[SemesterID]&amp;" Semester "&amp;tblSchoolTerms[SchoolYear])</f>
        <v>1 Semester S.Y. 2017-2018</v>
      </c>
      <c r="W8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0" t="e">
        <f t="array" ref="Y880">INDEX(tblEnrolledStuds[EStudID],MATCH(tblEnrolledSubjs[[#This Row],[EStudID]]&amp;S880,tblEnrolledStuds[AdmissionStatusID]&amp;tblEnrolledStuds[StudID],0))</f>
        <v>#N/A</v>
      </c>
    </row>
    <row r="881" spans="2:25" x14ac:dyDescent="0.25">
      <c r="B881">
        <v>879</v>
      </c>
      <c r="C881">
        <v>213</v>
      </c>
      <c r="D881">
        <v>118</v>
      </c>
      <c r="P881" t="str">
        <f t="shared" si="17"/>
        <v>(NULL,"213","118"),</v>
      </c>
      <c r="Q881" t="str">
        <f>TextJoin(tblEnrolledSubjs[[#This Row],[CSubjID]:[EStudID]],"Value")</f>
        <v>"213","118"</v>
      </c>
      <c r="S881">
        <f>LOOKUP(LOOKUP(tblEnrolledSubjs[[#This Row],[CSubjID]], tblClassSubjs[CSubjID],tblClassSubjs[ClassID]),tblClasses[ClassID],tblClasses[STermID])</f>
        <v>4</v>
      </c>
      <c r="T881" t="str">
        <f>LOOKUP(S881,tblSchoolTerms[STermID],tblSchoolTerms[SemesterID]&amp;" Semester "&amp;tblSchoolTerms[SchoolYear])</f>
        <v>1 Semester S.Y. 2017-2018</v>
      </c>
      <c r="W8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1" t="e">
        <f t="array" ref="Y881">INDEX(tblEnrolledStuds[EStudID],MATCH(tblEnrolledSubjs[[#This Row],[EStudID]]&amp;S881,tblEnrolledStuds[AdmissionStatusID]&amp;tblEnrolledStuds[StudID],0))</f>
        <v>#N/A</v>
      </c>
    </row>
    <row r="882" spans="2:25" x14ac:dyDescent="0.25">
      <c r="B882">
        <v>880</v>
      </c>
      <c r="C882">
        <v>213</v>
      </c>
      <c r="D882">
        <v>119</v>
      </c>
      <c r="P882" t="str">
        <f t="shared" si="17"/>
        <v>(NULL,"213","119"),</v>
      </c>
      <c r="Q882" t="str">
        <f>TextJoin(tblEnrolledSubjs[[#This Row],[CSubjID]:[EStudID]],"Value")</f>
        <v>"213","119"</v>
      </c>
      <c r="S882">
        <f>LOOKUP(LOOKUP(tblEnrolledSubjs[[#This Row],[CSubjID]], tblClassSubjs[CSubjID],tblClassSubjs[ClassID]),tblClasses[ClassID],tblClasses[STermID])</f>
        <v>4</v>
      </c>
      <c r="T882" t="str">
        <f>LOOKUP(S882,tblSchoolTerms[STermID],tblSchoolTerms[SemesterID]&amp;" Semester "&amp;tblSchoolTerms[SchoolYear])</f>
        <v>1 Semester S.Y. 2017-2018</v>
      </c>
      <c r="W8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2" t="e">
        <f t="array" ref="Y882">INDEX(tblEnrolledStuds[EStudID],MATCH(tblEnrolledSubjs[[#This Row],[EStudID]]&amp;S882,tblEnrolledStuds[AdmissionStatusID]&amp;tblEnrolledStuds[StudID],0))</f>
        <v>#N/A</v>
      </c>
    </row>
    <row r="883" spans="2:25" x14ac:dyDescent="0.25">
      <c r="B883">
        <v>881</v>
      </c>
      <c r="C883">
        <v>213</v>
      </c>
      <c r="D883">
        <v>112</v>
      </c>
      <c r="P883" t="str">
        <f t="shared" si="17"/>
        <v>(NULL,"213","112"),</v>
      </c>
      <c r="Q883" t="str">
        <f>TextJoin(tblEnrolledSubjs[[#This Row],[CSubjID]:[EStudID]],"Value")</f>
        <v>"213","112"</v>
      </c>
      <c r="S883">
        <f>LOOKUP(LOOKUP(tblEnrolledSubjs[[#This Row],[CSubjID]], tblClassSubjs[CSubjID],tblClassSubjs[ClassID]),tblClasses[ClassID],tblClasses[STermID])</f>
        <v>4</v>
      </c>
      <c r="T883" t="str">
        <f>LOOKUP(S883,tblSchoolTerms[STermID],tblSchoolTerms[SemesterID]&amp;" Semester "&amp;tblSchoolTerms[SchoolYear])</f>
        <v>1 Semester S.Y. 2017-2018</v>
      </c>
      <c r="W8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3" t="e">
        <f t="array" ref="Y883">INDEX(tblEnrolledStuds[EStudID],MATCH(tblEnrolledSubjs[[#This Row],[EStudID]]&amp;S883,tblEnrolledStuds[AdmissionStatusID]&amp;tblEnrolledStuds[StudID],0))</f>
        <v>#N/A</v>
      </c>
    </row>
    <row r="884" spans="2:25" x14ac:dyDescent="0.25">
      <c r="B884">
        <v>882</v>
      </c>
      <c r="C884">
        <v>214</v>
      </c>
      <c r="D884">
        <v>106</v>
      </c>
      <c r="P884" t="str">
        <f t="shared" si="17"/>
        <v>(NULL,"214","106"),</v>
      </c>
      <c r="Q884" t="str">
        <f>TextJoin(tblEnrolledSubjs[[#This Row],[CSubjID]:[EStudID]],"Value")</f>
        <v>"214","106"</v>
      </c>
      <c r="S884">
        <f>LOOKUP(LOOKUP(tblEnrolledSubjs[[#This Row],[CSubjID]], tblClassSubjs[CSubjID],tblClassSubjs[ClassID]),tblClasses[ClassID],tblClasses[STermID])</f>
        <v>4</v>
      </c>
      <c r="T884" t="str">
        <f>LOOKUP(S884,tblSchoolTerms[STermID],tblSchoolTerms[SemesterID]&amp;" Semester "&amp;tblSchoolTerms[SchoolYear])</f>
        <v>1 Semester S.Y. 2017-2018</v>
      </c>
      <c r="W8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4" t="e">
        <f t="array" ref="Y884">INDEX(tblEnrolledStuds[EStudID],MATCH(tblEnrolledSubjs[[#This Row],[EStudID]]&amp;S884,tblEnrolledStuds[AdmissionStatusID]&amp;tblEnrolledStuds[StudID],0))</f>
        <v>#N/A</v>
      </c>
    </row>
    <row r="885" spans="2:25" x14ac:dyDescent="0.25">
      <c r="B885">
        <v>883</v>
      </c>
      <c r="C885">
        <v>214</v>
      </c>
      <c r="D885">
        <v>107</v>
      </c>
      <c r="P885" t="str">
        <f t="shared" si="17"/>
        <v>(NULL,"214","107"),</v>
      </c>
      <c r="Q885" t="str">
        <f>TextJoin(tblEnrolledSubjs[[#This Row],[CSubjID]:[EStudID]],"Value")</f>
        <v>"214","107"</v>
      </c>
      <c r="S885">
        <f>LOOKUP(LOOKUP(tblEnrolledSubjs[[#This Row],[CSubjID]], tblClassSubjs[CSubjID],tblClassSubjs[ClassID]),tblClasses[ClassID],tblClasses[STermID])</f>
        <v>4</v>
      </c>
      <c r="T885" t="str">
        <f>LOOKUP(S885,tblSchoolTerms[STermID],tblSchoolTerms[SemesterID]&amp;" Semester "&amp;tblSchoolTerms[SchoolYear])</f>
        <v>1 Semester S.Y. 2017-2018</v>
      </c>
      <c r="W8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5" t="e">
        <f t="array" ref="Y885">INDEX(tblEnrolledStuds[EStudID],MATCH(tblEnrolledSubjs[[#This Row],[EStudID]]&amp;S885,tblEnrolledStuds[AdmissionStatusID]&amp;tblEnrolledStuds[StudID],0))</f>
        <v>#N/A</v>
      </c>
    </row>
    <row r="886" spans="2:25" x14ac:dyDescent="0.25">
      <c r="B886">
        <v>884</v>
      </c>
      <c r="C886">
        <v>214</v>
      </c>
      <c r="D886">
        <v>108</v>
      </c>
      <c r="P886" t="str">
        <f t="shared" si="17"/>
        <v>(NULL,"214","108"),</v>
      </c>
      <c r="Q886" t="str">
        <f>TextJoin(tblEnrolledSubjs[[#This Row],[CSubjID]:[EStudID]],"Value")</f>
        <v>"214","108"</v>
      </c>
      <c r="S886">
        <f>LOOKUP(LOOKUP(tblEnrolledSubjs[[#This Row],[CSubjID]], tblClassSubjs[CSubjID],tblClassSubjs[ClassID]),tblClasses[ClassID],tblClasses[STermID])</f>
        <v>4</v>
      </c>
      <c r="T886" t="str">
        <f>LOOKUP(S886,tblSchoolTerms[STermID],tblSchoolTerms[SemesterID]&amp;" Semester "&amp;tblSchoolTerms[SchoolYear])</f>
        <v>1 Semester S.Y. 2017-2018</v>
      </c>
      <c r="W8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6" t="e">
        <f t="array" ref="Y886">INDEX(tblEnrolledStuds[EStudID],MATCH(tblEnrolledSubjs[[#This Row],[EStudID]]&amp;S886,tblEnrolledStuds[AdmissionStatusID]&amp;tblEnrolledStuds[StudID],0))</f>
        <v>#N/A</v>
      </c>
    </row>
    <row r="887" spans="2:25" x14ac:dyDescent="0.25">
      <c r="B887">
        <v>885</v>
      </c>
      <c r="C887">
        <v>214</v>
      </c>
      <c r="D887">
        <v>110</v>
      </c>
      <c r="P887" t="str">
        <f t="shared" si="17"/>
        <v>(NULL,"214","110"),</v>
      </c>
      <c r="Q887" t="str">
        <f>TextJoin(tblEnrolledSubjs[[#This Row],[CSubjID]:[EStudID]],"Value")</f>
        <v>"214","110"</v>
      </c>
      <c r="S887">
        <f>LOOKUP(LOOKUP(tblEnrolledSubjs[[#This Row],[CSubjID]], tblClassSubjs[CSubjID],tblClassSubjs[ClassID]),tblClasses[ClassID],tblClasses[STermID])</f>
        <v>4</v>
      </c>
      <c r="T887" t="str">
        <f>LOOKUP(S887,tblSchoolTerms[STermID],tblSchoolTerms[SemesterID]&amp;" Semester "&amp;tblSchoolTerms[SchoolYear])</f>
        <v>1 Semester S.Y. 2017-2018</v>
      </c>
      <c r="W8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7" t="e">
        <f t="array" ref="Y887">INDEX(tblEnrolledStuds[EStudID],MATCH(tblEnrolledSubjs[[#This Row],[EStudID]]&amp;S887,tblEnrolledStuds[AdmissionStatusID]&amp;tblEnrolledStuds[StudID],0))</f>
        <v>#N/A</v>
      </c>
    </row>
    <row r="888" spans="2:25" x14ac:dyDescent="0.25">
      <c r="B888">
        <v>886</v>
      </c>
      <c r="C888">
        <v>214</v>
      </c>
      <c r="D888">
        <v>111</v>
      </c>
      <c r="P888" t="str">
        <f t="shared" si="17"/>
        <v>(NULL,"214","111"),</v>
      </c>
      <c r="Q888" t="str">
        <f>TextJoin(tblEnrolledSubjs[[#This Row],[CSubjID]:[EStudID]],"Value")</f>
        <v>"214","111"</v>
      </c>
      <c r="S888">
        <f>LOOKUP(LOOKUP(tblEnrolledSubjs[[#This Row],[CSubjID]], tblClassSubjs[CSubjID],tblClassSubjs[ClassID]),tblClasses[ClassID],tblClasses[STermID])</f>
        <v>4</v>
      </c>
      <c r="T888" t="str">
        <f>LOOKUP(S888,tblSchoolTerms[STermID],tblSchoolTerms[SemesterID]&amp;" Semester "&amp;tblSchoolTerms[SchoolYear])</f>
        <v>1 Semester S.Y. 2017-2018</v>
      </c>
      <c r="W8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8" t="e">
        <f t="array" ref="Y888">INDEX(tblEnrolledStuds[EStudID],MATCH(tblEnrolledSubjs[[#This Row],[EStudID]]&amp;S888,tblEnrolledStuds[AdmissionStatusID]&amp;tblEnrolledStuds[StudID],0))</f>
        <v>#N/A</v>
      </c>
    </row>
    <row r="889" spans="2:25" x14ac:dyDescent="0.25">
      <c r="B889">
        <v>887</v>
      </c>
      <c r="C889">
        <v>214</v>
      </c>
      <c r="D889">
        <v>113</v>
      </c>
      <c r="P889" t="str">
        <f t="shared" si="17"/>
        <v>(NULL,"214","113"),</v>
      </c>
      <c r="Q889" t="str">
        <f>TextJoin(tblEnrolledSubjs[[#This Row],[CSubjID]:[EStudID]],"Value")</f>
        <v>"214","113"</v>
      </c>
      <c r="S889">
        <f>LOOKUP(LOOKUP(tblEnrolledSubjs[[#This Row],[CSubjID]], tblClassSubjs[CSubjID],tblClassSubjs[ClassID]),tblClasses[ClassID],tblClasses[STermID])</f>
        <v>4</v>
      </c>
      <c r="T889" t="str">
        <f>LOOKUP(S889,tblSchoolTerms[STermID],tblSchoolTerms[SemesterID]&amp;" Semester "&amp;tblSchoolTerms[SchoolYear])</f>
        <v>1 Semester S.Y. 2017-2018</v>
      </c>
      <c r="W8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89" t="e">
        <f t="array" ref="Y889">INDEX(tblEnrolledStuds[EStudID],MATCH(tblEnrolledSubjs[[#This Row],[EStudID]]&amp;S889,tblEnrolledStuds[AdmissionStatusID]&amp;tblEnrolledStuds[StudID],0))</f>
        <v>#N/A</v>
      </c>
    </row>
    <row r="890" spans="2:25" x14ac:dyDescent="0.25">
      <c r="B890">
        <v>888</v>
      </c>
      <c r="C890">
        <v>214</v>
      </c>
      <c r="D890">
        <v>114</v>
      </c>
      <c r="P890" t="str">
        <f t="shared" si="17"/>
        <v>(NULL,"214","114"),</v>
      </c>
      <c r="Q890" t="str">
        <f>TextJoin(tblEnrolledSubjs[[#This Row],[CSubjID]:[EStudID]],"Value")</f>
        <v>"214","114"</v>
      </c>
      <c r="S890">
        <f>LOOKUP(LOOKUP(tblEnrolledSubjs[[#This Row],[CSubjID]], tblClassSubjs[CSubjID],tblClassSubjs[ClassID]),tblClasses[ClassID],tblClasses[STermID])</f>
        <v>4</v>
      </c>
      <c r="T890" t="str">
        <f>LOOKUP(S890,tblSchoolTerms[STermID],tblSchoolTerms[SemesterID]&amp;" Semester "&amp;tblSchoolTerms[SchoolYear])</f>
        <v>1 Semester S.Y. 2017-2018</v>
      </c>
      <c r="W8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0" t="e">
        <f t="array" ref="Y890">INDEX(tblEnrolledStuds[EStudID],MATCH(tblEnrolledSubjs[[#This Row],[EStudID]]&amp;S890,tblEnrolledStuds[AdmissionStatusID]&amp;tblEnrolledStuds[StudID],0))</f>
        <v>#N/A</v>
      </c>
    </row>
    <row r="891" spans="2:25" x14ac:dyDescent="0.25">
      <c r="B891">
        <v>889</v>
      </c>
      <c r="C891">
        <v>214</v>
      </c>
      <c r="D891">
        <v>116</v>
      </c>
      <c r="P891" t="str">
        <f t="shared" si="17"/>
        <v>(NULL,"214","116"),</v>
      </c>
      <c r="Q891" t="str">
        <f>TextJoin(tblEnrolledSubjs[[#This Row],[CSubjID]:[EStudID]],"Value")</f>
        <v>"214","116"</v>
      </c>
      <c r="S891">
        <f>LOOKUP(LOOKUP(tblEnrolledSubjs[[#This Row],[CSubjID]], tblClassSubjs[CSubjID],tblClassSubjs[ClassID]),tblClasses[ClassID],tblClasses[STermID])</f>
        <v>4</v>
      </c>
      <c r="T891" t="str">
        <f>LOOKUP(S891,tblSchoolTerms[STermID],tblSchoolTerms[SemesterID]&amp;" Semester "&amp;tblSchoolTerms[SchoolYear])</f>
        <v>1 Semester S.Y. 2017-2018</v>
      </c>
      <c r="W8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1" t="e">
        <f t="array" ref="Y891">INDEX(tblEnrolledStuds[EStudID],MATCH(tblEnrolledSubjs[[#This Row],[EStudID]]&amp;S891,tblEnrolledStuds[AdmissionStatusID]&amp;tblEnrolledStuds[StudID],0))</f>
        <v>#N/A</v>
      </c>
    </row>
    <row r="892" spans="2:25" x14ac:dyDescent="0.25">
      <c r="B892">
        <v>890</v>
      </c>
      <c r="C892">
        <v>214</v>
      </c>
      <c r="D892">
        <v>118</v>
      </c>
      <c r="P892" t="str">
        <f t="shared" si="17"/>
        <v>(NULL,"214","118"),</v>
      </c>
      <c r="Q892" t="str">
        <f>TextJoin(tblEnrolledSubjs[[#This Row],[CSubjID]:[EStudID]],"Value")</f>
        <v>"214","118"</v>
      </c>
      <c r="S892">
        <f>LOOKUP(LOOKUP(tblEnrolledSubjs[[#This Row],[CSubjID]], tblClassSubjs[CSubjID],tblClassSubjs[ClassID]),tblClasses[ClassID],tblClasses[STermID])</f>
        <v>4</v>
      </c>
      <c r="T892" t="str">
        <f>LOOKUP(S892,tblSchoolTerms[STermID],tblSchoolTerms[SemesterID]&amp;" Semester "&amp;tblSchoolTerms[SchoolYear])</f>
        <v>1 Semester S.Y. 2017-2018</v>
      </c>
      <c r="W8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2" t="e">
        <f t="array" ref="Y892">INDEX(tblEnrolledStuds[EStudID],MATCH(tblEnrolledSubjs[[#This Row],[EStudID]]&amp;S892,tblEnrolledStuds[AdmissionStatusID]&amp;tblEnrolledStuds[StudID],0))</f>
        <v>#N/A</v>
      </c>
    </row>
    <row r="893" spans="2:25" x14ac:dyDescent="0.25">
      <c r="B893">
        <v>891</v>
      </c>
      <c r="C893">
        <v>214</v>
      </c>
      <c r="D893">
        <v>119</v>
      </c>
      <c r="P893" t="str">
        <f t="shared" si="17"/>
        <v>(NULL,"214","119"),</v>
      </c>
      <c r="Q893" t="str">
        <f>TextJoin(tblEnrolledSubjs[[#This Row],[CSubjID]:[EStudID]],"Value")</f>
        <v>"214","119"</v>
      </c>
      <c r="S893">
        <f>LOOKUP(LOOKUP(tblEnrolledSubjs[[#This Row],[CSubjID]], tblClassSubjs[CSubjID],tblClassSubjs[ClassID]),tblClasses[ClassID],tblClasses[STermID])</f>
        <v>4</v>
      </c>
      <c r="T893" t="str">
        <f>LOOKUP(S893,tblSchoolTerms[STermID],tblSchoolTerms[SemesterID]&amp;" Semester "&amp;tblSchoolTerms[SchoolYear])</f>
        <v>1 Semester S.Y. 2017-2018</v>
      </c>
      <c r="W8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3" t="e">
        <f t="array" ref="Y893">INDEX(tblEnrolledStuds[EStudID],MATCH(tblEnrolledSubjs[[#This Row],[EStudID]]&amp;S893,tblEnrolledStuds[AdmissionStatusID]&amp;tblEnrolledStuds[StudID],0))</f>
        <v>#N/A</v>
      </c>
    </row>
    <row r="894" spans="2:25" x14ac:dyDescent="0.25">
      <c r="B894">
        <v>892</v>
      </c>
      <c r="C894">
        <v>214</v>
      </c>
      <c r="D894">
        <v>112</v>
      </c>
      <c r="P894" t="str">
        <f t="shared" si="17"/>
        <v>(NULL,"214","112"),</v>
      </c>
      <c r="Q894" t="str">
        <f>TextJoin(tblEnrolledSubjs[[#This Row],[CSubjID]:[EStudID]],"Value")</f>
        <v>"214","112"</v>
      </c>
      <c r="S894">
        <f>LOOKUP(LOOKUP(tblEnrolledSubjs[[#This Row],[CSubjID]], tblClassSubjs[CSubjID],tblClassSubjs[ClassID]),tblClasses[ClassID],tblClasses[STermID])</f>
        <v>4</v>
      </c>
      <c r="T894" t="str">
        <f>LOOKUP(S894,tblSchoolTerms[STermID],tblSchoolTerms[SemesterID]&amp;" Semester "&amp;tblSchoolTerms[SchoolYear])</f>
        <v>1 Semester S.Y. 2017-2018</v>
      </c>
      <c r="W8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4" t="e">
        <f t="array" ref="Y894">INDEX(tblEnrolledStuds[EStudID],MATCH(tblEnrolledSubjs[[#This Row],[EStudID]]&amp;S894,tblEnrolledStuds[AdmissionStatusID]&amp;tblEnrolledStuds[StudID],0))</f>
        <v>#N/A</v>
      </c>
    </row>
    <row r="895" spans="2:25" x14ac:dyDescent="0.25">
      <c r="B895">
        <v>893</v>
      </c>
      <c r="C895">
        <v>215</v>
      </c>
      <c r="D895">
        <v>106</v>
      </c>
      <c r="P895" t="str">
        <f t="shared" si="17"/>
        <v>(NULL,"215","106"),</v>
      </c>
      <c r="Q895" t="str">
        <f>TextJoin(tblEnrolledSubjs[[#This Row],[CSubjID]:[EStudID]],"Value")</f>
        <v>"215","106"</v>
      </c>
      <c r="S895">
        <f>LOOKUP(LOOKUP(tblEnrolledSubjs[[#This Row],[CSubjID]], tblClassSubjs[CSubjID],tblClassSubjs[ClassID]),tblClasses[ClassID],tblClasses[STermID])</f>
        <v>4</v>
      </c>
      <c r="T895" t="str">
        <f>LOOKUP(S895,tblSchoolTerms[STermID],tblSchoolTerms[SemesterID]&amp;" Semester "&amp;tblSchoolTerms[SchoolYear])</f>
        <v>1 Semester S.Y. 2017-2018</v>
      </c>
      <c r="W8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5" t="e">
        <f t="array" ref="Y895">INDEX(tblEnrolledStuds[EStudID],MATCH(tblEnrolledSubjs[[#This Row],[EStudID]]&amp;S895,tblEnrolledStuds[AdmissionStatusID]&amp;tblEnrolledStuds[StudID],0))</f>
        <v>#N/A</v>
      </c>
    </row>
    <row r="896" spans="2:25" x14ac:dyDescent="0.25">
      <c r="B896">
        <v>894</v>
      </c>
      <c r="C896">
        <v>215</v>
      </c>
      <c r="D896">
        <v>107</v>
      </c>
      <c r="P896" t="str">
        <f t="shared" si="17"/>
        <v>(NULL,"215","107"),</v>
      </c>
      <c r="Q896" t="str">
        <f>TextJoin(tblEnrolledSubjs[[#This Row],[CSubjID]:[EStudID]],"Value")</f>
        <v>"215","107"</v>
      </c>
      <c r="S896">
        <f>LOOKUP(LOOKUP(tblEnrolledSubjs[[#This Row],[CSubjID]], tblClassSubjs[CSubjID],tblClassSubjs[ClassID]),tblClasses[ClassID],tblClasses[STermID])</f>
        <v>4</v>
      </c>
      <c r="T896" t="str">
        <f>LOOKUP(S896,tblSchoolTerms[STermID],tblSchoolTerms[SemesterID]&amp;" Semester "&amp;tblSchoolTerms[SchoolYear])</f>
        <v>1 Semester S.Y. 2017-2018</v>
      </c>
      <c r="W8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6" t="e">
        <f t="array" ref="Y896">INDEX(tblEnrolledStuds[EStudID],MATCH(tblEnrolledSubjs[[#This Row],[EStudID]]&amp;S896,tblEnrolledStuds[AdmissionStatusID]&amp;tblEnrolledStuds[StudID],0))</f>
        <v>#N/A</v>
      </c>
    </row>
    <row r="897" spans="2:25" x14ac:dyDescent="0.25">
      <c r="B897">
        <v>895</v>
      </c>
      <c r="C897">
        <v>215</v>
      </c>
      <c r="D897">
        <v>108</v>
      </c>
      <c r="P897" t="str">
        <f t="shared" si="17"/>
        <v>(NULL,"215","108"),</v>
      </c>
      <c r="Q897" t="str">
        <f>TextJoin(tblEnrolledSubjs[[#This Row],[CSubjID]:[EStudID]],"Value")</f>
        <v>"215","108"</v>
      </c>
      <c r="S897">
        <f>LOOKUP(LOOKUP(tblEnrolledSubjs[[#This Row],[CSubjID]], tblClassSubjs[CSubjID],tblClassSubjs[ClassID]),tblClasses[ClassID],tblClasses[STermID])</f>
        <v>4</v>
      </c>
      <c r="T897" t="str">
        <f>LOOKUP(S897,tblSchoolTerms[STermID],tblSchoolTerms[SemesterID]&amp;" Semester "&amp;tblSchoolTerms[SchoolYear])</f>
        <v>1 Semester S.Y. 2017-2018</v>
      </c>
      <c r="W8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7" t="e">
        <f t="array" ref="Y897">INDEX(tblEnrolledStuds[EStudID],MATCH(tblEnrolledSubjs[[#This Row],[EStudID]]&amp;S897,tblEnrolledStuds[AdmissionStatusID]&amp;tblEnrolledStuds[StudID],0))</f>
        <v>#N/A</v>
      </c>
    </row>
    <row r="898" spans="2:25" x14ac:dyDescent="0.25">
      <c r="B898">
        <v>896</v>
      </c>
      <c r="C898">
        <v>215</v>
      </c>
      <c r="D898">
        <v>110</v>
      </c>
      <c r="P898" t="str">
        <f t="shared" si="17"/>
        <v>(NULL,"215","110"),</v>
      </c>
      <c r="Q898" t="str">
        <f>TextJoin(tblEnrolledSubjs[[#This Row],[CSubjID]:[EStudID]],"Value")</f>
        <v>"215","110"</v>
      </c>
      <c r="S898">
        <f>LOOKUP(LOOKUP(tblEnrolledSubjs[[#This Row],[CSubjID]], tblClassSubjs[CSubjID],tblClassSubjs[ClassID]),tblClasses[ClassID],tblClasses[STermID])</f>
        <v>4</v>
      </c>
      <c r="T898" t="str">
        <f>LOOKUP(S898,tblSchoolTerms[STermID],tblSchoolTerms[SemesterID]&amp;" Semester "&amp;tblSchoolTerms[SchoolYear])</f>
        <v>1 Semester S.Y. 2017-2018</v>
      </c>
      <c r="W8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8" t="e">
        <f t="array" ref="Y898">INDEX(tblEnrolledStuds[EStudID],MATCH(tblEnrolledSubjs[[#This Row],[EStudID]]&amp;S898,tblEnrolledStuds[AdmissionStatusID]&amp;tblEnrolledStuds[StudID],0))</f>
        <v>#N/A</v>
      </c>
    </row>
    <row r="899" spans="2:25" x14ac:dyDescent="0.25">
      <c r="B899">
        <v>897</v>
      </c>
      <c r="C899">
        <v>215</v>
      </c>
      <c r="D899">
        <v>111</v>
      </c>
      <c r="P899" t="str">
        <f t="shared" si="17"/>
        <v>(NULL,"215","111"),</v>
      </c>
      <c r="Q899" t="str">
        <f>TextJoin(tblEnrolledSubjs[[#This Row],[CSubjID]:[EStudID]],"Value")</f>
        <v>"215","111"</v>
      </c>
      <c r="S899">
        <f>LOOKUP(LOOKUP(tblEnrolledSubjs[[#This Row],[CSubjID]], tblClassSubjs[CSubjID],tblClassSubjs[ClassID]),tblClasses[ClassID],tblClasses[STermID])</f>
        <v>4</v>
      </c>
      <c r="T899" t="str">
        <f>LOOKUP(S899,tblSchoolTerms[STermID],tblSchoolTerms[SemesterID]&amp;" Semester "&amp;tblSchoolTerms[SchoolYear])</f>
        <v>1 Semester S.Y. 2017-2018</v>
      </c>
      <c r="W8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899" t="e">
        <f t="array" ref="Y899">INDEX(tblEnrolledStuds[EStudID],MATCH(tblEnrolledSubjs[[#This Row],[EStudID]]&amp;S899,tblEnrolledStuds[AdmissionStatusID]&amp;tblEnrolledStuds[StudID],0))</f>
        <v>#N/A</v>
      </c>
    </row>
    <row r="900" spans="2:25" x14ac:dyDescent="0.25">
      <c r="B900">
        <v>898</v>
      </c>
      <c r="C900">
        <v>215</v>
      </c>
      <c r="D900">
        <v>113</v>
      </c>
      <c r="P900" t="str">
        <f t="shared" ref="P900:P963" si="18">"(NULL,"&amp;Q900&amp;")"&amp;IF(P901&lt;&gt;"",",",";")</f>
        <v>(NULL,"215","113"),</v>
      </c>
      <c r="Q900" t="str">
        <f>TextJoin(tblEnrolledSubjs[[#This Row],[CSubjID]:[EStudID]],"Value")</f>
        <v>"215","113"</v>
      </c>
      <c r="S900">
        <f>LOOKUP(LOOKUP(tblEnrolledSubjs[[#This Row],[CSubjID]], tblClassSubjs[CSubjID],tblClassSubjs[ClassID]),tblClasses[ClassID],tblClasses[STermID])</f>
        <v>4</v>
      </c>
      <c r="T900" t="str">
        <f>LOOKUP(S900,tblSchoolTerms[STermID],tblSchoolTerms[SemesterID]&amp;" Semester "&amp;tblSchoolTerms[SchoolYear])</f>
        <v>1 Semester S.Y. 2017-2018</v>
      </c>
      <c r="W9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0" t="e">
        <f t="array" ref="Y900">INDEX(tblEnrolledStuds[EStudID],MATCH(tblEnrolledSubjs[[#This Row],[EStudID]]&amp;S900,tblEnrolledStuds[AdmissionStatusID]&amp;tblEnrolledStuds[StudID],0))</f>
        <v>#N/A</v>
      </c>
    </row>
    <row r="901" spans="2:25" x14ac:dyDescent="0.25">
      <c r="B901">
        <v>899</v>
      </c>
      <c r="C901">
        <v>215</v>
      </c>
      <c r="D901">
        <v>114</v>
      </c>
      <c r="P901" t="str">
        <f t="shared" si="18"/>
        <v>(NULL,"215","114"),</v>
      </c>
      <c r="Q901" t="str">
        <f>TextJoin(tblEnrolledSubjs[[#This Row],[CSubjID]:[EStudID]],"Value")</f>
        <v>"215","114"</v>
      </c>
      <c r="S901">
        <f>LOOKUP(LOOKUP(tblEnrolledSubjs[[#This Row],[CSubjID]], tblClassSubjs[CSubjID],tblClassSubjs[ClassID]),tblClasses[ClassID],tblClasses[STermID])</f>
        <v>4</v>
      </c>
      <c r="T901" t="str">
        <f>LOOKUP(S901,tblSchoolTerms[STermID],tblSchoolTerms[SemesterID]&amp;" Semester "&amp;tblSchoolTerms[SchoolYear])</f>
        <v>1 Semester S.Y. 2017-2018</v>
      </c>
      <c r="W9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1" t="e">
        <f t="array" ref="Y901">INDEX(tblEnrolledStuds[EStudID],MATCH(tblEnrolledSubjs[[#This Row],[EStudID]]&amp;S901,tblEnrolledStuds[AdmissionStatusID]&amp;tblEnrolledStuds[StudID],0))</f>
        <v>#N/A</v>
      </c>
    </row>
    <row r="902" spans="2:25" x14ac:dyDescent="0.25">
      <c r="B902">
        <v>900</v>
      </c>
      <c r="C902">
        <v>215</v>
      </c>
      <c r="D902">
        <v>116</v>
      </c>
      <c r="P902" t="str">
        <f t="shared" si="18"/>
        <v>(NULL,"215","116"),</v>
      </c>
      <c r="Q902" t="str">
        <f>TextJoin(tblEnrolledSubjs[[#This Row],[CSubjID]:[EStudID]],"Value")</f>
        <v>"215","116"</v>
      </c>
      <c r="S902">
        <f>LOOKUP(LOOKUP(tblEnrolledSubjs[[#This Row],[CSubjID]], tblClassSubjs[CSubjID],tblClassSubjs[ClassID]),tblClasses[ClassID],tblClasses[STermID])</f>
        <v>4</v>
      </c>
      <c r="T902" t="str">
        <f>LOOKUP(S902,tblSchoolTerms[STermID],tblSchoolTerms[SemesterID]&amp;" Semester "&amp;tblSchoolTerms[SchoolYear])</f>
        <v>1 Semester S.Y. 2017-2018</v>
      </c>
      <c r="W9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2" t="e">
        <f t="array" ref="Y902">INDEX(tblEnrolledStuds[EStudID],MATCH(tblEnrolledSubjs[[#This Row],[EStudID]]&amp;S902,tblEnrolledStuds[AdmissionStatusID]&amp;tblEnrolledStuds[StudID],0))</f>
        <v>#N/A</v>
      </c>
    </row>
    <row r="903" spans="2:25" x14ac:dyDescent="0.25">
      <c r="B903">
        <v>901</v>
      </c>
      <c r="C903">
        <v>215</v>
      </c>
      <c r="D903">
        <v>118</v>
      </c>
      <c r="P903" t="str">
        <f t="shared" si="18"/>
        <v>(NULL,"215","118"),</v>
      </c>
      <c r="Q903" t="str">
        <f>TextJoin(tblEnrolledSubjs[[#This Row],[CSubjID]:[EStudID]],"Value")</f>
        <v>"215","118"</v>
      </c>
      <c r="S903">
        <f>LOOKUP(LOOKUP(tblEnrolledSubjs[[#This Row],[CSubjID]], tblClassSubjs[CSubjID],tblClassSubjs[ClassID]),tblClasses[ClassID],tblClasses[STermID])</f>
        <v>4</v>
      </c>
      <c r="T903" t="str">
        <f>LOOKUP(S903,tblSchoolTerms[STermID],tblSchoolTerms[SemesterID]&amp;" Semester "&amp;tblSchoolTerms[SchoolYear])</f>
        <v>1 Semester S.Y. 2017-2018</v>
      </c>
      <c r="W9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3" t="e">
        <f t="array" ref="Y903">INDEX(tblEnrolledStuds[EStudID],MATCH(tblEnrolledSubjs[[#This Row],[EStudID]]&amp;S903,tblEnrolledStuds[AdmissionStatusID]&amp;tblEnrolledStuds[StudID],0))</f>
        <v>#N/A</v>
      </c>
    </row>
    <row r="904" spans="2:25" x14ac:dyDescent="0.25">
      <c r="B904">
        <v>902</v>
      </c>
      <c r="C904">
        <v>215</v>
      </c>
      <c r="D904">
        <v>119</v>
      </c>
      <c r="P904" t="str">
        <f t="shared" si="18"/>
        <v>(NULL,"215","119"),</v>
      </c>
      <c r="Q904" t="str">
        <f>TextJoin(tblEnrolledSubjs[[#This Row],[CSubjID]:[EStudID]],"Value")</f>
        <v>"215","119"</v>
      </c>
      <c r="S904">
        <f>LOOKUP(LOOKUP(tblEnrolledSubjs[[#This Row],[CSubjID]], tblClassSubjs[CSubjID],tblClassSubjs[ClassID]),tblClasses[ClassID],tblClasses[STermID])</f>
        <v>4</v>
      </c>
      <c r="T904" t="str">
        <f>LOOKUP(S904,tblSchoolTerms[STermID],tblSchoolTerms[SemesterID]&amp;" Semester "&amp;tblSchoolTerms[SchoolYear])</f>
        <v>1 Semester S.Y. 2017-2018</v>
      </c>
      <c r="W9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4" t="e">
        <f t="array" ref="Y904">INDEX(tblEnrolledStuds[EStudID],MATCH(tblEnrolledSubjs[[#This Row],[EStudID]]&amp;S904,tblEnrolledStuds[AdmissionStatusID]&amp;tblEnrolledStuds[StudID],0))</f>
        <v>#N/A</v>
      </c>
    </row>
    <row r="905" spans="2:25" x14ac:dyDescent="0.25">
      <c r="B905">
        <v>903</v>
      </c>
      <c r="C905">
        <v>215</v>
      </c>
      <c r="D905">
        <v>112</v>
      </c>
      <c r="P905" t="str">
        <f t="shared" si="18"/>
        <v>(NULL,"215","112"),</v>
      </c>
      <c r="Q905" t="str">
        <f>TextJoin(tblEnrolledSubjs[[#This Row],[CSubjID]:[EStudID]],"Value")</f>
        <v>"215","112"</v>
      </c>
      <c r="S905">
        <f>LOOKUP(LOOKUP(tblEnrolledSubjs[[#This Row],[CSubjID]], tblClassSubjs[CSubjID],tblClassSubjs[ClassID]),tblClasses[ClassID],tblClasses[STermID])</f>
        <v>4</v>
      </c>
      <c r="T905" t="str">
        <f>LOOKUP(S905,tblSchoolTerms[STermID],tblSchoolTerms[SemesterID]&amp;" Semester "&amp;tblSchoolTerms[SchoolYear])</f>
        <v>1 Semester S.Y. 2017-2018</v>
      </c>
      <c r="W9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5" t="e">
        <f t="array" ref="Y905">INDEX(tblEnrolledStuds[EStudID],MATCH(tblEnrolledSubjs[[#This Row],[EStudID]]&amp;S905,tblEnrolledStuds[AdmissionStatusID]&amp;tblEnrolledStuds[StudID],0))</f>
        <v>#N/A</v>
      </c>
    </row>
    <row r="906" spans="2:25" x14ac:dyDescent="0.25">
      <c r="B906">
        <v>904</v>
      </c>
      <c r="C906">
        <v>231</v>
      </c>
      <c r="D906" s="22">
        <v>109</v>
      </c>
      <c r="F906" s="28"/>
      <c r="P906" t="str">
        <f t="shared" si="18"/>
        <v>(NULL,"231","109"),</v>
      </c>
      <c r="Q906" t="str">
        <f>TextJoin(tblEnrolledSubjs[[#This Row],[CSubjID]:[EStudID]],"Value")</f>
        <v>"231","109"</v>
      </c>
      <c r="S906">
        <f>LOOKUP(LOOKUP(tblEnrolledSubjs[[#This Row],[CSubjID]], tblClassSubjs[CSubjID],tblClassSubjs[ClassID]),tblClasses[ClassID],tblClasses[STermID])</f>
        <v>4</v>
      </c>
      <c r="T906" t="str">
        <f>LOOKUP(S906,tblSchoolTerms[STermID],tblSchoolTerms[SemesterID]&amp;" Semester "&amp;tblSchoolTerms[SchoolYear])</f>
        <v>1 Semester S.Y. 2017-2018</v>
      </c>
      <c r="W9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6" t="e">
        <f t="array" ref="Y906">INDEX(tblEnrolledStuds[EStudID],MATCH(tblEnrolledSubjs[[#This Row],[EStudID]]&amp;S906,tblEnrolledStuds[AdmissionStatusID]&amp;tblEnrolledStuds[StudID],0))</f>
        <v>#N/A</v>
      </c>
    </row>
    <row r="907" spans="2:25" x14ac:dyDescent="0.25">
      <c r="B907">
        <v>905</v>
      </c>
      <c r="C907">
        <v>231</v>
      </c>
      <c r="D907" s="22">
        <v>115</v>
      </c>
      <c r="P907" t="str">
        <f t="shared" si="18"/>
        <v>(NULL,"231","115"),</v>
      </c>
      <c r="Q907" t="str">
        <f>TextJoin(tblEnrolledSubjs[[#This Row],[CSubjID]:[EStudID]],"Value")</f>
        <v>"231","115"</v>
      </c>
      <c r="S907">
        <f>LOOKUP(LOOKUP(tblEnrolledSubjs[[#This Row],[CSubjID]], tblClassSubjs[CSubjID],tblClassSubjs[ClassID]),tblClasses[ClassID],tblClasses[STermID])</f>
        <v>4</v>
      </c>
      <c r="T907" t="str">
        <f>LOOKUP(S907,tblSchoolTerms[STermID],tblSchoolTerms[SemesterID]&amp;" Semester "&amp;tblSchoolTerms[SchoolYear])</f>
        <v>1 Semester S.Y. 2017-2018</v>
      </c>
      <c r="W9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7" t="e">
        <f t="array" ref="Y907">INDEX(tblEnrolledStuds[EStudID],MATCH(tblEnrolledSubjs[[#This Row],[EStudID]]&amp;S907,tblEnrolledStuds[AdmissionStatusID]&amp;tblEnrolledStuds[StudID],0))</f>
        <v>#N/A</v>
      </c>
    </row>
    <row r="908" spans="2:25" x14ac:dyDescent="0.25">
      <c r="B908">
        <v>906</v>
      </c>
      <c r="C908">
        <v>231</v>
      </c>
      <c r="D908" s="22">
        <v>117</v>
      </c>
      <c r="P908" t="str">
        <f t="shared" si="18"/>
        <v>(NULL,"231","117"),</v>
      </c>
      <c r="Q908" t="str">
        <f>TextJoin(tblEnrolledSubjs[[#This Row],[CSubjID]:[EStudID]],"Value")</f>
        <v>"231","117"</v>
      </c>
      <c r="S908">
        <f>LOOKUP(LOOKUP(tblEnrolledSubjs[[#This Row],[CSubjID]], tblClassSubjs[CSubjID],tblClassSubjs[ClassID]),tblClasses[ClassID],tblClasses[STermID])</f>
        <v>4</v>
      </c>
      <c r="T908" t="str">
        <f>LOOKUP(S908,tblSchoolTerms[STermID],tblSchoolTerms[SemesterID]&amp;" Semester "&amp;tblSchoolTerms[SchoolYear])</f>
        <v>1 Semester S.Y. 2017-2018</v>
      </c>
      <c r="W9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08" t="e">
        <f t="array" ref="Y908">INDEX(tblEnrolledStuds[EStudID],MATCH(tblEnrolledSubjs[[#This Row],[EStudID]]&amp;S908,tblEnrolledStuds[AdmissionStatusID]&amp;tblEnrolledStuds[StudID],0))</f>
        <v>#N/A</v>
      </c>
    </row>
    <row r="909" spans="2:25" x14ac:dyDescent="0.25">
      <c r="B909">
        <v>907</v>
      </c>
      <c r="C909">
        <v>231</v>
      </c>
      <c r="D909" s="22">
        <v>120</v>
      </c>
      <c r="P909" t="str">
        <f t="shared" si="18"/>
        <v>(NULL,"231","120"),</v>
      </c>
      <c r="Q909" t="str">
        <f>TextJoin(tblEnrolledSubjs[[#This Row],[CSubjID]:[EStudID]],"Value")</f>
        <v>"231","120"</v>
      </c>
      <c r="S909">
        <f>LOOKUP(LOOKUP(tblEnrolledSubjs[[#This Row],[CSubjID]], tblClassSubjs[CSubjID],tblClassSubjs[ClassID]),tblClasses[ClassID],tblClasses[STermID])</f>
        <v>4</v>
      </c>
      <c r="T909" t="str">
        <f>LOOKUP(S909,tblSchoolTerms[STermID],tblSchoolTerms[SemesterID]&amp;" Semester "&amp;tblSchoolTerms[SchoolYear])</f>
        <v>1 Semester S.Y. 2017-2018</v>
      </c>
      <c r="W9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09" t="e">
        <f t="array" ref="Y909">INDEX(tblEnrolledStuds[EStudID],MATCH(tblEnrolledSubjs[[#This Row],[EStudID]]&amp;S909,tblEnrolledStuds[AdmissionStatusID]&amp;tblEnrolledStuds[StudID],0))</f>
        <v>#N/A</v>
      </c>
    </row>
    <row r="910" spans="2:25" x14ac:dyDescent="0.25">
      <c r="B910">
        <v>908</v>
      </c>
      <c r="C910">
        <v>231</v>
      </c>
      <c r="D910" s="22">
        <v>121</v>
      </c>
      <c r="P910" t="str">
        <f t="shared" si="18"/>
        <v>(NULL,"231","121"),</v>
      </c>
      <c r="Q910" t="str">
        <f>TextJoin(tblEnrolledSubjs[[#This Row],[CSubjID]:[EStudID]],"Value")</f>
        <v>"231","121"</v>
      </c>
      <c r="S910">
        <f>LOOKUP(LOOKUP(tblEnrolledSubjs[[#This Row],[CSubjID]], tblClassSubjs[CSubjID],tblClassSubjs[ClassID]),tblClasses[ClassID],tblClasses[STermID])</f>
        <v>4</v>
      </c>
      <c r="T910" t="str">
        <f>LOOKUP(S910,tblSchoolTerms[STermID],tblSchoolTerms[SemesterID]&amp;" Semester "&amp;tblSchoolTerms[SchoolYear])</f>
        <v>1 Semester S.Y. 2017-2018</v>
      </c>
      <c r="W9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0" t="e">
        <f t="array" ref="Y910">INDEX(tblEnrolledStuds[EStudID],MATCH(tblEnrolledSubjs[[#This Row],[EStudID]]&amp;S910,tblEnrolledStuds[AdmissionStatusID]&amp;tblEnrolledStuds[StudID],0))</f>
        <v>#N/A</v>
      </c>
    </row>
    <row r="911" spans="2:25" x14ac:dyDescent="0.25">
      <c r="B911">
        <v>909</v>
      </c>
      <c r="C911">
        <v>231</v>
      </c>
      <c r="D911" s="22">
        <v>122</v>
      </c>
      <c r="P911" t="str">
        <f t="shared" si="18"/>
        <v>(NULL,"231","122"),</v>
      </c>
      <c r="Q911" t="str">
        <f>TextJoin(tblEnrolledSubjs[[#This Row],[CSubjID]:[EStudID]],"Value")</f>
        <v>"231","122"</v>
      </c>
      <c r="S911">
        <f>LOOKUP(LOOKUP(tblEnrolledSubjs[[#This Row],[CSubjID]], tblClassSubjs[CSubjID],tblClassSubjs[ClassID]),tblClasses[ClassID],tblClasses[STermID])</f>
        <v>4</v>
      </c>
      <c r="T911" t="str">
        <f>LOOKUP(S911,tblSchoolTerms[STermID],tblSchoolTerms[SemesterID]&amp;" Semester "&amp;tblSchoolTerms[SchoolYear])</f>
        <v>1 Semester S.Y. 2017-2018</v>
      </c>
      <c r="W9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1" t="e">
        <f t="array" ref="Y911">INDEX(tblEnrolledStuds[EStudID],MATCH(tblEnrolledSubjs[[#This Row],[EStudID]]&amp;S911,tblEnrolledStuds[AdmissionStatusID]&amp;tblEnrolledStuds[StudID],0))</f>
        <v>#N/A</v>
      </c>
    </row>
    <row r="912" spans="2:25" x14ac:dyDescent="0.25">
      <c r="B912">
        <v>910</v>
      </c>
      <c r="C912">
        <v>232</v>
      </c>
      <c r="D912" s="22">
        <v>109</v>
      </c>
      <c r="P912" t="str">
        <f t="shared" si="18"/>
        <v>(NULL,"232","109"),</v>
      </c>
      <c r="Q912" t="str">
        <f>TextJoin(tblEnrolledSubjs[[#This Row],[CSubjID]:[EStudID]],"Value")</f>
        <v>"232","109"</v>
      </c>
      <c r="S912">
        <f>LOOKUP(LOOKUP(tblEnrolledSubjs[[#This Row],[CSubjID]], tblClassSubjs[CSubjID],tblClassSubjs[ClassID]),tblClasses[ClassID],tblClasses[STermID])</f>
        <v>4</v>
      </c>
      <c r="T912" t="str">
        <f>LOOKUP(S912,tblSchoolTerms[STermID],tblSchoolTerms[SemesterID]&amp;" Semester "&amp;tblSchoolTerms[SchoolYear])</f>
        <v>1 Semester S.Y. 2017-2018</v>
      </c>
      <c r="W9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2" t="e">
        <f t="array" ref="Y912">INDEX(tblEnrolledStuds[EStudID],MATCH(tblEnrolledSubjs[[#This Row],[EStudID]]&amp;S912,tblEnrolledStuds[AdmissionStatusID]&amp;tblEnrolledStuds[StudID],0))</f>
        <v>#N/A</v>
      </c>
    </row>
    <row r="913" spans="2:25" x14ac:dyDescent="0.25">
      <c r="B913">
        <v>911</v>
      </c>
      <c r="C913">
        <v>232</v>
      </c>
      <c r="D913" s="22">
        <v>115</v>
      </c>
      <c r="P913" t="str">
        <f t="shared" si="18"/>
        <v>(NULL,"232","115"),</v>
      </c>
      <c r="Q913" t="str">
        <f>TextJoin(tblEnrolledSubjs[[#This Row],[CSubjID]:[EStudID]],"Value")</f>
        <v>"232","115"</v>
      </c>
      <c r="S913">
        <f>LOOKUP(LOOKUP(tblEnrolledSubjs[[#This Row],[CSubjID]], tblClassSubjs[CSubjID],tblClassSubjs[ClassID]),tblClasses[ClassID],tblClasses[STermID])</f>
        <v>4</v>
      </c>
      <c r="T913" t="str">
        <f>LOOKUP(S913,tblSchoolTerms[STermID],tblSchoolTerms[SemesterID]&amp;" Semester "&amp;tblSchoolTerms[SchoolYear])</f>
        <v>1 Semester S.Y. 2017-2018</v>
      </c>
      <c r="W9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3" t="e">
        <f t="array" ref="Y913">INDEX(tblEnrolledStuds[EStudID],MATCH(tblEnrolledSubjs[[#This Row],[EStudID]]&amp;S913,tblEnrolledStuds[AdmissionStatusID]&amp;tblEnrolledStuds[StudID],0))</f>
        <v>#N/A</v>
      </c>
    </row>
    <row r="914" spans="2:25" x14ac:dyDescent="0.25">
      <c r="B914">
        <v>912</v>
      </c>
      <c r="C914">
        <v>232</v>
      </c>
      <c r="D914" s="22">
        <v>117</v>
      </c>
      <c r="P914" t="str">
        <f t="shared" si="18"/>
        <v>(NULL,"232","117"),</v>
      </c>
      <c r="Q914" t="str">
        <f>TextJoin(tblEnrolledSubjs[[#This Row],[CSubjID]:[EStudID]],"Value")</f>
        <v>"232","117"</v>
      </c>
      <c r="S914">
        <f>LOOKUP(LOOKUP(tblEnrolledSubjs[[#This Row],[CSubjID]], tblClassSubjs[CSubjID],tblClassSubjs[ClassID]),tblClasses[ClassID],tblClasses[STermID])</f>
        <v>4</v>
      </c>
      <c r="T914" t="str">
        <f>LOOKUP(S914,tblSchoolTerms[STermID],tblSchoolTerms[SemesterID]&amp;" Semester "&amp;tblSchoolTerms[SchoolYear])</f>
        <v>1 Semester S.Y. 2017-2018</v>
      </c>
      <c r="W9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4" t="e">
        <f t="array" ref="Y914">INDEX(tblEnrolledStuds[EStudID],MATCH(tblEnrolledSubjs[[#This Row],[EStudID]]&amp;S914,tblEnrolledStuds[AdmissionStatusID]&amp;tblEnrolledStuds[StudID],0))</f>
        <v>#N/A</v>
      </c>
    </row>
    <row r="915" spans="2:25" x14ac:dyDescent="0.25">
      <c r="B915">
        <v>913</v>
      </c>
      <c r="C915">
        <v>232</v>
      </c>
      <c r="D915" s="22">
        <v>120</v>
      </c>
      <c r="P915" t="str">
        <f t="shared" si="18"/>
        <v>(NULL,"232","120"),</v>
      </c>
      <c r="Q915" t="str">
        <f>TextJoin(tblEnrolledSubjs[[#This Row],[CSubjID]:[EStudID]],"Value")</f>
        <v>"232","120"</v>
      </c>
      <c r="S915">
        <f>LOOKUP(LOOKUP(tblEnrolledSubjs[[#This Row],[CSubjID]], tblClassSubjs[CSubjID],tblClassSubjs[ClassID]),tblClasses[ClassID],tblClasses[STermID])</f>
        <v>4</v>
      </c>
      <c r="T915" t="str">
        <f>LOOKUP(S915,tblSchoolTerms[STermID],tblSchoolTerms[SemesterID]&amp;" Semester "&amp;tblSchoolTerms[SchoolYear])</f>
        <v>1 Semester S.Y. 2017-2018</v>
      </c>
      <c r="W9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15" t="e">
        <f t="array" ref="Y915">INDEX(tblEnrolledStuds[EStudID],MATCH(tblEnrolledSubjs[[#This Row],[EStudID]]&amp;S915,tblEnrolledStuds[AdmissionStatusID]&amp;tblEnrolledStuds[StudID],0))</f>
        <v>#N/A</v>
      </c>
    </row>
    <row r="916" spans="2:25" x14ac:dyDescent="0.25">
      <c r="B916">
        <v>914</v>
      </c>
      <c r="C916">
        <v>232</v>
      </c>
      <c r="D916" s="22">
        <v>121</v>
      </c>
      <c r="P916" t="str">
        <f t="shared" si="18"/>
        <v>(NULL,"232","121"),</v>
      </c>
      <c r="Q916" t="str">
        <f>TextJoin(tblEnrolledSubjs[[#This Row],[CSubjID]:[EStudID]],"Value")</f>
        <v>"232","121"</v>
      </c>
      <c r="S916">
        <f>LOOKUP(LOOKUP(tblEnrolledSubjs[[#This Row],[CSubjID]], tblClassSubjs[CSubjID],tblClassSubjs[ClassID]),tblClasses[ClassID],tblClasses[STermID])</f>
        <v>4</v>
      </c>
      <c r="T916" t="str">
        <f>LOOKUP(S916,tblSchoolTerms[STermID],tblSchoolTerms[SemesterID]&amp;" Semester "&amp;tblSchoolTerms[SchoolYear])</f>
        <v>1 Semester S.Y. 2017-2018</v>
      </c>
      <c r="W9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6" t="e">
        <f t="array" ref="Y916">INDEX(tblEnrolledStuds[EStudID],MATCH(tblEnrolledSubjs[[#This Row],[EStudID]]&amp;S916,tblEnrolledStuds[AdmissionStatusID]&amp;tblEnrolledStuds[StudID],0))</f>
        <v>#N/A</v>
      </c>
    </row>
    <row r="917" spans="2:25" x14ac:dyDescent="0.25">
      <c r="B917">
        <v>915</v>
      </c>
      <c r="C917">
        <v>232</v>
      </c>
      <c r="D917" s="22">
        <v>122</v>
      </c>
      <c r="P917" t="str">
        <f t="shared" si="18"/>
        <v>(NULL,"232","122"),</v>
      </c>
      <c r="Q917" t="str">
        <f>TextJoin(tblEnrolledSubjs[[#This Row],[CSubjID]:[EStudID]],"Value")</f>
        <v>"232","122"</v>
      </c>
      <c r="S917">
        <f>LOOKUP(LOOKUP(tblEnrolledSubjs[[#This Row],[CSubjID]], tblClassSubjs[CSubjID],tblClassSubjs[ClassID]),tblClasses[ClassID],tblClasses[STermID])</f>
        <v>4</v>
      </c>
      <c r="T917" t="str">
        <f>LOOKUP(S917,tblSchoolTerms[STermID],tblSchoolTerms[SemesterID]&amp;" Semester "&amp;tblSchoolTerms[SchoolYear])</f>
        <v>1 Semester S.Y. 2017-2018</v>
      </c>
      <c r="W9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7" t="e">
        <f t="array" ref="Y917">INDEX(tblEnrolledStuds[EStudID],MATCH(tblEnrolledSubjs[[#This Row],[EStudID]]&amp;S917,tblEnrolledStuds[AdmissionStatusID]&amp;tblEnrolledStuds[StudID],0))</f>
        <v>#N/A</v>
      </c>
    </row>
    <row r="918" spans="2:25" x14ac:dyDescent="0.25">
      <c r="B918">
        <v>916</v>
      </c>
      <c r="C918">
        <v>233</v>
      </c>
      <c r="D918" s="22">
        <v>109</v>
      </c>
      <c r="P918" t="str">
        <f t="shared" si="18"/>
        <v>(NULL,"233","109"),</v>
      </c>
      <c r="Q918" t="str">
        <f>TextJoin(tblEnrolledSubjs[[#This Row],[CSubjID]:[EStudID]],"Value")</f>
        <v>"233","109"</v>
      </c>
      <c r="S918">
        <f>LOOKUP(LOOKUP(tblEnrolledSubjs[[#This Row],[CSubjID]], tblClassSubjs[CSubjID],tblClassSubjs[ClassID]),tblClasses[ClassID],tblClasses[STermID])</f>
        <v>4</v>
      </c>
      <c r="T918" t="str">
        <f>LOOKUP(S918,tblSchoolTerms[STermID],tblSchoolTerms[SemesterID]&amp;" Semester "&amp;tblSchoolTerms[SchoolYear])</f>
        <v>1 Semester S.Y. 2017-2018</v>
      </c>
      <c r="W9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8" t="e">
        <f t="array" ref="Y918">INDEX(tblEnrolledStuds[EStudID],MATCH(tblEnrolledSubjs[[#This Row],[EStudID]]&amp;S918,tblEnrolledStuds[AdmissionStatusID]&amp;tblEnrolledStuds[StudID],0))</f>
        <v>#N/A</v>
      </c>
    </row>
    <row r="919" spans="2:25" x14ac:dyDescent="0.25">
      <c r="B919">
        <v>917</v>
      </c>
      <c r="C919">
        <v>233</v>
      </c>
      <c r="D919" s="22">
        <v>115</v>
      </c>
      <c r="P919" t="str">
        <f t="shared" si="18"/>
        <v>(NULL,"233","115"),</v>
      </c>
      <c r="Q919" t="str">
        <f>TextJoin(tblEnrolledSubjs[[#This Row],[CSubjID]:[EStudID]],"Value")</f>
        <v>"233","115"</v>
      </c>
      <c r="S919">
        <f>LOOKUP(LOOKUP(tblEnrolledSubjs[[#This Row],[CSubjID]], tblClassSubjs[CSubjID],tblClassSubjs[ClassID]),tblClasses[ClassID],tblClasses[STermID])</f>
        <v>4</v>
      </c>
      <c r="T919" t="str">
        <f>LOOKUP(S919,tblSchoolTerms[STermID],tblSchoolTerms[SemesterID]&amp;" Semester "&amp;tblSchoolTerms[SchoolYear])</f>
        <v>1 Semester S.Y. 2017-2018</v>
      </c>
      <c r="W9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19" t="e">
        <f t="array" ref="Y919">INDEX(tblEnrolledStuds[EStudID],MATCH(tblEnrolledSubjs[[#This Row],[EStudID]]&amp;S919,tblEnrolledStuds[AdmissionStatusID]&amp;tblEnrolledStuds[StudID],0))</f>
        <v>#N/A</v>
      </c>
    </row>
    <row r="920" spans="2:25" x14ac:dyDescent="0.25">
      <c r="B920">
        <v>918</v>
      </c>
      <c r="C920">
        <v>233</v>
      </c>
      <c r="D920" s="22">
        <v>117</v>
      </c>
      <c r="P920" t="str">
        <f t="shared" si="18"/>
        <v>(NULL,"233","117"),</v>
      </c>
      <c r="Q920" t="str">
        <f>TextJoin(tblEnrolledSubjs[[#This Row],[CSubjID]:[EStudID]],"Value")</f>
        <v>"233","117"</v>
      </c>
      <c r="S920">
        <f>LOOKUP(LOOKUP(tblEnrolledSubjs[[#This Row],[CSubjID]], tblClassSubjs[CSubjID],tblClassSubjs[ClassID]),tblClasses[ClassID],tblClasses[STermID])</f>
        <v>4</v>
      </c>
      <c r="T920" t="str">
        <f>LOOKUP(S920,tblSchoolTerms[STermID],tblSchoolTerms[SemesterID]&amp;" Semester "&amp;tblSchoolTerms[SchoolYear])</f>
        <v>1 Semester S.Y. 2017-2018</v>
      </c>
      <c r="W9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0" t="e">
        <f t="array" ref="Y920">INDEX(tblEnrolledStuds[EStudID],MATCH(tblEnrolledSubjs[[#This Row],[EStudID]]&amp;S920,tblEnrolledStuds[AdmissionStatusID]&amp;tblEnrolledStuds[StudID],0))</f>
        <v>#N/A</v>
      </c>
    </row>
    <row r="921" spans="2:25" x14ac:dyDescent="0.25">
      <c r="B921">
        <v>919</v>
      </c>
      <c r="C921">
        <v>233</v>
      </c>
      <c r="D921" s="22">
        <v>120</v>
      </c>
      <c r="P921" t="str">
        <f t="shared" si="18"/>
        <v>(NULL,"233","120"),</v>
      </c>
      <c r="Q921" t="str">
        <f>TextJoin(tblEnrolledSubjs[[#This Row],[CSubjID]:[EStudID]],"Value")</f>
        <v>"233","120"</v>
      </c>
      <c r="S921">
        <f>LOOKUP(LOOKUP(tblEnrolledSubjs[[#This Row],[CSubjID]], tblClassSubjs[CSubjID],tblClassSubjs[ClassID]),tblClasses[ClassID],tblClasses[STermID])</f>
        <v>4</v>
      </c>
      <c r="T921" t="str">
        <f>LOOKUP(S921,tblSchoolTerms[STermID],tblSchoolTerms[SemesterID]&amp;" Semester "&amp;tblSchoolTerms[SchoolYear])</f>
        <v>1 Semester S.Y. 2017-2018</v>
      </c>
      <c r="W9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21" t="e">
        <f t="array" ref="Y921">INDEX(tblEnrolledStuds[EStudID],MATCH(tblEnrolledSubjs[[#This Row],[EStudID]]&amp;S921,tblEnrolledStuds[AdmissionStatusID]&amp;tblEnrolledStuds[StudID],0))</f>
        <v>#N/A</v>
      </c>
    </row>
    <row r="922" spans="2:25" x14ac:dyDescent="0.25">
      <c r="B922">
        <v>920</v>
      </c>
      <c r="C922">
        <v>233</v>
      </c>
      <c r="D922" s="22">
        <v>121</v>
      </c>
      <c r="P922" t="str">
        <f t="shared" si="18"/>
        <v>(NULL,"233","121"),</v>
      </c>
      <c r="Q922" t="str">
        <f>TextJoin(tblEnrolledSubjs[[#This Row],[CSubjID]:[EStudID]],"Value")</f>
        <v>"233","121"</v>
      </c>
      <c r="S922">
        <f>LOOKUP(LOOKUP(tblEnrolledSubjs[[#This Row],[CSubjID]], tblClassSubjs[CSubjID],tblClassSubjs[ClassID]),tblClasses[ClassID],tblClasses[STermID])</f>
        <v>4</v>
      </c>
      <c r="T922" t="str">
        <f>LOOKUP(S922,tblSchoolTerms[STermID],tblSchoolTerms[SemesterID]&amp;" Semester "&amp;tblSchoolTerms[SchoolYear])</f>
        <v>1 Semester S.Y. 2017-2018</v>
      </c>
      <c r="W9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2" t="e">
        <f t="array" ref="Y922">INDEX(tblEnrolledStuds[EStudID],MATCH(tblEnrolledSubjs[[#This Row],[EStudID]]&amp;S922,tblEnrolledStuds[AdmissionStatusID]&amp;tblEnrolledStuds[StudID],0))</f>
        <v>#N/A</v>
      </c>
    </row>
    <row r="923" spans="2:25" x14ac:dyDescent="0.25">
      <c r="B923">
        <v>921</v>
      </c>
      <c r="C923">
        <v>233</v>
      </c>
      <c r="D923" s="22">
        <v>122</v>
      </c>
      <c r="P923" t="str">
        <f t="shared" si="18"/>
        <v>(NULL,"233","122"),</v>
      </c>
      <c r="Q923" t="str">
        <f>TextJoin(tblEnrolledSubjs[[#This Row],[CSubjID]:[EStudID]],"Value")</f>
        <v>"233","122"</v>
      </c>
      <c r="S923">
        <f>LOOKUP(LOOKUP(tblEnrolledSubjs[[#This Row],[CSubjID]], tblClassSubjs[CSubjID],tblClassSubjs[ClassID]),tblClasses[ClassID],tblClasses[STermID])</f>
        <v>4</v>
      </c>
      <c r="T923" t="str">
        <f>LOOKUP(S923,tblSchoolTerms[STermID],tblSchoolTerms[SemesterID]&amp;" Semester "&amp;tblSchoolTerms[SchoolYear])</f>
        <v>1 Semester S.Y. 2017-2018</v>
      </c>
      <c r="W9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3" t="e">
        <f t="array" ref="Y923">INDEX(tblEnrolledStuds[EStudID],MATCH(tblEnrolledSubjs[[#This Row],[EStudID]]&amp;S923,tblEnrolledStuds[AdmissionStatusID]&amp;tblEnrolledStuds[StudID],0))</f>
        <v>#N/A</v>
      </c>
    </row>
    <row r="924" spans="2:25" x14ac:dyDescent="0.25">
      <c r="B924">
        <v>922</v>
      </c>
      <c r="C924">
        <v>234</v>
      </c>
      <c r="D924" s="22">
        <v>109</v>
      </c>
      <c r="P924" t="str">
        <f t="shared" si="18"/>
        <v>(NULL,"234","109"),</v>
      </c>
      <c r="Q924" t="str">
        <f>TextJoin(tblEnrolledSubjs[[#This Row],[CSubjID]:[EStudID]],"Value")</f>
        <v>"234","109"</v>
      </c>
      <c r="S924">
        <f>LOOKUP(LOOKUP(tblEnrolledSubjs[[#This Row],[CSubjID]], tblClassSubjs[CSubjID],tblClassSubjs[ClassID]),tblClasses[ClassID],tblClasses[STermID])</f>
        <v>4</v>
      </c>
      <c r="T924" t="str">
        <f>LOOKUP(S924,tblSchoolTerms[STermID],tblSchoolTerms[SemesterID]&amp;" Semester "&amp;tblSchoolTerms[SchoolYear])</f>
        <v>1 Semester S.Y. 2017-2018</v>
      </c>
      <c r="W9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4" t="e">
        <f t="array" ref="Y924">INDEX(tblEnrolledStuds[EStudID],MATCH(tblEnrolledSubjs[[#This Row],[EStudID]]&amp;S924,tblEnrolledStuds[AdmissionStatusID]&amp;tblEnrolledStuds[StudID],0))</f>
        <v>#N/A</v>
      </c>
    </row>
    <row r="925" spans="2:25" x14ac:dyDescent="0.25">
      <c r="B925">
        <v>923</v>
      </c>
      <c r="C925">
        <v>234</v>
      </c>
      <c r="D925" s="22">
        <v>115</v>
      </c>
      <c r="P925" t="str">
        <f t="shared" si="18"/>
        <v>(NULL,"234","115"),</v>
      </c>
      <c r="Q925" t="str">
        <f>TextJoin(tblEnrolledSubjs[[#This Row],[CSubjID]:[EStudID]],"Value")</f>
        <v>"234","115"</v>
      </c>
      <c r="S925">
        <f>LOOKUP(LOOKUP(tblEnrolledSubjs[[#This Row],[CSubjID]], tblClassSubjs[CSubjID],tblClassSubjs[ClassID]),tblClasses[ClassID],tblClasses[STermID])</f>
        <v>4</v>
      </c>
      <c r="T925" t="str">
        <f>LOOKUP(S925,tblSchoolTerms[STermID],tblSchoolTerms[SemesterID]&amp;" Semester "&amp;tblSchoolTerms[SchoolYear])</f>
        <v>1 Semester S.Y. 2017-2018</v>
      </c>
      <c r="W9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5" t="e">
        <f t="array" ref="Y925">INDEX(tblEnrolledStuds[EStudID],MATCH(tblEnrolledSubjs[[#This Row],[EStudID]]&amp;S925,tblEnrolledStuds[AdmissionStatusID]&amp;tblEnrolledStuds[StudID],0))</f>
        <v>#N/A</v>
      </c>
    </row>
    <row r="926" spans="2:25" x14ac:dyDescent="0.25">
      <c r="B926">
        <v>924</v>
      </c>
      <c r="C926">
        <v>234</v>
      </c>
      <c r="D926" s="22">
        <v>117</v>
      </c>
      <c r="P926" t="str">
        <f t="shared" si="18"/>
        <v>(NULL,"234","117"),</v>
      </c>
      <c r="Q926" t="str">
        <f>TextJoin(tblEnrolledSubjs[[#This Row],[CSubjID]:[EStudID]],"Value")</f>
        <v>"234","117"</v>
      </c>
      <c r="S926">
        <f>LOOKUP(LOOKUP(tblEnrolledSubjs[[#This Row],[CSubjID]], tblClassSubjs[CSubjID],tblClassSubjs[ClassID]),tblClasses[ClassID],tblClasses[STermID])</f>
        <v>4</v>
      </c>
      <c r="T926" t="str">
        <f>LOOKUP(S926,tblSchoolTerms[STermID],tblSchoolTerms[SemesterID]&amp;" Semester "&amp;tblSchoolTerms[SchoolYear])</f>
        <v>1 Semester S.Y. 2017-2018</v>
      </c>
      <c r="W9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6" t="e">
        <f t="array" ref="Y926">INDEX(tblEnrolledStuds[EStudID],MATCH(tblEnrolledSubjs[[#This Row],[EStudID]]&amp;S926,tblEnrolledStuds[AdmissionStatusID]&amp;tblEnrolledStuds[StudID],0))</f>
        <v>#N/A</v>
      </c>
    </row>
    <row r="927" spans="2:25" x14ac:dyDescent="0.25">
      <c r="B927">
        <v>925</v>
      </c>
      <c r="C927">
        <v>234</v>
      </c>
      <c r="D927" s="22">
        <v>120</v>
      </c>
      <c r="P927" t="str">
        <f t="shared" si="18"/>
        <v>(NULL,"234","120"),</v>
      </c>
      <c r="Q927" t="str">
        <f>TextJoin(tblEnrolledSubjs[[#This Row],[CSubjID]:[EStudID]],"Value")</f>
        <v>"234","120"</v>
      </c>
      <c r="S927">
        <f>LOOKUP(LOOKUP(tblEnrolledSubjs[[#This Row],[CSubjID]], tblClassSubjs[CSubjID],tblClassSubjs[ClassID]),tblClasses[ClassID],tblClasses[STermID])</f>
        <v>4</v>
      </c>
      <c r="T927" t="str">
        <f>LOOKUP(S927,tblSchoolTerms[STermID],tblSchoolTerms[SemesterID]&amp;" Semester "&amp;tblSchoolTerms[SchoolYear])</f>
        <v>1 Semester S.Y. 2017-2018</v>
      </c>
      <c r="W9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27" t="e">
        <f t="array" ref="Y927">INDEX(tblEnrolledStuds[EStudID],MATCH(tblEnrolledSubjs[[#This Row],[EStudID]]&amp;S927,tblEnrolledStuds[AdmissionStatusID]&amp;tblEnrolledStuds[StudID],0))</f>
        <v>#N/A</v>
      </c>
    </row>
    <row r="928" spans="2:25" x14ac:dyDescent="0.25">
      <c r="B928">
        <v>926</v>
      </c>
      <c r="C928">
        <v>234</v>
      </c>
      <c r="D928" s="22">
        <v>121</v>
      </c>
      <c r="P928" t="str">
        <f t="shared" si="18"/>
        <v>(NULL,"234","121"),</v>
      </c>
      <c r="Q928" t="str">
        <f>TextJoin(tblEnrolledSubjs[[#This Row],[CSubjID]:[EStudID]],"Value")</f>
        <v>"234","121"</v>
      </c>
      <c r="S928">
        <f>LOOKUP(LOOKUP(tblEnrolledSubjs[[#This Row],[CSubjID]], tblClassSubjs[CSubjID],tblClassSubjs[ClassID]),tblClasses[ClassID],tblClasses[STermID])</f>
        <v>4</v>
      </c>
      <c r="T928" t="str">
        <f>LOOKUP(S928,tblSchoolTerms[STermID],tblSchoolTerms[SemesterID]&amp;" Semester "&amp;tblSchoolTerms[SchoolYear])</f>
        <v>1 Semester S.Y. 2017-2018</v>
      </c>
      <c r="W9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8" t="e">
        <f t="array" ref="Y928">INDEX(tblEnrolledStuds[EStudID],MATCH(tblEnrolledSubjs[[#This Row],[EStudID]]&amp;S928,tblEnrolledStuds[AdmissionStatusID]&amp;tblEnrolledStuds[StudID],0))</f>
        <v>#N/A</v>
      </c>
    </row>
    <row r="929" spans="2:25" x14ac:dyDescent="0.25">
      <c r="B929">
        <v>927</v>
      </c>
      <c r="C929">
        <v>234</v>
      </c>
      <c r="D929" s="22">
        <v>122</v>
      </c>
      <c r="P929" t="str">
        <f t="shared" si="18"/>
        <v>(NULL,"234","122"),</v>
      </c>
      <c r="Q929" t="str">
        <f>TextJoin(tblEnrolledSubjs[[#This Row],[CSubjID]:[EStudID]],"Value")</f>
        <v>"234","122"</v>
      </c>
      <c r="S929">
        <f>LOOKUP(LOOKUP(tblEnrolledSubjs[[#This Row],[CSubjID]], tblClassSubjs[CSubjID],tblClassSubjs[ClassID]),tblClasses[ClassID],tblClasses[STermID])</f>
        <v>4</v>
      </c>
      <c r="T929" t="str">
        <f>LOOKUP(S929,tblSchoolTerms[STermID],tblSchoolTerms[SemesterID]&amp;" Semester "&amp;tblSchoolTerms[SchoolYear])</f>
        <v>1 Semester S.Y. 2017-2018</v>
      </c>
      <c r="W9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29" t="e">
        <f t="array" ref="Y929">INDEX(tblEnrolledStuds[EStudID],MATCH(tblEnrolledSubjs[[#This Row],[EStudID]]&amp;S929,tblEnrolledStuds[AdmissionStatusID]&amp;tblEnrolledStuds[StudID],0))</f>
        <v>#N/A</v>
      </c>
    </row>
    <row r="930" spans="2:25" x14ac:dyDescent="0.25">
      <c r="B930">
        <v>928</v>
      </c>
      <c r="C930">
        <v>235</v>
      </c>
      <c r="D930" s="22">
        <v>109</v>
      </c>
      <c r="P930" t="str">
        <f t="shared" si="18"/>
        <v>(NULL,"235","109"),</v>
      </c>
      <c r="Q930" t="str">
        <f>TextJoin(tblEnrolledSubjs[[#This Row],[CSubjID]:[EStudID]],"Value")</f>
        <v>"235","109"</v>
      </c>
      <c r="S930">
        <f>LOOKUP(LOOKUP(tblEnrolledSubjs[[#This Row],[CSubjID]], tblClassSubjs[CSubjID],tblClassSubjs[ClassID]),tblClasses[ClassID],tblClasses[STermID])</f>
        <v>4</v>
      </c>
      <c r="T930" t="str">
        <f>LOOKUP(S930,tblSchoolTerms[STermID],tblSchoolTerms[SemesterID]&amp;" Semester "&amp;tblSchoolTerms[SchoolYear])</f>
        <v>1 Semester S.Y. 2017-2018</v>
      </c>
      <c r="W9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0" t="e">
        <f t="array" ref="Y930">INDEX(tblEnrolledStuds[EStudID],MATCH(tblEnrolledSubjs[[#This Row],[EStudID]]&amp;S930,tblEnrolledStuds[AdmissionStatusID]&amp;tblEnrolledStuds[StudID],0))</f>
        <v>#N/A</v>
      </c>
    </row>
    <row r="931" spans="2:25" x14ac:dyDescent="0.25">
      <c r="B931">
        <v>929</v>
      </c>
      <c r="C931">
        <v>235</v>
      </c>
      <c r="D931" s="22">
        <v>115</v>
      </c>
      <c r="P931" t="str">
        <f t="shared" si="18"/>
        <v>(NULL,"235","115"),</v>
      </c>
      <c r="Q931" t="str">
        <f>TextJoin(tblEnrolledSubjs[[#This Row],[CSubjID]:[EStudID]],"Value")</f>
        <v>"235","115"</v>
      </c>
      <c r="S931">
        <f>LOOKUP(LOOKUP(tblEnrolledSubjs[[#This Row],[CSubjID]], tblClassSubjs[CSubjID],tblClassSubjs[ClassID]),tblClasses[ClassID],tblClasses[STermID])</f>
        <v>4</v>
      </c>
      <c r="T931" t="str">
        <f>LOOKUP(S931,tblSchoolTerms[STermID],tblSchoolTerms[SemesterID]&amp;" Semester "&amp;tblSchoolTerms[SchoolYear])</f>
        <v>1 Semester S.Y. 2017-2018</v>
      </c>
      <c r="W9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1" t="e">
        <f t="array" ref="Y931">INDEX(tblEnrolledStuds[EStudID],MATCH(tblEnrolledSubjs[[#This Row],[EStudID]]&amp;S931,tblEnrolledStuds[AdmissionStatusID]&amp;tblEnrolledStuds[StudID],0))</f>
        <v>#N/A</v>
      </c>
    </row>
    <row r="932" spans="2:25" x14ac:dyDescent="0.25">
      <c r="B932">
        <v>930</v>
      </c>
      <c r="C932">
        <v>235</v>
      </c>
      <c r="D932" s="22">
        <v>117</v>
      </c>
      <c r="P932" t="str">
        <f t="shared" si="18"/>
        <v>(NULL,"235","117"),</v>
      </c>
      <c r="Q932" t="str">
        <f>TextJoin(tblEnrolledSubjs[[#This Row],[CSubjID]:[EStudID]],"Value")</f>
        <v>"235","117"</v>
      </c>
      <c r="S932">
        <f>LOOKUP(LOOKUP(tblEnrolledSubjs[[#This Row],[CSubjID]], tblClassSubjs[CSubjID],tblClassSubjs[ClassID]),tblClasses[ClassID],tblClasses[STermID])</f>
        <v>4</v>
      </c>
      <c r="T932" t="str">
        <f>LOOKUP(S932,tblSchoolTerms[STermID],tblSchoolTerms[SemesterID]&amp;" Semester "&amp;tblSchoolTerms[SchoolYear])</f>
        <v>1 Semester S.Y. 2017-2018</v>
      </c>
      <c r="W9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2" t="e">
        <f t="array" ref="Y932">INDEX(tblEnrolledStuds[EStudID],MATCH(tblEnrolledSubjs[[#This Row],[EStudID]]&amp;S932,tblEnrolledStuds[AdmissionStatusID]&amp;tblEnrolledStuds[StudID],0))</f>
        <v>#N/A</v>
      </c>
    </row>
    <row r="933" spans="2:25" x14ac:dyDescent="0.25">
      <c r="B933">
        <v>931</v>
      </c>
      <c r="C933">
        <v>235</v>
      </c>
      <c r="D933" s="22">
        <v>120</v>
      </c>
      <c r="P933" t="str">
        <f t="shared" si="18"/>
        <v>(NULL,"235","120"),</v>
      </c>
      <c r="Q933" t="str">
        <f>TextJoin(tblEnrolledSubjs[[#This Row],[CSubjID]:[EStudID]],"Value")</f>
        <v>"235","120"</v>
      </c>
      <c r="S933">
        <f>LOOKUP(LOOKUP(tblEnrolledSubjs[[#This Row],[CSubjID]], tblClassSubjs[CSubjID],tblClassSubjs[ClassID]),tblClasses[ClassID],tblClasses[STermID])</f>
        <v>4</v>
      </c>
      <c r="T933" t="str">
        <f>LOOKUP(S933,tblSchoolTerms[STermID],tblSchoolTerms[SemesterID]&amp;" Semester "&amp;tblSchoolTerms[SchoolYear])</f>
        <v>1 Semester S.Y. 2017-2018</v>
      </c>
      <c r="W9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33" t="e">
        <f t="array" ref="Y933">INDEX(tblEnrolledStuds[EStudID],MATCH(tblEnrolledSubjs[[#This Row],[EStudID]]&amp;S933,tblEnrolledStuds[AdmissionStatusID]&amp;tblEnrolledStuds[StudID],0))</f>
        <v>#N/A</v>
      </c>
    </row>
    <row r="934" spans="2:25" x14ac:dyDescent="0.25">
      <c r="B934">
        <v>932</v>
      </c>
      <c r="C934">
        <v>235</v>
      </c>
      <c r="D934" s="22">
        <v>121</v>
      </c>
      <c r="P934" t="str">
        <f t="shared" si="18"/>
        <v>(NULL,"235","121"),</v>
      </c>
      <c r="Q934" t="str">
        <f>TextJoin(tblEnrolledSubjs[[#This Row],[CSubjID]:[EStudID]],"Value")</f>
        <v>"235","121"</v>
      </c>
      <c r="S934">
        <f>LOOKUP(LOOKUP(tblEnrolledSubjs[[#This Row],[CSubjID]], tblClassSubjs[CSubjID],tblClassSubjs[ClassID]),tblClasses[ClassID],tblClasses[STermID])</f>
        <v>4</v>
      </c>
      <c r="T934" t="str">
        <f>LOOKUP(S934,tblSchoolTerms[STermID],tblSchoolTerms[SemesterID]&amp;" Semester "&amp;tblSchoolTerms[SchoolYear])</f>
        <v>1 Semester S.Y. 2017-2018</v>
      </c>
      <c r="W9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4" t="e">
        <f t="array" ref="Y934">INDEX(tblEnrolledStuds[EStudID],MATCH(tblEnrolledSubjs[[#This Row],[EStudID]]&amp;S934,tblEnrolledStuds[AdmissionStatusID]&amp;tblEnrolledStuds[StudID],0))</f>
        <v>#N/A</v>
      </c>
    </row>
    <row r="935" spans="2:25" x14ac:dyDescent="0.25">
      <c r="B935">
        <v>933</v>
      </c>
      <c r="C935">
        <v>235</v>
      </c>
      <c r="D935" s="22">
        <v>122</v>
      </c>
      <c r="P935" t="str">
        <f t="shared" si="18"/>
        <v>(NULL,"235","122"),</v>
      </c>
      <c r="Q935" t="str">
        <f>TextJoin(tblEnrolledSubjs[[#This Row],[CSubjID]:[EStudID]],"Value")</f>
        <v>"235","122"</v>
      </c>
      <c r="S935">
        <f>LOOKUP(LOOKUP(tblEnrolledSubjs[[#This Row],[CSubjID]], tblClassSubjs[CSubjID],tblClassSubjs[ClassID]),tblClasses[ClassID],tblClasses[STermID])</f>
        <v>4</v>
      </c>
      <c r="T935" t="str">
        <f>LOOKUP(S935,tblSchoolTerms[STermID],tblSchoolTerms[SemesterID]&amp;" Semester "&amp;tblSchoolTerms[SchoolYear])</f>
        <v>1 Semester S.Y. 2017-2018</v>
      </c>
      <c r="W9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5" t="e">
        <f t="array" ref="Y935">INDEX(tblEnrolledStuds[EStudID],MATCH(tblEnrolledSubjs[[#This Row],[EStudID]]&amp;S935,tblEnrolledStuds[AdmissionStatusID]&amp;tblEnrolledStuds[StudID],0))</f>
        <v>#N/A</v>
      </c>
    </row>
    <row r="936" spans="2:25" x14ac:dyDescent="0.25">
      <c r="B936">
        <v>934</v>
      </c>
      <c r="C936">
        <v>236</v>
      </c>
      <c r="D936" s="22">
        <v>109</v>
      </c>
      <c r="P936" t="str">
        <f t="shared" si="18"/>
        <v>(NULL,"236","109"),</v>
      </c>
      <c r="Q936" t="str">
        <f>TextJoin(tblEnrolledSubjs[[#This Row],[CSubjID]:[EStudID]],"Value")</f>
        <v>"236","109"</v>
      </c>
      <c r="S936">
        <f>LOOKUP(LOOKUP(tblEnrolledSubjs[[#This Row],[CSubjID]], tblClassSubjs[CSubjID],tblClassSubjs[ClassID]),tblClasses[ClassID],tblClasses[STermID])</f>
        <v>4</v>
      </c>
      <c r="T936" t="str">
        <f>LOOKUP(S936,tblSchoolTerms[STermID],tblSchoolTerms[SemesterID]&amp;" Semester "&amp;tblSchoolTerms[SchoolYear])</f>
        <v>1 Semester S.Y. 2017-2018</v>
      </c>
      <c r="W9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6" t="e">
        <f t="array" ref="Y936">INDEX(tblEnrolledStuds[EStudID],MATCH(tblEnrolledSubjs[[#This Row],[EStudID]]&amp;S936,tblEnrolledStuds[AdmissionStatusID]&amp;tblEnrolledStuds[StudID],0))</f>
        <v>#N/A</v>
      </c>
    </row>
    <row r="937" spans="2:25" x14ac:dyDescent="0.25">
      <c r="B937">
        <v>935</v>
      </c>
      <c r="C937">
        <v>236</v>
      </c>
      <c r="D937" s="22">
        <v>115</v>
      </c>
      <c r="P937" t="str">
        <f t="shared" si="18"/>
        <v>(NULL,"236","115"),</v>
      </c>
      <c r="Q937" t="str">
        <f>TextJoin(tblEnrolledSubjs[[#This Row],[CSubjID]:[EStudID]],"Value")</f>
        <v>"236","115"</v>
      </c>
      <c r="S937">
        <f>LOOKUP(LOOKUP(tblEnrolledSubjs[[#This Row],[CSubjID]], tblClassSubjs[CSubjID],tblClassSubjs[ClassID]),tblClasses[ClassID],tblClasses[STermID])</f>
        <v>4</v>
      </c>
      <c r="T937" t="str">
        <f>LOOKUP(S937,tblSchoolTerms[STermID],tblSchoolTerms[SemesterID]&amp;" Semester "&amp;tblSchoolTerms[SchoolYear])</f>
        <v>1 Semester S.Y. 2017-2018</v>
      </c>
      <c r="W9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7" t="e">
        <f t="array" ref="Y937">INDEX(tblEnrolledStuds[EStudID],MATCH(tblEnrolledSubjs[[#This Row],[EStudID]]&amp;S937,tblEnrolledStuds[AdmissionStatusID]&amp;tblEnrolledStuds[StudID],0))</f>
        <v>#N/A</v>
      </c>
    </row>
    <row r="938" spans="2:25" x14ac:dyDescent="0.25">
      <c r="B938">
        <v>936</v>
      </c>
      <c r="C938">
        <v>236</v>
      </c>
      <c r="D938" s="22">
        <v>117</v>
      </c>
      <c r="P938" t="str">
        <f t="shared" si="18"/>
        <v>(NULL,"236","117"),</v>
      </c>
      <c r="Q938" t="str">
        <f>TextJoin(tblEnrolledSubjs[[#This Row],[CSubjID]:[EStudID]],"Value")</f>
        <v>"236","117"</v>
      </c>
      <c r="S938">
        <f>LOOKUP(LOOKUP(tblEnrolledSubjs[[#This Row],[CSubjID]], tblClassSubjs[CSubjID],tblClassSubjs[ClassID]),tblClasses[ClassID],tblClasses[STermID])</f>
        <v>4</v>
      </c>
      <c r="T938" t="str">
        <f>LOOKUP(S938,tblSchoolTerms[STermID],tblSchoolTerms[SemesterID]&amp;" Semester "&amp;tblSchoolTerms[SchoolYear])</f>
        <v>1 Semester S.Y. 2017-2018</v>
      </c>
      <c r="W9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38" t="e">
        <f t="array" ref="Y938">INDEX(tblEnrolledStuds[EStudID],MATCH(tblEnrolledSubjs[[#This Row],[EStudID]]&amp;S938,tblEnrolledStuds[AdmissionStatusID]&amp;tblEnrolledStuds[StudID],0))</f>
        <v>#N/A</v>
      </c>
    </row>
    <row r="939" spans="2:25" x14ac:dyDescent="0.25">
      <c r="B939">
        <v>937</v>
      </c>
      <c r="C939">
        <v>236</v>
      </c>
      <c r="D939" s="22">
        <v>120</v>
      </c>
      <c r="P939" t="str">
        <f t="shared" si="18"/>
        <v>(NULL,"236","120"),</v>
      </c>
      <c r="Q939" t="str">
        <f>TextJoin(tblEnrolledSubjs[[#This Row],[CSubjID]:[EStudID]],"Value")</f>
        <v>"236","120"</v>
      </c>
      <c r="S939">
        <f>LOOKUP(LOOKUP(tblEnrolledSubjs[[#This Row],[CSubjID]], tblClassSubjs[CSubjID],tblClassSubjs[ClassID]),tblClasses[ClassID],tblClasses[STermID])</f>
        <v>4</v>
      </c>
      <c r="T939" t="str">
        <f>LOOKUP(S939,tblSchoolTerms[STermID],tblSchoolTerms[SemesterID]&amp;" Semester "&amp;tblSchoolTerms[SchoolYear])</f>
        <v>1 Semester S.Y. 2017-2018</v>
      </c>
      <c r="W9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39" t="e">
        <f t="array" ref="Y939">INDEX(tblEnrolledStuds[EStudID],MATCH(tblEnrolledSubjs[[#This Row],[EStudID]]&amp;S939,tblEnrolledStuds[AdmissionStatusID]&amp;tblEnrolledStuds[StudID],0))</f>
        <v>#N/A</v>
      </c>
    </row>
    <row r="940" spans="2:25" x14ac:dyDescent="0.25">
      <c r="B940">
        <v>938</v>
      </c>
      <c r="C940">
        <v>236</v>
      </c>
      <c r="D940" s="22">
        <v>121</v>
      </c>
      <c r="P940" t="str">
        <f t="shared" si="18"/>
        <v>(NULL,"236","121"),</v>
      </c>
      <c r="Q940" t="str">
        <f>TextJoin(tblEnrolledSubjs[[#This Row],[CSubjID]:[EStudID]],"Value")</f>
        <v>"236","121"</v>
      </c>
      <c r="S940">
        <f>LOOKUP(LOOKUP(tblEnrolledSubjs[[#This Row],[CSubjID]], tblClassSubjs[CSubjID],tblClassSubjs[ClassID]),tblClasses[ClassID],tblClasses[STermID])</f>
        <v>4</v>
      </c>
      <c r="T940" t="str">
        <f>LOOKUP(S940,tblSchoolTerms[STermID],tblSchoolTerms[SemesterID]&amp;" Semester "&amp;tblSchoolTerms[SchoolYear])</f>
        <v>1 Semester S.Y. 2017-2018</v>
      </c>
      <c r="W9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0" t="e">
        <f t="array" ref="Y940">INDEX(tblEnrolledStuds[EStudID],MATCH(tblEnrolledSubjs[[#This Row],[EStudID]]&amp;S940,tblEnrolledStuds[AdmissionStatusID]&amp;tblEnrolledStuds[StudID],0))</f>
        <v>#N/A</v>
      </c>
    </row>
    <row r="941" spans="2:25" x14ac:dyDescent="0.25">
      <c r="B941">
        <v>939</v>
      </c>
      <c r="C941">
        <v>236</v>
      </c>
      <c r="D941" s="22">
        <v>122</v>
      </c>
      <c r="P941" t="str">
        <f t="shared" si="18"/>
        <v>(NULL,"236","122"),</v>
      </c>
      <c r="Q941" t="str">
        <f>TextJoin(tblEnrolledSubjs[[#This Row],[CSubjID]:[EStudID]],"Value")</f>
        <v>"236","122"</v>
      </c>
      <c r="S941">
        <f>LOOKUP(LOOKUP(tblEnrolledSubjs[[#This Row],[CSubjID]], tblClassSubjs[CSubjID],tblClassSubjs[ClassID]),tblClasses[ClassID],tblClasses[STermID])</f>
        <v>4</v>
      </c>
      <c r="T941" t="str">
        <f>LOOKUP(S941,tblSchoolTerms[STermID],tblSchoolTerms[SemesterID]&amp;" Semester "&amp;tblSchoolTerms[SchoolYear])</f>
        <v>1 Semester S.Y. 2017-2018</v>
      </c>
      <c r="W9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1" t="e">
        <f t="array" ref="Y941">INDEX(tblEnrolledStuds[EStudID],MATCH(tblEnrolledSubjs[[#This Row],[EStudID]]&amp;S941,tblEnrolledStuds[AdmissionStatusID]&amp;tblEnrolledStuds[StudID],0))</f>
        <v>#N/A</v>
      </c>
    </row>
    <row r="942" spans="2:25" x14ac:dyDescent="0.25">
      <c r="B942">
        <v>940</v>
      </c>
      <c r="C942">
        <v>237</v>
      </c>
      <c r="D942" s="22">
        <v>109</v>
      </c>
      <c r="P942" t="str">
        <f t="shared" si="18"/>
        <v>(NULL,"237","109"),</v>
      </c>
      <c r="Q942" t="str">
        <f>TextJoin(tblEnrolledSubjs[[#This Row],[CSubjID]:[EStudID]],"Value")</f>
        <v>"237","109"</v>
      </c>
      <c r="S942">
        <f>LOOKUP(LOOKUP(tblEnrolledSubjs[[#This Row],[CSubjID]], tblClassSubjs[CSubjID],tblClassSubjs[ClassID]),tblClasses[ClassID],tblClasses[STermID])</f>
        <v>4</v>
      </c>
      <c r="T942" t="str">
        <f>LOOKUP(S942,tblSchoolTerms[STermID],tblSchoolTerms[SemesterID]&amp;" Semester "&amp;tblSchoolTerms[SchoolYear])</f>
        <v>1 Semester S.Y. 2017-2018</v>
      </c>
      <c r="W9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2" t="e">
        <f t="array" ref="Y942">INDEX(tblEnrolledStuds[EStudID],MATCH(tblEnrolledSubjs[[#This Row],[EStudID]]&amp;S942,tblEnrolledStuds[AdmissionStatusID]&amp;tblEnrolledStuds[StudID],0))</f>
        <v>#N/A</v>
      </c>
    </row>
    <row r="943" spans="2:25" x14ac:dyDescent="0.25">
      <c r="B943">
        <v>941</v>
      </c>
      <c r="C943">
        <v>237</v>
      </c>
      <c r="D943" s="22">
        <v>115</v>
      </c>
      <c r="P943" t="str">
        <f t="shared" si="18"/>
        <v>(NULL,"237","115"),</v>
      </c>
      <c r="Q943" t="str">
        <f>TextJoin(tblEnrolledSubjs[[#This Row],[CSubjID]:[EStudID]],"Value")</f>
        <v>"237","115"</v>
      </c>
      <c r="S943">
        <f>LOOKUP(LOOKUP(tblEnrolledSubjs[[#This Row],[CSubjID]], tblClassSubjs[CSubjID],tblClassSubjs[ClassID]),tblClasses[ClassID],tblClasses[STermID])</f>
        <v>4</v>
      </c>
      <c r="T943" t="str">
        <f>LOOKUP(S943,tblSchoolTerms[STermID],tblSchoolTerms[SemesterID]&amp;" Semester "&amp;tblSchoolTerms[SchoolYear])</f>
        <v>1 Semester S.Y. 2017-2018</v>
      </c>
      <c r="W9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3" t="e">
        <f t="array" ref="Y943">INDEX(tblEnrolledStuds[EStudID],MATCH(tblEnrolledSubjs[[#This Row],[EStudID]]&amp;S943,tblEnrolledStuds[AdmissionStatusID]&amp;tblEnrolledStuds[StudID],0))</f>
        <v>#N/A</v>
      </c>
    </row>
    <row r="944" spans="2:25" x14ac:dyDescent="0.25">
      <c r="B944">
        <v>942</v>
      </c>
      <c r="C944">
        <v>237</v>
      </c>
      <c r="D944" s="22">
        <v>117</v>
      </c>
      <c r="P944" t="str">
        <f t="shared" si="18"/>
        <v>(NULL,"237","117"),</v>
      </c>
      <c r="Q944" t="str">
        <f>TextJoin(tblEnrolledSubjs[[#This Row],[CSubjID]:[EStudID]],"Value")</f>
        <v>"237","117"</v>
      </c>
      <c r="S944">
        <f>LOOKUP(LOOKUP(tblEnrolledSubjs[[#This Row],[CSubjID]], tblClassSubjs[CSubjID],tblClassSubjs[ClassID]),tblClasses[ClassID],tblClasses[STermID])</f>
        <v>4</v>
      </c>
      <c r="T944" t="str">
        <f>LOOKUP(S944,tblSchoolTerms[STermID],tblSchoolTerms[SemesterID]&amp;" Semester "&amp;tblSchoolTerms[SchoolYear])</f>
        <v>1 Semester S.Y. 2017-2018</v>
      </c>
      <c r="W9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4" t="e">
        <f t="array" ref="Y944">INDEX(tblEnrolledStuds[EStudID],MATCH(tblEnrolledSubjs[[#This Row],[EStudID]]&amp;S944,tblEnrolledStuds[AdmissionStatusID]&amp;tblEnrolledStuds[StudID],0))</f>
        <v>#N/A</v>
      </c>
    </row>
    <row r="945" spans="2:25" x14ac:dyDescent="0.25">
      <c r="B945">
        <v>943</v>
      </c>
      <c r="C945">
        <v>237</v>
      </c>
      <c r="D945" s="22">
        <v>120</v>
      </c>
      <c r="P945" t="str">
        <f t="shared" si="18"/>
        <v>(NULL,"237","120"),</v>
      </c>
      <c r="Q945" t="str">
        <f>TextJoin(tblEnrolledSubjs[[#This Row],[CSubjID]:[EStudID]],"Value")</f>
        <v>"237","120"</v>
      </c>
      <c r="S945">
        <f>LOOKUP(LOOKUP(tblEnrolledSubjs[[#This Row],[CSubjID]], tblClassSubjs[CSubjID],tblClassSubjs[ClassID]),tblClasses[ClassID],tblClasses[STermID])</f>
        <v>4</v>
      </c>
      <c r="T945" t="str">
        <f>LOOKUP(S945,tblSchoolTerms[STermID],tblSchoolTerms[SemesterID]&amp;" Semester "&amp;tblSchoolTerms[SchoolYear])</f>
        <v>1 Semester S.Y. 2017-2018</v>
      </c>
      <c r="W9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45" t="e">
        <f t="array" ref="Y945">INDEX(tblEnrolledStuds[EStudID],MATCH(tblEnrolledSubjs[[#This Row],[EStudID]]&amp;S945,tblEnrolledStuds[AdmissionStatusID]&amp;tblEnrolledStuds[StudID],0))</f>
        <v>#N/A</v>
      </c>
    </row>
    <row r="946" spans="2:25" x14ac:dyDescent="0.25">
      <c r="B946">
        <v>944</v>
      </c>
      <c r="C946">
        <v>237</v>
      </c>
      <c r="D946" s="22">
        <v>121</v>
      </c>
      <c r="P946" t="str">
        <f t="shared" si="18"/>
        <v>(NULL,"237","121"),</v>
      </c>
      <c r="Q946" t="str">
        <f>TextJoin(tblEnrolledSubjs[[#This Row],[CSubjID]:[EStudID]],"Value")</f>
        <v>"237","121"</v>
      </c>
      <c r="S946">
        <f>LOOKUP(LOOKUP(tblEnrolledSubjs[[#This Row],[CSubjID]], tblClassSubjs[CSubjID],tblClassSubjs[ClassID]),tblClasses[ClassID],tblClasses[STermID])</f>
        <v>4</v>
      </c>
      <c r="T946" t="str">
        <f>LOOKUP(S946,tblSchoolTerms[STermID],tblSchoolTerms[SemesterID]&amp;" Semester "&amp;tblSchoolTerms[SchoolYear])</f>
        <v>1 Semester S.Y. 2017-2018</v>
      </c>
      <c r="W9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6" t="e">
        <f t="array" ref="Y946">INDEX(tblEnrolledStuds[EStudID],MATCH(tblEnrolledSubjs[[#This Row],[EStudID]]&amp;S946,tblEnrolledStuds[AdmissionStatusID]&amp;tblEnrolledStuds[StudID],0))</f>
        <v>#N/A</v>
      </c>
    </row>
    <row r="947" spans="2:25" x14ac:dyDescent="0.25">
      <c r="B947">
        <v>945</v>
      </c>
      <c r="C947">
        <v>237</v>
      </c>
      <c r="D947" s="22">
        <v>122</v>
      </c>
      <c r="P947" t="str">
        <f t="shared" si="18"/>
        <v>(NULL,"237","122"),</v>
      </c>
      <c r="Q947" t="str">
        <f>TextJoin(tblEnrolledSubjs[[#This Row],[CSubjID]:[EStudID]],"Value")</f>
        <v>"237","122"</v>
      </c>
      <c r="S947">
        <f>LOOKUP(LOOKUP(tblEnrolledSubjs[[#This Row],[CSubjID]], tblClassSubjs[CSubjID],tblClassSubjs[ClassID]),tblClasses[ClassID],tblClasses[STermID])</f>
        <v>4</v>
      </c>
      <c r="T947" t="str">
        <f>LOOKUP(S947,tblSchoolTerms[STermID],tblSchoolTerms[SemesterID]&amp;" Semester "&amp;tblSchoolTerms[SchoolYear])</f>
        <v>1 Semester S.Y. 2017-2018</v>
      </c>
      <c r="W9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7" t="e">
        <f t="array" ref="Y947">INDEX(tblEnrolledStuds[EStudID],MATCH(tblEnrolledSubjs[[#This Row],[EStudID]]&amp;S947,tblEnrolledStuds[AdmissionStatusID]&amp;tblEnrolledStuds[StudID],0))</f>
        <v>#N/A</v>
      </c>
    </row>
    <row r="948" spans="2:25" x14ac:dyDescent="0.25">
      <c r="B948">
        <v>946</v>
      </c>
      <c r="C948">
        <v>238</v>
      </c>
      <c r="D948" s="22">
        <v>109</v>
      </c>
      <c r="P948" t="str">
        <f t="shared" si="18"/>
        <v>(NULL,"238","109"),</v>
      </c>
      <c r="Q948" t="str">
        <f>TextJoin(tblEnrolledSubjs[[#This Row],[CSubjID]:[EStudID]],"Value")</f>
        <v>"238","109"</v>
      </c>
      <c r="S948">
        <f>LOOKUP(LOOKUP(tblEnrolledSubjs[[#This Row],[CSubjID]], tblClassSubjs[CSubjID],tblClassSubjs[ClassID]),tblClasses[ClassID],tblClasses[STermID])</f>
        <v>4</v>
      </c>
      <c r="T948" t="str">
        <f>LOOKUP(S948,tblSchoolTerms[STermID],tblSchoolTerms[SemesterID]&amp;" Semester "&amp;tblSchoolTerms[SchoolYear])</f>
        <v>1 Semester S.Y. 2017-2018</v>
      </c>
      <c r="W9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8" t="e">
        <f t="array" ref="Y948">INDEX(tblEnrolledStuds[EStudID],MATCH(tblEnrolledSubjs[[#This Row],[EStudID]]&amp;S948,tblEnrolledStuds[AdmissionStatusID]&amp;tblEnrolledStuds[StudID],0))</f>
        <v>#N/A</v>
      </c>
    </row>
    <row r="949" spans="2:25" x14ac:dyDescent="0.25">
      <c r="B949">
        <v>947</v>
      </c>
      <c r="C949">
        <v>238</v>
      </c>
      <c r="D949" s="22">
        <v>115</v>
      </c>
      <c r="P949" t="str">
        <f t="shared" si="18"/>
        <v>(NULL,"238","115"),</v>
      </c>
      <c r="Q949" t="str">
        <f>TextJoin(tblEnrolledSubjs[[#This Row],[CSubjID]:[EStudID]],"Value")</f>
        <v>"238","115"</v>
      </c>
      <c r="S949">
        <f>LOOKUP(LOOKUP(tblEnrolledSubjs[[#This Row],[CSubjID]], tblClassSubjs[CSubjID],tblClassSubjs[ClassID]),tblClasses[ClassID],tblClasses[STermID])</f>
        <v>4</v>
      </c>
      <c r="T949" t="str">
        <f>LOOKUP(S949,tblSchoolTerms[STermID],tblSchoolTerms[SemesterID]&amp;" Semester "&amp;tblSchoolTerms[SchoolYear])</f>
        <v>1 Semester S.Y. 2017-2018</v>
      </c>
      <c r="W9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49" t="e">
        <f t="array" ref="Y949">INDEX(tblEnrolledStuds[EStudID],MATCH(tblEnrolledSubjs[[#This Row],[EStudID]]&amp;S949,tblEnrolledStuds[AdmissionStatusID]&amp;tblEnrolledStuds[StudID],0))</f>
        <v>#N/A</v>
      </c>
    </row>
    <row r="950" spans="2:25" x14ac:dyDescent="0.25">
      <c r="B950">
        <v>948</v>
      </c>
      <c r="C950">
        <v>238</v>
      </c>
      <c r="D950" s="22">
        <v>117</v>
      </c>
      <c r="P950" t="str">
        <f t="shared" si="18"/>
        <v>(NULL,"238","117"),</v>
      </c>
      <c r="Q950" t="str">
        <f>TextJoin(tblEnrolledSubjs[[#This Row],[CSubjID]:[EStudID]],"Value")</f>
        <v>"238","117"</v>
      </c>
      <c r="S950">
        <f>LOOKUP(LOOKUP(tblEnrolledSubjs[[#This Row],[CSubjID]], tblClassSubjs[CSubjID],tblClassSubjs[ClassID]),tblClasses[ClassID],tblClasses[STermID])</f>
        <v>4</v>
      </c>
      <c r="T950" t="str">
        <f>LOOKUP(S950,tblSchoolTerms[STermID],tblSchoolTerms[SemesterID]&amp;" Semester "&amp;tblSchoolTerms[SchoolYear])</f>
        <v>1 Semester S.Y. 2017-2018</v>
      </c>
      <c r="W9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0" t="e">
        <f t="array" ref="Y950">INDEX(tblEnrolledStuds[EStudID],MATCH(tblEnrolledSubjs[[#This Row],[EStudID]]&amp;S950,tblEnrolledStuds[AdmissionStatusID]&amp;tblEnrolledStuds[StudID],0))</f>
        <v>#N/A</v>
      </c>
    </row>
    <row r="951" spans="2:25" x14ac:dyDescent="0.25">
      <c r="B951">
        <v>949</v>
      </c>
      <c r="C951">
        <v>238</v>
      </c>
      <c r="D951" s="22">
        <v>120</v>
      </c>
      <c r="P951" t="str">
        <f t="shared" si="18"/>
        <v>(NULL,"238","120"),</v>
      </c>
      <c r="Q951" t="str">
        <f>TextJoin(tblEnrolledSubjs[[#This Row],[CSubjID]:[EStudID]],"Value")</f>
        <v>"238","120"</v>
      </c>
      <c r="S951">
        <f>LOOKUP(LOOKUP(tblEnrolledSubjs[[#This Row],[CSubjID]], tblClassSubjs[CSubjID],tblClassSubjs[ClassID]),tblClasses[ClassID],tblClasses[STermID])</f>
        <v>4</v>
      </c>
      <c r="T951" t="str">
        <f>LOOKUP(S951,tblSchoolTerms[STermID],tblSchoolTerms[SemesterID]&amp;" Semester "&amp;tblSchoolTerms[SchoolYear])</f>
        <v>1 Semester S.Y. 2017-2018</v>
      </c>
      <c r="W9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951" t="e">
        <f t="array" ref="Y951">INDEX(tblEnrolledStuds[EStudID],MATCH(tblEnrolledSubjs[[#This Row],[EStudID]]&amp;S951,tblEnrolledStuds[AdmissionStatusID]&amp;tblEnrolledStuds[StudID],0))</f>
        <v>#N/A</v>
      </c>
    </row>
    <row r="952" spans="2:25" x14ac:dyDescent="0.25">
      <c r="B952">
        <v>950</v>
      </c>
      <c r="C952">
        <v>238</v>
      </c>
      <c r="D952" s="22">
        <v>121</v>
      </c>
      <c r="P952" t="str">
        <f t="shared" si="18"/>
        <v>(NULL,"238","121"),</v>
      </c>
      <c r="Q952" t="str">
        <f>TextJoin(tblEnrolledSubjs[[#This Row],[CSubjID]:[EStudID]],"Value")</f>
        <v>"238","121"</v>
      </c>
      <c r="S952">
        <f>LOOKUP(LOOKUP(tblEnrolledSubjs[[#This Row],[CSubjID]], tblClassSubjs[CSubjID],tblClassSubjs[ClassID]),tblClasses[ClassID],tblClasses[STermID])</f>
        <v>4</v>
      </c>
      <c r="T952" t="str">
        <f>LOOKUP(S952,tblSchoolTerms[STermID],tblSchoolTerms[SemesterID]&amp;" Semester "&amp;tblSchoolTerms[SchoolYear])</f>
        <v>1 Semester S.Y. 2017-2018</v>
      </c>
      <c r="W9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2" t="e">
        <f t="array" ref="Y952">INDEX(tblEnrolledStuds[EStudID],MATCH(tblEnrolledSubjs[[#This Row],[EStudID]]&amp;S952,tblEnrolledStuds[AdmissionStatusID]&amp;tblEnrolledStuds[StudID],0))</f>
        <v>#N/A</v>
      </c>
    </row>
    <row r="953" spans="2:25" x14ac:dyDescent="0.25">
      <c r="B953">
        <v>951</v>
      </c>
      <c r="C953">
        <v>238</v>
      </c>
      <c r="D953" s="22">
        <v>122</v>
      </c>
      <c r="I953">
        <v>4</v>
      </c>
      <c r="P953" t="str">
        <f t="shared" si="18"/>
        <v>(NULL,"238","122"),</v>
      </c>
      <c r="Q953" t="str">
        <f>TextJoin(tblEnrolledSubjs[[#This Row],[CSubjID]:[EStudID]],"Value")</f>
        <v>"238","122"</v>
      </c>
      <c r="S953">
        <f>LOOKUP(LOOKUP(tblEnrolledSubjs[[#This Row],[CSubjID]], tblClassSubjs[CSubjID],tblClassSubjs[ClassID]),tblClasses[ClassID],tblClasses[STermID])</f>
        <v>4</v>
      </c>
      <c r="T953" t="str">
        <f>LOOKUP(S953,tblSchoolTerms[STermID],tblSchoolTerms[SemesterID]&amp;" Semester "&amp;tblSchoolTerms[SchoolYear])</f>
        <v>1 Semester S.Y. 2017-2018</v>
      </c>
      <c r="W9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3" t="e">
        <f t="array" ref="Y953">INDEX(tblEnrolledStuds[EStudID],MATCH(tblEnrolledSubjs[[#This Row],[EStudID]]&amp;S953,tblEnrolledStuds[AdmissionStatusID]&amp;tblEnrolledStuds[StudID],0))</f>
        <v>#N/A</v>
      </c>
    </row>
    <row r="954" spans="2:25" x14ac:dyDescent="0.25">
      <c r="B954">
        <v>952</v>
      </c>
      <c r="C954">
        <v>253</v>
      </c>
      <c r="D954">
        <v>123</v>
      </c>
      <c r="F954" s="28"/>
      <c r="G954" s="28"/>
      <c r="H954" s="28"/>
      <c r="I954" s="28">
        <v>5</v>
      </c>
      <c r="P954" t="str">
        <f t="shared" si="18"/>
        <v>(NULL,"253","123"),</v>
      </c>
      <c r="Q954" t="str">
        <f>TextJoin(tblEnrolledSubjs[[#This Row],[CSubjID]:[EStudID]],"Value")</f>
        <v>"253","123"</v>
      </c>
      <c r="S954">
        <f>LOOKUP(LOOKUP(tblEnrolledSubjs[[#This Row],[CSubjID]], tblClassSubjs[CSubjID],tblClassSubjs[ClassID]),tblClasses[ClassID],tblClasses[STermID])</f>
        <v>5</v>
      </c>
      <c r="T954" t="str">
        <f>LOOKUP(S954,tblSchoolTerms[STermID],tblSchoolTerms[SemesterID]&amp;" Semester "&amp;tblSchoolTerms[SchoolYear])</f>
        <v>2 Semester S.Y. 2016-2017</v>
      </c>
      <c r="W9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4" t="e">
        <f t="array" ref="Y954">INDEX(tblEnrolledStuds[EStudID],MATCH(tblEnrolledSubjs[[#This Row],[EStudID]]&amp;S954,tblEnrolledStuds[AdmissionStatusID]&amp;tblEnrolledStuds[StudID],0))</f>
        <v>#N/A</v>
      </c>
    </row>
    <row r="955" spans="2:25" x14ac:dyDescent="0.25">
      <c r="B955">
        <v>953</v>
      </c>
      <c r="C955">
        <v>253</v>
      </c>
      <c r="D955">
        <v>124</v>
      </c>
      <c r="P955" t="str">
        <f t="shared" si="18"/>
        <v>(NULL,"253","124"),</v>
      </c>
      <c r="Q955" t="str">
        <f>TextJoin(tblEnrolledSubjs[[#This Row],[CSubjID]:[EStudID]],"Value")</f>
        <v>"253","124"</v>
      </c>
      <c r="S955">
        <f>LOOKUP(LOOKUP(tblEnrolledSubjs[[#This Row],[CSubjID]], tblClassSubjs[CSubjID],tblClassSubjs[ClassID]),tblClasses[ClassID],tblClasses[STermID])</f>
        <v>5</v>
      </c>
      <c r="T955" t="str">
        <f>LOOKUP(S955,tblSchoolTerms[STermID],tblSchoolTerms[SemesterID]&amp;" Semester "&amp;tblSchoolTerms[SchoolYear])</f>
        <v>2 Semester S.Y. 2016-2017</v>
      </c>
      <c r="W9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5" t="e">
        <f t="array" ref="Y955">INDEX(tblEnrolledStuds[EStudID],MATCH(tblEnrolledSubjs[[#This Row],[EStudID]]&amp;S955,tblEnrolledStuds[AdmissionStatusID]&amp;tblEnrolledStuds[StudID],0))</f>
        <v>#N/A</v>
      </c>
    </row>
    <row r="956" spans="2:25" x14ac:dyDescent="0.25">
      <c r="B956">
        <v>954</v>
      </c>
      <c r="C956">
        <v>253</v>
      </c>
      <c r="D956">
        <v>125</v>
      </c>
      <c r="P956" t="str">
        <f t="shared" si="18"/>
        <v>(NULL,"253","125"),</v>
      </c>
      <c r="Q956" t="str">
        <f>TextJoin(tblEnrolledSubjs[[#This Row],[CSubjID]:[EStudID]],"Value")</f>
        <v>"253","125"</v>
      </c>
      <c r="S956">
        <f>LOOKUP(LOOKUP(tblEnrolledSubjs[[#This Row],[CSubjID]], tblClassSubjs[CSubjID],tblClassSubjs[ClassID]),tblClasses[ClassID],tblClasses[STermID])</f>
        <v>5</v>
      </c>
      <c r="T956" t="str">
        <f>LOOKUP(S956,tblSchoolTerms[STermID],tblSchoolTerms[SemesterID]&amp;" Semester "&amp;tblSchoolTerms[SchoolYear])</f>
        <v>2 Semester S.Y. 2016-2017</v>
      </c>
      <c r="W9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6" t="e">
        <f t="array" ref="Y956">INDEX(tblEnrolledStuds[EStudID],MATCH(tblEnrolledSubjs[[#This Row],[EStudID]]&amp;S956,tblEnrolledStuds[AdmissionStatusID]&amp;tblEnrolledStuds[StudID],0))</f>
        <v>#N/A</v>
      </c>
    </row>
    <row r="957" spans="2:25" x14ac:dyDescent="0.25">
      <c r="B957">
        <v>955</v>
      </c>
      <c r="C957">
        <v>253</v>
      </c>
      <c r="D957">
        <v>127</v>
      </c>
      <c r="P957" t="str">
        <f t="shared" si="18"/>
        <v>(NULL,"253","127"),</v>
      </c>
      <c r="Q957" t="str">
        <f>TextJoin(tblEnrolledSubjs[[#This Row],[CSubjID]:[EStudID]],"Value")</f>
        <v>"253","127"</v>
      </c>
      <c r="S957">
        <f>LOOKUP(LOOKUP(tblEnrolledSubjs[[#This Row],[CSubjID]], tblClassSubjs[CSubjID],tblClassSubjs[ClassID]),tblClasses[ClassID],tblClasses[STermID])</f>
        <v>5</v>
      </c>
      <c r="T957" t="str">
        <f>LOOKUP(S957,tblSchoolTerms[STermID],tblSchoolTerms[SemesterID]&amp;" Semester "&amp;tblSchoolTerms[SchoolYear])</f>
        <v>2 Semester S.Y. 2016-2017</v>
      </c>
      <c r="W9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7" t="e">
        <f t="array" ref="Y957">INDEX(tblEnrolledStuds[EStudID],MATCH(tblEnrolledSubjs[[#This Row],[EStudID]]&amp;S957,tblEnrolledStuds[AdmissionStatusID]&amp;tblEnrolledStuds[StudID],0))</f>
        <v>#N/A</v>
      </c>
    </row>
    <row r="958" spans="2:25" x14ac:dyDescent="0.25">
      <c r="B958">
        <v>956</v>
      </c>
      <c r="C958">
        <v>253</v>
      </c>
      <c r="D958">
        <v>128</v>
      </c>
      <c r="P958" t="str">
        <f t="shared" si="18"/>
        <v>(NULL,"253","128"),</v>
      </c>
      <c r="Q958" t="str">
        <f>TextJoin(tblEnrolledSubjs[[#This Row],[CSubjID]:[EStudID]],"Value")</f>
        <v>"253","128"</v>
      </c>
      <c r="S958">
        <f>LOOKUP(LOOKUP(tblEnrolledSubjs[[#This Row],[CSubjID]], tblClassSubjs[CSubjID],tblClassSubjs[ClassID]),tblClasses[ClassID],tblClasses[STermID])</f>
        <v>5</v>
      </c>
      <c r="T958" t="str">
        <f>LOOKUP(S958,tblSchoolTerms[STermID],tblSchoolTerms[SemesterID]&amp;" Semester "&amp;tblSchoolTerms[SchoolYear])</f>
        <v>2 Semester S.Y. 2016-2017</v>
      </c>
      <c r="W9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8" t="e">
        <f t="array" ref="Y958">INDEX(tblEnrolledStuds[EStudID],MATCH(tblEnrolledSubjs[[#This Row],[EStudID]]&amp;S958,tblEnrolledStuds[AdmissionStatusID]&amp;tblEnrolledStuds[StudID],0))</f>
        <v>#N/A</v>
      </c>
    </row>
    <row r="959" spans="2:25" x14ac:dyDescent="0.25">
      <c r="B959">
        <v>957</v>
      </c>
      <c r="C959">
        <v>253</v>
      </c>
      <c r="D959">
        <v>130</v>
      </c>
      <c r="P959" t="str">
        <f t="shared" si="18"/>
        <v>(NULL,"253","130"),</v>
      </c>
      <c r="Q959" t="str">
        <f>TextJoin(tblEnrolledSubjs[[#This Row],[CSubjID]:[EStudID]],"Value")</f>
        <v>"253","130"</v>
      </c>
      <c r="S959">
        <f>LOOKUP(LOOKUP(tblEnrolledSubjs[[#This Row],[CSubjID]], tblClassSubjs[CSubjID],tblClassSubjs[ClassID]),tblClasses[ClassID],tblClasses[STermID])</f>
        <v>5</v>
      </c>
      <c r="T959" t="str">
        <f>LOOKUP(S959,tblSchoolTerms[STermID],tblSchoolTerms[SemesterID]&amp;" Semester "&amp;tblSchoolTerms[SchoolYear])</f>
        <v>2 Semester S.Y. 2016-2017</v>
      </c>
      <c r="W9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59" t="e">
        <f t="array" ref="Y959">INDEX(tblEnrolledStuds[EStudID],MATCH(tblEnrolledSubjs[[#This Row],[EStudID]]&amp;S959,tblEnrolledStuds[AdmissionStatusID]&amp;tblEnrolledStuds[StudID],0))</f>
        <v>#N/A</v>
      </c>
    </row>
    <row r="960" spans="2:25" x14ac:dyDescent="0.25">
      <c r="B960">
        <v>958</v>
      </c>
      <c r="C960">
        <v>253</v>
      </c>
      <c r="D960">
        <v>131</v>
      </c>
      <c r="P960" t="str">
        <f t="shared" si="18"/>
        <v>(NULL,"253","131"),</v>
      </c>
      <c r="Q960" t="str">
        <f>TextJoin(tblEnrolledSubjs[[#This Row],[CSubjID]:[EStudID]],"Value")</f>
        <v>"253","131"</v>
      </c>
      <c r="S960">
        <f>LOOKUP(LOOKUP(tblEnrolledSubjs[[#This Row],[CSubjID]], tblClassSubjs[CSubjID],tblClassSubjs[ClassID]),tblClasses[ClassID],tblClasses[STermID])</f>
        <v>5</v>
      </c>
      <c r="T960" t="str">
        <f>LOOKUP(S960,tblSchoolTerms[STermID],tblSchoolTerms[SemesterID]&amp;" Semester "&amp;tblSchoolTerms[SchoolYear])</f>
        <v>2 Semester S.Y. 2016-2017</v>
      </c>
      <c r="W9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0" t="e">
        <f t="array" ref="Y960">INDEX(tblEnrolledStuds[EStudID],MATCH(tblEnrolledSubjs[[#This Row],[EStudID]]&amp;S960,tblEnrolledStuds[AdmissionStatusID]&amp;tblEnrolledStuds[StudID],0))</f>
        <v>#N/A</v>
      </c>
    </row>
    <row r="961" spans="2:25" x14ac:dyDescent="0.25">
      <c r="B961">
        <v>959</v>
      </c>
      <c r="C961">
        <v>253</v>
      </c>
      <c r="D961">
        <v>133</v>
      </c>
      <c r="P961" t="str">
        <f t="shared" si="18"/>
        <v>(NULL,"253","133"),</v>
      </c>
      <c r="Q961" t="str">
        <f>TextJoin(tblEnrolledSubjs[[#This Row],[CSubjID]:[EStudID]],"Value")</f>
        <v>"253","133"</v>
      </c>
      <c r="S961">
        <f>LOOKUP(LOOKUP(tblEnrolledSubjs[[#This Row],[CSubjID]], tblClassSubjs[CSubjID],tblClassSubjs[ClassID]),tblClasses[ClassID],tblClasses[STermID])</f>
        <v>5</v>
      </c>
      <c r="T961" t="str">
        <f>LOOKUP(S961,tblSchoolTerms[STermID],tblSchoolTerms[SemesterID]&amp;" Semester "&amp;tblSchoolTerms[SchoolYear])</f>
        <v>2 Semester S.Y. 2016-2017</v>
      </c>
      <c r="W9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1" t="e">
        <f t="array" ref="Y961">INDEX(tblEnrolledStuds[EStudID],MATCH(tblEnrolledSubjs[[#This Row],[EStudID]]&amp;S961,tblEnrolledStuds[AdmissionStatusID]&amp;tblEnrolledStuds[StudID],0))</f>
        <v>#N/A</v>
      </c>
    </row>
    <row r="962" spans="2:25" x14ac:dyDescent="0.25">
      <c r="B962">
        <v>960</v>
      </c>
      <c r="C962">
        <v>253</v>
      </c>
      <c r="D962">
        <v>135</v>
      </c>
      <c r="P962" t="str">
        <f t="shared" si="18"/>
        <v>(NULL,"253","135"),</v>
      </c>
      <c r="Q962" t="str">
        <f>TextJoin(tblEnrolledSubjs[[#This Row],[CSubjID]:[EStudID]],"Value")</f>
        <v>"253","135"</v>
      </c>
      <c r="S962">
        <f>LOOKUP(LOOKUP(tblEnrolledSubjs[[#This Row],[CSubjID]], tblClassSubjs[CSubjID],tblClassSubjs[ClassID]),tblClasses[ClassID],tblClasses[STermID])</f>
        <v>5</v>
      </c>
      <c r="T962" t="str">
        <f>LOOKUP(S962,tblSchoolTerms[STermID],tblSchoolTerms[SemesterID]&amp;" Semester "&amp;tblSchoolTerms[SchoolYear])</f>
        <v>2 Semester S.Y. 2016-2017</v>
      </c>
      <c r="W9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2" t="e">
        <f t="array" ref="Y962">INDEX(tblEnrolledStuds[EStudID],MATCH(tblEnrolledSubjs[[#This Row],[EStudID]]&amp;S962,tblEnrolledStuds[AdmissionStatusID]&amp;tblEnrolledStuds[StudID],0))</f>
        <v>#N/A</v>
      </c>
    </row>
    <row r="963" spans="2:25" x14ac:dyDescent="0.25">
      <c r="B963">
        <v>961</v>
      </c>
      <c r="C963">
        <v>253</v>
      </c>
      <c r="D963">
        <v>136</v>
      </c>
      <c r="P963" t="str">
        <f t="shared" si="18"/>
        <v>(NULL,"253","136"),</v>
      </c>
      <c r="Q963" t="str">
        <f>TextJoin(tblEnrolledSubjs[[#This Row],[CSubjID]:[EStudID]],"Value")</f>
        <v>"253","136"</v>
      </c>
      <c r="S963">
        <f>LOOKUP(LOOKUP(tblEnrolledSubjs[[#This Row],[CSubjID]], tblClassSubjs[CSubjID],tblClassSubjs[ClassID]),tblClasses[ClassID],tblClasses[STermID])</f>
        <v>5</v>
      </c>
      <c r="T963" t="str">
        <f>LOOKUP(S963,tblSchoolTerms[STermID],tblSchoolTerms[SemesterID]&amp;" Semester "&amp;tblSchoolTerms[SchoolYear])</f>
        <v>2 Semester S.Y. 2016-2017</v>
      </c>
      <c r="W9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3" t="e">
        <f t="array" ref="Y963">INDEX(tblEnrolledStuds[EStudID],MATCH(tblEnrolledSubjs[[#This Row],[EStudID]]&amp;S963,tblEnrolledStuds[AdmissionStatusID]&amp;tblEnrolledStuds[StudID],0))</f>
        <v>#N/A</v>
      </c>
    </row>
    <row r="964" spans="2:25" x14ac:dyDescent="0.25">
      <c r="B964">
        <v>962</v>
      </c>
      <c r="C964">
        <v>253</v>
      </c>
      <c r="D964">
        <v>129</v>
      </c>
      <c r="P964" t="str">
        <f t="shared" ref="P964:P1027" si="19">"(NULL,"&amp;Q964&amp;")"&amp;IF(P965&lt;&gt;"",",",";")</f>
        <v>(NULL,"253","129"),</v>
      </c>
      <c r="Q964" t="str">
        <f>TextJoin(tblEnrolledSubjs[[#This Row],[CSubjID]:[EStudID]],"Value")</f>
        <v>"253","129"</v>
      </c>
      <c r="S964">
        <f>LOOKUP(LOOKUP(tblEnrolledSubjs[[#This Row],[CSubjID]], tblClassSubjs[CSubjID],tblClassSubjs[ClassID]),tblClasses[ClassID],tblClasses[STermID])</f>
        <v>5</v>
      </c>
      <c r="T964" t="str">
        <f>LOOKUP(S964,tblSchoolTerms[STermID],tblSchoolTerms[SemesterID]&amp;" Semester "&amp;tblSchoolTerms[SchoolYear])</f>
        <v>2 Semester S.Y. 2016-2017</v>
      </c>
      <c r="W9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4" t="e">
        <f t="array" ref="Y964">INDEX(tblEnrolledStuds[EStudID],MATCH(tblEnrolledSubjs[[#This Row],[EStudID]]&amp;S964,tblEnrolledStuds[AdmissionStatusID]&amp;tblEnrolledStuds[StudID],0))</f>
        <v>#N/A</v>
      </c>
    </row>
    <row r="965" spans="2:25" x14ac:dyDescent="0.25">
      <c r="B965">
        <v>963</v>
      </c>
      <c r="C965">
        <v>259</v>
      </c>
      <c r="D965">
        <v>123</v>
      </c>
      <c r="P965" t="str">
        <f t="shared" si="19"/>
        <v>(NULL,"259","123"),</v>
      </c>
      <c r="Q965" t="str">
        <f>TextJoin(tblEnrolledSubjs[[#This Row],[CSubjID]:[EStudID]],"Value")</f>
        <v>"259","123"</v>
      </c>
      <c r="S965">
        <f>LOOKUP(LOOKUP(tblEnrolledSubjs[[#This Row],[CSubjID]], tblClassSubjs[CSubjID],tblClassSubjs[ClassID]),tblClasses[ClassID],tblClasses[STermID])</f>
        <v>5</v>
      </c>
      <c r="T965" t="str">
        <f>LOOKUP(S965,tblSchoolTerms[STermID],tblSchoolTerms[SemesterID]&amp;" Semester "&amp;tblSchoolTerms[SchoolYear])</f>
        <v>2 Semester S.Y. 2016-2017</v>
      </c>
      <c r="W9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5" t="e">
        <f t="array" ref="Y965">INDEX(tblEnrolledStuds[EStudID],MATCH(tblEnrolledSubjs[[#This Row],[EStudID]]&amp;S965,tblEnrolledStuds[AdmissionStatusID]&amp;tblEnrolledStuds[StudID],0))</f>
        <v>#N/A</v>
      </c>
    </row>
    <row r="966" spans="2:25" x14ac:dyDescent="0.25">
      <c r="B966">
        <v>964</v>
      </c>
      <c r="C966">
        <v>259</v>
      </c>
      <c r="D966">
        <v>124</v>
      </c>
      <c r="P966" t="str">
        <f t="shared" si="19"/>
        <v>(NULL,"259","124"),</v>
      </c>
      <c r="Q966" t="str">
        <f>TextJoin(tblEnrolledSubjs[[#This Row],[CSubjID]:[EStudID]],"Value")</f>
        <v>"259","124"</v>
      </c>
      <c r="S966">
        <f>LOOKUP(LOOKUP(tblEnrolledSubjs[[#This Row],[CSubjID]], tblClassSubjs[CSubjID],tblClassSubjs[ClassID]),tblClasses[ClassID],tblClasses[STermID])</f>
        <v>5</v>
      </c>
      <c r="T966" t="str">
        <f>LOOKUP(S966,tblSchoolTerms[STermID],tblSchoolTerms[SemesterID]&amp;" Semester "&amp;tblSchoolTerms[SchoolYear])</f>
        <v>2 Semester S.Y. 2016-2017</v>
      </c>
      <c r="W9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6" t="e">
        <f t="array" ref="Y966">INDEX(tblEnrolledStuds[EStudID],MATCH(tblEnrolledSubjs[[#This Row],[EStudID]]&amp;S966,tblEnrolledStuds[AdmissionStatusID]&amp;tblEnrolledStuds[StudID],0))</f>
        <v>#N/A</v>
      </c>
    </row>
    <row r="967" spans="2:25" x14ac:dyDescent="0.25">
      <c r="B967">
        <v>965</v>
      </c>
      <c r="C967">
        <v>259</v>
      </c>
      <c r="D967">
        <v>125</v>
      </c>
      <c r="P967" t="str">
        <f t="shared" si="19"/>
        <v>(NULL,"259","125"),</v>
      </c>
      <c r="Q967" t="str">
        <f>TextJoin(tblEnrolledSubjs[[#This Row],[CSubjID]:[EStudID]],"Value")</f>
        <v>"259","125"</v>
      </c>
      <c r="S967">
        <f>LOOKUP(LOOKUP(tblEnrolledSubjs[[#This Row],[CSubjID]], tblClassSubjs[CSubjID],tblClassSubjs[ClassID]),tblClasses[ClassID],tblClasses[STermID])</f>
        <v>5</v>
      </c>
      <c r="T967" t="str">
        <f>LOOKUP(S967,tblSchoolTerms[STermID],tblSchoolTerms[SemesterID]&amp;" Semester "&amp;tblSchoolTerms[SchoolYear])</f>
        <v>2 Semester S.Y. 2016-2017</v>
      </c>
      <c r="W9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7" t="e">
        <f t="array" ref="Y967">INDEX(tblEnrolledStuds[EStudID],MATCH(tblEnrolledSubjs[[#This Row],[EStudID]]&amp;S967,tblEnrolledStuds[AdmissionStatusID]&amp;tblEnrolledStuds[StudID],0))</f>
        <v>#N/A</v>
      </c>
    </row>
    <row r="968" spans="2:25" x14ac:dyDescent="0.25">
      <c r="B968">
        <v>966</v>
      </c>
      <c r="C968">
        <v>259</v>
      </c>
      <c r="D968">
        <v>127</v>
      </c>
      <c r="P968" t="str">
        <f t="shared" si="19"/>
        <v>(NULL,"259","127"),</v>
      </c>
      <c r="Q968" t="str">
        <f>TextJoin(tblEnrolledSubjs[[#This Row],[CSubjID]:[EStudID]],"Value")</f>
        <v>"259","127"</v>
      </c>
      <c r="S968">
        <f>LOOKUP(LOOKUP(tblEnrolledSubjs[[#This Row],[CSubjID]], tblClassSubjs[CSubjID],tblClassSubjs[ClassID]),tblClasses[ClassID],tblClasses[STermID])</f>
        <v>5</v>
      </c>
      <c r="T968" t="str">
        <f>LOOKUP(S968,tblSchoolTerms[STermID],tblSchoolTerms[SemesterID]&amp;" Semester "&amp;tblSchoolTerms[SchoolYear])</f>
        <v>2 Semester S.Y. 2016-2017</v>
      </c>
      <c r="W9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8" t="e">
        <f t="array" ref="Y968">INDEX(tblEnrolledStuds[EStudID],MATCH(tblEnrolledSubjs[[#This Row],[EStudID]]&amp;S968,tblEnrolledStuds[AdmissionStatusID]&amp;tblEnrolledStuds[StudID],0))</f>
        <v>#N/A</v>
      </c>
    </row>
    <row r="969" spans="2:25" x14ac:dyDescent="0.25">
      <c r="B969">
        <v>967</v>
      </c>
      <c r="C969">
        <v>259</v>
      </c>
      <c r="D969">
        <v>128</v>
      </c>
      <c r="P969" t="str">
        <f t="shared" si="19"/>
        <v>(NULL,"259","128"),</v>
      </c>
      <c r="Q969" t="str">
        <f>TextJoin(tblEnrolledSubjs[[#This Row],[CSubjID]:[EStudID]],"Value")</f>
        <v>"259","128"</v>
      </c>
      <c r="S969">
        <f>LOOKUP(LOOKUP(tblEnrolledSubjs[[#This Row],[CSubjID]], tblClassSubjs[CSubjID],tblClassSubjs[ClassID]),tblClasses[ClassID],tblClasses[STermID])</f>
        <v>5</v>
      </c>
      <c r="T969" t="str">
        <f>LOOKUP(S969,tblSchoolTerms[STermID],tblSchoolTerms[SemesterID]&amp;" Semester "&amp;tblSchoolTerms[SchoolYear])</f>
        <v>2 Semester S.Y. 2016-2017</v>
      </c>
      <c r="W9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69" t="e">
        <f t="array" ref="Y969">INDEX(tblEnrolledStuds[EStudID],MATCH(tblEnrolledSubjs[[#This Row],[EStudID]]&amp;S969,tblEnrolledStuds[AdmissionStatusID]&amp;tblEnrolledStuds[StudID],0))</f>
        <v>#N/A</v>
      </c>
    </row>
    <row r="970" spans="2:25" x14ac:dyDescent="0.25">
      <c r="B970">
        <v>968</v>
      </c>
      <c r="C970">
        <v>259</v>
      </c>
      <c r="D970">
        <v>130</v>
      </c>
      <c r="P970" t="str">
        <f t="shared" si="19"/>
        <v>(NULL,"259","130"),</v>
      </c>
      <c r="Q970" t="str">
        <f>TextJoin(tblEnrolledSubjs[[#This Row],[CSubjID]:[EStudID]],"Value")</f>
        <v>"259","130"</v>
      </c>
      <c r="S970">
        <f>LOOKUP(LOOKUP(tblEnrolledSubjs[[#This Row],[CSubjID]], tblClassSubjs[CSubjID],tblClassSubjs[ClassID]),tblClasses[ClassID],tblClasses[STermID])</f>
        <v>5</v>
      </c>
      <c r="T970" t="str">
        <f>LOOKUP(S970,tblSchoolTerms[STermID],tblSchoolTerms[SemesterID]&amp;" Semester "&amp;tblSchoolTerms[SchoolYear])</f>
        <v>2 Semester S.Y. 2016-2017</v>
      </c>
      <c r="W9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0" t="e">
        <f t="array" ref="Y970">INDEX(tblEnrolledStuds[EStudID],MATCH(tblEnrolledSubjs[[#This Row],[EStudID]]&amp;S970,tblEnrolledStuds[AdmissionStatusID]&amp;tblEnrolledStuds[StudID],0))</f>
        <v>#N/A</v>
      </c>
    </row>
    <row r="971" spans="2:25" x14ac:dyDescent="0.25">
      <c r="B971">
        <v>969</v>
      </c>
      <c r="C971">
        <v>259</v>
      </c>
      <c r="D971">
        <v>131</v>
      </c>
      <c r="P971" t="str">
        <f t="shared" si="19"/>
        <v>(NULL,"259","131"),</v>
      </c>
      <c r="Q971" t="str">
        <f>TextJoin(tblEnrolledSubjs[[#This Row],[CSubjID]:[EStudID]],"Value")</f>
        <v>"259","131"</v>
      </c>
      <c r="S971">
        <f>LOOKUP(LOOKUP(tblEnrolledSubjs[[#This Row],[CSubjID]], tblClassSubjs[CSubjID],tblClassSubjs[ClassID]),tblClasses[ClassID],tblClasses[STermID])</f>
        <v>5</v>
      </c>
      <c r="T971" t="str">
        <f>LOOKUP(S971,tblSchoolTerms[STermID],tblSchoolTerms[SemesterID]&amp;" Semester "&amp;tblSchoolTerms[SchoolYear])</f>
        <v>2 Semester S.Y. 2016-2017</v>
      </c>
      <c r="W9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1" t="e">
        <f t="array" ref="Y971">INDEX(tblEnrolledStuds[EStudID],MATCH(tblEnrolledSubjs[[#This Row],[EStudID]]&amp;S971,tblEnrolledStuds[AdmissionStatusID]&amp;tblEnrolledStuds[StudID],0))</f>
        <v>#N/A</v>
      </c>
    </row>
    <row r="972" spans="2:25" x14ac:dyDescent="0.25">
      <c r="B972">
        <v>970</v>
      </c>
      <c r="C972">
        <v>259</v>
      </c>
      <c r="D972">
        <v>133</v>
      </c>
      <c r="P972" t="str">
        <f t="shared" si="19"/>
        <v>(NULL,"259","133"),</v>
      </c>
      <c r="Q972" t="str">
        <f>TextJoin(tblEnrolledSubjs[[#This Row],[CSubjID]:[EStudID]],"Value")</f>
        <v>"259","133"</v>
      </c>
      <c r="S972">
        <f>LOOKUP(LOOKUP(tblEnrolledSubjs[[#This Row],[CSubjID]], tblClassSubjs[CSubjID],tblClassSubjs[ClassID]),tblClasses[ClassID],tblClasses[STermID])</f>
        <v>5</v>
      </c>
      <c r="T972" t="str">
        <f>LOOKUP(S972,tblSchoolTerms[STermID],tblSchoolTerms[SemesterID]&amp;" Semester "&amp;tblSchoolTerms[SchoolYear])</f>
        <v>2 Semester S.Y. 2016-2017</v>
      </c>
      <c r="W9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2" t="e">
        <f t="array" ref="Y972">INDEX(tblEnrolledStuds[EStudID],MATCH(tblEnrolledSubjs[[#This Row],[EStudID]]&amp;S972,tblEnrolledStuds[AdmissionStatusID]&amp;tblEnrolledStuds[StudID],0))</f>
        <v>#N/A</v>
      </c>
    </row>
    <row r="973" spans="2:25" x14ac:dyDescent="0.25">
      <c r="B973">
        <v>971</v>
      </c>
      <c r="C973">
        <v>259</v>
      </c>
      <c r="D973">
        <v>135</v>
      </c>
      <c r="P973" t="str">
        <f t="shared" si="19"/>
        <v>(NULL,"259","135"),</v>
      </c>
      <c r="Q973" t="str">
        <f>TextJoin(tblEnrolledSubjs[[#This Row],[CSubjID]:[EStudID]],"Value")</f>
        <v>"259","135"</v>
      </c>
      <c r="S973">
        <f>LOOKUP(LOOKUP(tblEnrolledSubjs[[#This Row],[CSubjID]], tblClassSubjs[CSubjID],tblClassSubjs[ClassID]),tblClasses[ClassID],tblClasses[STermID])</f>
        <v>5</v>
      </c>
      <c r="T973" t="str">
        <f>LOOKUP(S973,tblSchoolTerms[STermID],tblSchoolTerms[SemesterID]&amp;" Semester "&amp;tblSchoolTerms[SchoolYear])</f>
        <v>2 Semester S.Y. 2016-2017</v>
      </c>
      <c r="W9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3" t="e">
        <f t="array" ref="Y973">INDEX(tblEnrolledStuds[EStudID],MATCH(tblEnrolledSubjs[[#This Row],[EStudID]]&amp;S973,tblEnrolledStuds[AdmissionStatusID]&amp;tblEnrolledStuds[StudID],0))</f>
        <v>#N/A</v>
      </c>
    </row>
    <row r="974" spans="2:25" x14ac:dyDescent="0.25">
      <c r="B974">
        <v>972</v>
      </c>
      <c r="C974">
        <v>259</v>
      </c>
      <c r="D974">
        <v>136</v>
      </c>
      <c r="P974" t="str">
        <f t="shared" si="19"/>
        <v>(NULL,"259","136"),</v>
      </c>
      <c r="Q974" t="str">
        <f>TextJoin(tblEnrolledSubjs[[#This Row],[CSubjID]:[EStudID]],"Value")</f>
        <v>"259","136"</v>
      </c>
      <c r="S974">
        <f>LOOKUP(LOOKUP(tblEnrolledSubjs[[#This Row],[CSubjID]], tblClassSubjs[CSubjID],tblClassSubjs[ClassID]),tblClasses[ClassID],tblClasses[STermID])</f>
        <v>5</v>
      </c>
      <c r="T974" t="str">
        <f>LOOKUP(S974,tblSchoolTerms[STermID],tblSchoolTerms[SemesterID]&amp;" Semester "&amp;tblSchoolTerms[SchoolYear])</f>
        <v>2 Semester S.Y. 2016-2017</v>
      </c>
      <c r="W9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4" t="e">
        <f t="array" ref="Y974">INDEX(tblEnrolledStuds[EStudID],MATCH(tblEnrolledSubjs[[#This Row],[EStudID]]&amp;S974,tblEnrolledStuds[AdmissionStatusID]&amp;tblEnrolledStuds[StudID],0))</f>
        <v>#N/A</v>
      </c>
    </row>
    <row r="975" spans="2:25" x14ac:dyDescent="0.25">
      <c r="B975">
        <v>973</v>
      </c>
      <c r="C975">
        <v>259</v>
      </c>
      <c r="D975">
        <v>129</v>
      </c>
      <c r="P975" t="str">
        <f t="shared" si="19"/>
        <v>(NULL,"259","129"),</v>
      </c>
      <c r="Q975" t="str">
        <f>TextJoin(tblEnrolledSubjs[[#This Row],[CSubjID]:[EStudID]],"Value")</f>
        <v>"259","129"</v>
      </c>
      <c r="S975">
        <f>LOOKUP(LOOKUP(tblEnrolledSubjs[[#This Row],[CSubjID]], tblClassSubjs[CSubjID],tblClassSubjs[ClassID]),tblClasses[ClassID],tblClasses[STermID])</f>
        <v>5</v>
      </c>
      <c r="T975" t="str">
        <f>LOOKUP(S975,tblSchoolTerms[STermID],tblSchoolTerms[SemesterID]&amp;" Semester "&amp;tblSchoolTerms[SchoolYear])</f>
        <v>2 Semester S.Y. 2016-2017</v>
      </c>
      <c r="W9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5" t="e">
        <f t="array" ref="Y975">INDEX(tblEnrolledStuds[EStudID],MATCH(tblEnrolledSubjs[[#This Row],[EStudID]]&amp;S975,tblEnrolledStuds[AdmissionStatusID]&amp;tblEnrolledStuds[StudID],0))</f>
        <v>#N/A</v>
      </c>
    </row>
    <row r="976" spans="2:25" x14ac:dyDescent="0.25">
      <c r="B976">
        <v>974</v>
      </c>
      <c r="C976">
        <v>260</v>
      </c>
      <c r="D976">
        <v>123</v>
      </c>
      <c r="P976" t="str">
        <f t="shared" si="19"/>
        <v>(NULL,"260","123"),</v>
      </c>
      <c r="Q976" t="str">
        <f>TextJoin(tblEnrolledSubjs[[#This Row],[CSubjID]:[EStudID]],"Value")</f>
        <v>"260","123"</v>
      </c>
      <c r="S976">
        <f>LOOKUP(LOOKUP(tblEnrolledSubjs[[#This Row],[CSubjID]], tblClassSubjs[CSubjID],tblClassSubjs[ClassID]),tblClasses[ClassID],tblClasses[STermID])</f>
        <v>5</v>
      </c>
      <c r="T976" t="str">
        <f>LOOKUP(S976,tblSchoolTerms[STermID],tblSchoolTerms[SemesterID]&amp;" Semester "&amp;tblSchoolTerms[SchoolYear])</f>
        <v>2 Semester S.Y. 2016-2017</v>
      </c>
      <c r="W9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6" t="e">
        <f t="array" ref="Y976">INDEX(tblEnrolledStuds[EStudID],MATCH(tblEnrolledSubjs[[#This Row],[EStudID]]&amp;S976,tblEnrolledStuds[AdmissionStatusID]&amp;tblEnrolledStuds[StudID],0))</f>
        <v>#N/A</v>
      </c>
    </row>
    <row r="977" spans="2:25" x14ac:dyDescent="0.25">
      <c r="B977">
        <v>975</v>
      </c>
      <c r="C977">
        <v>260</v>
      </c>
      <c r="D977">
        <v>124</v>
      </c>
      <c r="P977" t="str">
        <f t="shared" si="19"/>
        <v>(NULL,"260","124"),</v>
      </c>
      <c r="Q977" t="str">
        <f>TextJoin(tblEnrolledSubjs[[#This Row],[CSubjID]:[EStudID]],"Value")</f>
        <v>"260","124"</v>
      </c>
      <c r="S977">
        <f>LOOKUP(LOOKUP(tblEnrolledSubjs[[#This Row],[CSubjID]], tblClassSubjs[CSubjID],tblClassSubjs[ClassID]),tblClasses[ClassID],tblClasses[STermID])</f>
        <v>5</v>
      </c>
      <c r="T977" t="str">
        <f>LOOKUP(S977,tblSchoolTerms[STermID],tblSchoolTerms[SemesterID]&amp;" Semester "&amp;tblSchoolTerms[SchoolYear])</f>
        <v>2 Semester S.Y. 2016-2017</v>
      </c>
      <c r="W9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7" t="e">
        <f t="array" ref="Y977">INDEX(tblEnrolledStuds[EStudID],MATCH(tblEnrolledSubjs[[#This Row],[EStudID]]&amp;S977,tblEnrolledStuds[AdmissionStatusID]&amp;tblEnrolledStuds[StudID],0))</f>
        <v>#N/A</v>
      </c>
    </row>
    <row r="978" spans="2:25" x14ac:dyDescent="0.25">
      <c r="B978">
        <v>976</v>
      </c>
      <c r="C978">
        <v>260</v>
      </c>
      <c r="D978">
        <v>125</v>
      </c>
      <c r="P978" t="str">
        <f t="shared" si="19"/>
        <v>(NULL,"260","125"),</v>
      </c>
      <c r="Q978" t="str">
        <f>TextJoin(tblEnrolledSubjs[[#This Row],[CSubjID]:[EStudID]],"Value")</f>
        <v>"260","125"</v>
      </c>
      <c r="S978">
        <f>LOOKUP(LOOKUP(tblEnrolledSubjs[[#This Row],[CSubjID]], tblClassSubjs[CSubjID],tblClassSubjs[ClassID]),tblClasses[ClassID],tblClasses[STermID])</f>
        <v>5</v>
      </c>
      <c r="T978" t="str">
        <f>LOOKUP(S978,tblSchoolTerms[STermID],tblSchoolTerms[SemesterID]&amp;" Semester "&amp;tblSchoolTerms[SchoolYear])</f>
        <v>2 Semester S.Y. 2016-2017</v>
      </c>
      <c r="W9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8" t="e">
        <f t="array" ref="Y978">INDEX(tblEnrolledStuds[EStudID],MATCH(tblEnrolledSubjs[[#This Row],[EStudID]]&amp;S978,tblEnrolledStuds[AdmissionStatusID]&amp;tblEnrolledStuds[StudID],0))</f>
        <v>#N/A</v>
      </c>
    </row>
    <row r="979" spans="2:25" x14ac:dyDescent="0.25">
      <c r="B979">
        <v>977</v>
      </c>
      <c r="C979">
        <v>260</v>
      </c>
      <c r="D979">
        <v>127</v>
      </c>
      <c r="P979" t="str">
        <f t="shared" si="19"/>
        <v>(NULL,"260","127"),</v>
      </c>
      <c r="Q979" t="str">
        <f>TextJoin(tblEnrolledSubjs[[#This Row],[CSubjID]:[EStudID]],"Value")</f>
        <v>"260","127"</v>
      </c>
      <c r="S979">
        <f>LOOKUP(LOOKUP(tblEnrolledSubjs[[#This Row],[CSubjID]], tblClassSubjs[CSubjID],tblClassSubjs[ClassID]),tblClasses[ClassID],tblClasses[STermID])</f>
        <v>5</v>
      </c>
      <c r="T979" t="str">
        <f>LOOKUP(S979,tblSchoolTerms[STermID],tblSchoolTerms[SemesterID]&amp;" Semester "&amp;tblSchoolTerms[SchoolYear])</f>
        <v>2 Semester S.Y. 2016-2017</v>
      </c>
      <c r="W9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79" t="e">
        <f t="array" ref="Y979">INDEX(tblEnrolledStuds[EStudID],MATCH(tblEnrolledSubjs[[#This Row],[EStudID]]&amp;S979,tblEnrolledStuds[AdmissionStatusID]&amp;tblEnrolledStuds[StudID],0))</f>
        <v>#N/A</v>
      </c>
    </row>
    <row r="980" spans="2:25" x14ac:dyDescent="0.25">
      <c r="B980">
        <v>978</v>
      </c>
      <c r="C980">
        <v>260</v>
      </c>
      <c r="D980">
        <v>128</v>
      </c>
      <c r="P980" t="str">
        <f t="shared" si="19"/>
        <v>(NULL,"260","128"),</v>
      </c>
      <c r="Q980" t="str">
        <f>TextJoin(tblEnrolledSubjs[[#This Row],[CSubjID]:[EStudID]],"Value")</f>
        <v>"260","128"</v>
      </c>
      <c r="S980">
        <f>LOOKUP(LOOKUP(tblEnrolledSubjs[[#This Row],[CSubjID]], tblClassSubjs[CSubjID],tblClassSubjs[ClassID]),tblClasses[ClassID],tblClasses[STermID])</f>
        <v>5</v>
      </c>
      <c r="T980" t="str">
        <f>LOOKUP(S980,tblSchoolTerms[STermID],tblSchoolTerms[SemesterID]&amp;" Semester "&amp;tblSchoolTerms[SchoolYear])</f>
        <v>2 Semester S.Y. 2016-2017</v>
      </c>
      <c r="W9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0" t="e">
        <f t="array" ref="Y980">INDEX(tblEnrolledStuds[EStudID],MATCH(tblEnrolledSubjs[[#This Row],[EStudID]]&amp;S980,tblEnrolledStuds[AdmissionStatusID]&amp;tblEnrolledStuds[StudID],0))</f>
        <v>#N/A</v>
      </c>
    </row>
    <row r="981" spans="2:25" x14ac:dyDescent="0.25">
      <c r="B981">
        <v>979</v>
      </c>
      <c r="C981">
        <v>260</v>
      </c>
      <c r="D981">
        <v>130</v>
      </c>
      <c r="P981" t="str">
        <f t="shared" si="19"/>
        <v>(NULL,"260","130"),</v>
      </c>
      <c r="Q981" t="str">
        <f>TextJoin(tblEnrolledSubjs[[#This Row],[CSubjID]:[EStudID]],"Value")</f>
        <v>"260","130"</v>
      </c>
      <c r="S981">
        <f>LOOKUP(LOOKUP(tblEnrolledSubjs[[#This Row],[CSubjID]], tblClassSubjs[CSubjID],tblClassSubjs[ClassID]),tblClasses[ClassID],tblClasses[STermID])</f>
        <v>5</v>
      </c>
      <c r="T981" t="str">
        <f>LOOKUP(S981,tblSchoolTerms[STermID],tblSchoolTerms[SemesterID]&amp;" Semester "&amp;tblSchoolTerms[SchoolYear])</f>
        <v>2 Semester S.Y. 2016-2017</v>
      </c>
      <c r="W9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1" t="e">
        <f t="array" ref="Y981">INDEX(tblEnrolledStuds[EStudID],MATCH(tblEnrolledSubjs[[#This Row],[EStudID]]&amp;S981,tblEnrolledStuds[AdmissionStatusID]&amp;tblEnrolledStuds[StudID],0))</f>
        <v>#N/A</v>
      </c>
    </row>
    <row r="982" spans="2:25" x14ac:dyDescent="0.25">
      <c r="B982">
        <v>980</v>
      </c>
      <c r="C982">
        <v>260</v>
      </c>
      <c r="D982">
        <v>131</v>
      </c>
      <c r="P982" t="str">
        <f t="shared" si="19"/>
        <v>(NULL,"260","131"),</v>
      </c>
      <c r="Q982" t="str">
        <f>TextJoin(tblEnrolledSubjs[[#This Row],[CSubjID]:[EStudID]],"Value")</f>
        <v>"260","131"</v>
      </c>
      <c r="S982">
        <f>LOOKUP(LOOKUP(tblEnrolledSubjs[[#This Row],[CSubjID]], tblClassSubjs[CSubjID],tblClassSubjs[ClassID]),tblClasses[ClassID],tblClasses[STermID])</f>
        <v>5</v>
      </c>
      <c r="T982" t="str">
        <f>LOOKUP(S982,tblSchoolTerms[STermID],tblSchoolTerms[SemesterID]&amp;" Semester "&amp;tblSchoolTerms[SchoolYear])</f>
        <v>2 Semester S.Y. 2016-2017</v>
      </c>
      <c r="W9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2" t="e">
        <f t="array" ref="Y982">INDEX(tblEnrolledStuds[EStudID],MATCH(tblEnrolledSubjs[[#This Row],[EStudID]]&amp;S982,tblEnrolledStuds[AdmissionStatusID]&amp;tblEnrolledStuds[StudID],0))</f>
        <v>#N/A</v>
      </c>
    </row>
    <row r="983" spans="2:25" x14ac:dyDescent="0.25">
      <c r="B983">
        <v>981</v>
      </c>
      <c r="C983">
        <v>260</v>
      </c>
      <c r="D983">
        <v>133</v>
      </c>
      <c r="P983" t="str">
        <f t="shared" si="19"/>
        <v>(NULL,"260","133"),</v>
      </c>
      <c r="Q983" t="str">
        <f>TextJoin(tblEnrolledSubjs[[#This Row],[CSubjID]:[EStudID]],"Value")</f>
        <v>"260","133"</v>
      </c>
      <c r="S983">
        <f>LOOKUP(LOOKUP(tblEnrolledSubjs[[#This Row],[CSubjID]], tblClassSubjs[CSubjID],tblClassSubjs[ClassID]),tblClasses[ClassID],tblClasses[STermID])</f>
        <v>5</v>
      </c>
      <c r="T983" t="str">
        <f>LOOKUP(S983,tblSchoolTerms[STermID],tblSchoolTerms[SemesterID]&amp;" Semester "&amp;tblSchoolTerms[SchoolYear])</f>
        <v>2 Semester S.Y. 2016-2017</v>
      </c>
      <c r="W9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3" t="e">
        <f t="array" ref="Y983">INDEX(tblEnrolledStuds[EStudID],MATCH(tblEnrolledSubjs[[#This Row],[EStudID]]&amp;S983,tblEnrolledStuds[AdmissionStatusID]&amp;tblEnrolledStuds[StudID],0))</f>
        <v>#N/A</v>
      </c>
    </row>
    <row r="984" spans="2:25" x14ac:dyDescent="0.25">
      <c r="B984">
        <v>982</v>
      </c>
      <c r="C984">
        <v>260</v>
      </c>
      <c r="D984">
        <v>135</v>
      </c>
      <c r="P984" t="str">
        <f t="shared" si="19"/>
        <v>(NULL,"260","135"),</v>
      </c>
      <c r="Q984" t="str">
        <f>TextJoin(tblEnrolledSubjs[[#This Row],[CSubjID]:[EStudID]],"Value")</f>
        <v>"260","135"</v>
      </c>
      <c r="S984">
        <f>LOOKUP(LOOKUP(tblEnrolledSubjs[[#This Row],[CSubjID]], tblClassSubjs[CSubjID],tblClassSubjs[ClassID]),tblClasses[ClassID],tblClasses[STermID])</f>
        <v>5</v>
      </c>
      <c r="T984" t="str">
        <f>LOOKUP(S984,tblSchoolTerms[STermID],tblSchoolTerms[SemesterID]&amp;" Semester "&amp;tblSchoolTerms[SchoolYear])</f>
        <v>2 Semester S.Y. 2016-2017</v>
      </c>
      <c r="W9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4" t="e">
        <f t="array" ref="Y984">INDEX(tblEnrolledStuds[EStudID],MATCH(tblEnrolledSubjs[[#This Row],[EStudID]]&amp;S984,tblEnrolledStuds[AdmissionStatusID]&amp;tblEnrolledStuds[StudID],0))</f>
        <v>#N/A</v>
      </c>
    </row>
    <row r="985" spans="2:25" x14ac:dyDescent="0.25">
      <c r="B985">
        <v>983</v>
      </c>
      <c r="C985">
        <v>260</v>
      </c>
      <c r="D985">
        <v>136</v>
      </c>
      <c r="P985" t="str">
        <f t="shared" si="19"/>
        <v>(NULL,"260","136"),</v>
      </c>
      <c r="Q985" t="str">
        <f>TextJoin(tblEnrolledSubjs[[#This Row],[CSubjID]:[EStudID]],"Value")</f>
        <v>"260","136"</v>
      </c>
      <c r="S985">
        <f>LOOKUP(LOOKUP(tblEnrolledSubjs[[#This Row],[CSubjID]], tblClassSubjs[CSubjID],tblClassSubjs[ClassID]),tblClasses[ClassID],tblClasses[STermID])</f>
        <v>5</v>
      </c>
      <c r="T985" t="str">
        <f>LOOKUP(S985,tblSchoolTerms[STermID],tblSchoolTerms[SemesterID]&amp;" Semester "&amp;tblSchoolTerms[SchoolYear])</f>
        <v>2 Semester S.Y. 2016-2017</v>
      </c>
      <c r="W9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5" t="e">
        <f t="array" ref="Y985">INDEX(tblEnrolledStuds[EStudID],MATCH(tblEnrolledSubjs[[#This Row],[EStudID]]&amp;S985,tblEnrolledStuds[AdmissionStatusID]&amp;tblEnrolledStuds[StudID],0))</f>
        <v>#N/A</v>
      </c>
    </row>
    <row r="986" spans="2:25" x14ac:dyDescent="0.25">
      <c r="B986">
        <v>984</v>
      </c>
      <c r="C986">
        <v>260</v>
      </c>
      <c r="D986">
        <v>129</v>
      </c>
      <c r="P986" t="str">
        <f t="shared" si="19"/>
        <v>(NULL,"260","129"),</v>
      </c>
      <c r="Q986" t="str">
        <f>TextJoin(tblEnrolledSubjs[[#This Row],[CSubjID]:[EStudID]],"Value")</f>
        <v>"260","129"</v>
      </c>
      <c r="S986">
        <f>LOOKUP(LOOKUP(tblEnrolledSubjs[[#This Row],[CSubjID]], tblClassSubjs[CSubjID],tblClassSubjs[ClassID]),tblClasses[ClassID],tblClasses[STermID])</f>
        <v>5</v>
      </c>
      <c r="T986" t="str">
        <f>LOOKUP(S986,tblSchoolTerms[STermID],tblSchoolTerms[SemesterID]&amp;" Semester "&amp;tblSchoolTerms[SchoolYear])</f>
        <v>2 Semester S.Y. 2016-2017</v>
      </c>
      <c r="W9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6" t="e">
        <f t="array" ref="Y986">INDEX(tblEnrolledStuds[EStudID],MATCH(tblEnrolledSubjs[[#This Row],[EStudID]]&amp;S986,tblEnrolledStuds[AdmissionStatusID]&amp;tblEnrolledStuds[StudID],0))</f>
        <v>#N/A</v>
      </c>
    </row>
    <row r="987" spans="2:25" x14ac:dyDescent="0.25">
      <c r="B987">
        <v>985</v>
      </c>
      <c r="C987">
        <v>261</v>
      </c>
      <c r="D987">
        <v>123</v>
      </c>
      <c r="P987" t="str">
        <f t="shared" si="19"/>
        <v>(NULL,"261","123"),</v>
      </c>
      <c r="Q987" t="str">
        <f>TextJoin(tblEnrolledSubjs[[#This Row],[CSubjID]:[EStudID]],"Value")</f>
        <v>"261","123"</v>
      </c>
      <c r="S987">
        <f>LOOKUP(LOOKUP(tblEnrolledSubjs[[#This Row],[CSubjID]], tblClassSubjs[CSubjID],tblClassSubjs[ClassID]),tblClasses[ClassID],tblClasses[STermID])</f>
        <v>5</v>
      </c>
      <c r="T987" t="str">
        <f>LOOKUP(S987,tblSchoolTerms[STermID],tblSchoolTerms[SemesterID]&amp;" Semester "&amp;tblSchoolTerms[SchoolYear])</f>
        <v>2 Semester S.Y. 2016-2017</v>
      </c>
      <c r="W9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7" t="e">
        <f t="array" ref="Y987">INDEX(tblEnrolledStuds[EStudID],MATCH(tblEnrolledSubjs[[#This Row],[EStudID]]&amp;S987,tblEnrolledStuds[AdmissionStatusID]&amp;tblEnrolledStuds[StudID],0))</f>
        <v>#N/A</v>
      </c>
    </row>
    <row r="988" spans="2:25" x14ac:dyDescent="0.25">
      <c r="B988">
        <v>986</v>
      </c>
      <c r="C988">
        <v>261</v>
      </c>
      <c r="D988">
        <v>124</v>
      </c>
      <c r="P988" t="str">
        <f t="shared" si="19"/>
        <v>(NULL,"261","124"),</v>
      </c>
      <c r="Q988" t="str">
        <f>TextJoin(tblEnrolledSubjs[[#This Row],[CSubjID]:[EStudID]],"Value")</f>
        <v>"261","124"</v>
      </c>
      <c r="S988">
        <f>LOOKUP(LOOKUP(tblEnrolledSubjs[[#This Row],[CSubjID]], tblClassSubjs[CSubjID],tblClassSubjs[ClassID]),tblClasses[ClassID],tblClasses[STermID])</f>
        <v>5</v>
      </c>
      <c r="T988" t="str">
        <f>LOOKUP(S988,tblSchoolTerms[STermID],tblSchoolTerms[SemesterID]&amp;" Semester "&amp;tblSchoolTerms[SchoolYear])</f>
        <v>2 Semester S.Y. 2016-2017</v>
      </c>
      <c r="W9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8" t="e">
        <f t="array" ref="Y988">INDEX(tblEnrolledStuds[EStudID],MATCH(tblEnrolledSubjs[[#This Row],[EStudID]]&amp;S988,tblEnrolledStuds[AdmissionStatusID]&amp;tblEnrolledStuds[StudID],0))</f>
        <v>#N/A</v>
      </c>
    </row>
    <row r="989" spans="2:25" x14ac:dyDescent="0.25">
      <c r="B989">
        <v>987</v>
      </c>
      <c r="C989">
        <v>261</v>
      </c>
      <c r="D989">
        <v>125</v>
      </c>
      <c r="P989" t="str">
        <f t="shared" si="19"/>
        <v>(NULL,"261","125"),</v>
      </c>
      <c r="Q989" t="str">
        <f>TextJoin(tblEnrolledSubjs[[#This Row],[CSubjID]:[EStudID]],"Value")</f>
        <v>"261","125"</v>
      </c>
      <c r="S989">
        <f>LOOKUP(LOOKUP(tblEnrolledSubjs[[#This Row],[CSubjID]], tblClassSubjs[CSubjID],tblClassSubjs[ClassID]),tblClasses[ClassID],tblClasses[STermID])</f>
        <v>5</v>
      </c>
      <c r="T989" t="str">
        <f>LOOKUP(S989,tblSchoolTerms[STermID],tblSchoolTerms[SemesterID]&amp;" Semester "&amp;tblSchoolTerms[SchoolYear])</f>
        <v>2 Semester S.Y. 2016-2017</v>
      </c>
      <c r="W9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89" t="e">
        <f t="array" ref="Y989">INDEX(tblEnrolledStuds[EStudID],MATCH(tblEnrolledSubjs[[#This Row],[EStudID]]&amp;S989,tblEnrolledStuds[AdmissionStatusID]&amp;tblEnrolledStuds[StudID],0))</f>
        <v>#N/A</v>
      </c>
    </row>
    <row r="990" spans="2:25" x14ac:dyDescent="0.25">
      <c r="B990">
        <v>988</v>
      </c>
      <c r="C990">
        <v>261</v>
      </c>
      <c r="D990">
        <v>127</v>
      </c>
      <c r="P990" t="str">
        <f t="shared" si="19"/>
        <v>(NULL,"261","127"),</v>
      </c>
      <c r="Q990" t="str">
        <f>TextJoin(tblEnrolledSubjs[[#This Row],[CSubjID]:[EStudID]],"Value")</f>
        <v>"261","127"</v>
      </c>
      <c r="S990">
        <f>LOOKUP(LOOKUP(tblEnrolledSubjs[[#This Row],[CSubjID]], tblClassSubjs[CSubjID],tblClassSubjs[ClassID]),tblClasses[ClassID],tblClasses[STermID])</f>
        <v>5</v>
      </c>
      <c r="T990" t="str">
        <f>LOOKUP(S990,tblSchoolTerms[STermID],tblSchoolTerms[SemesterID]&amp;" Semester "&amp;tblSchoolTerms[SchoolYear])</f>
        <v>2 Semester S.Y. 2016-2017</v>
      </c>
      <c r="W9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0" t="e">
        <f t="array" ref="Y990">INDEX(tblEnrolledStuds[EStudID],MATCH(tblEnrolledSubjs[[#This Row],[EStudID]]&amp;S990,tblEnrolledStuds[AdmissionStatusID]&amp;tblEnrolledStuds[StudID],0))</f>
        <v>#N/A</v>
      </c>
    </row>
    <row r="991" spans="2:25" x14ac:dyDescent="0.25">
      <c r="B991">
        <v>989</v>
      </c>
      <c r="C991">
        <v>261</v>
      </c>
      <c r="D991">
        <v>128</v>
      </c>
      <c r="P991" t="str">
        <f t="shared" si="19"/>
        <v>(NULL,"261","128"),</v>
      </c>
      <c r="Q991" t="str">
        <f>TextJoin(tblEnrolledSubjs[[#This Row],[CSubjID]:[EStudID]],"Value")</f>
        <v>"261","128"</v>
      </c>
      <c r="S991">
        <f>LOOKUP(LOOKUP(tblEnrolledSubjs[[#This Row],[CSubjID]], tblClassSubjs[CSubjID],tblClassSubjs[ClassID]),tblClasses[ClassID],tblClasses[STermID])</f>
        <v>5</v>
      </c>
      <c r="T991" t="str">
        <f>LOOKUP(S991,tblSchoolTerms[STermID],tblSchoolTerms[SemesterID]&amp;" Semester "&amp;tblSchoolTerms[SchoolYear])</f>
        <v>2 Semester S.Y. 2016-2017</v>
      </c>
      <c r="W9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1" t="e">
        <f t="array" ref="Y991">INDEX(tblEnrolledStuds[EStudID],MATCH(tblEnrolledSubjs[[#This Row],[EStudID]]&amp;S991,tblEnrolledStuds[AdmissionStatusID]&amp;tblEnrolledStuds[StudID],0))</f>
        <v>#N/A</v>
      </c>
    </row>
    <row r="992" spans="2:25" x14ac:dyDescent="0.25">
      <c r="B992">
        <v>990</v>
      </c>
      <c r="C992">
        <v>261</v>
      </c>
      <c r="D992">
        <v>130</v>
      </c>
      <c r="P992" t="str">
        <f t="shared" si="19"/>
        <v>(NULL,"261","130"),</v>
      </c>
      <c r="Q992" t="str">
        <f>TextJoin(tblEnrolledSubjs[[#This Row],[CSubjID]:[EStudID]],"Value")</f>
        <v>"261","130"</v>
      </c>
      <c r="S992">
        <f>LOOKUP(LOOKUP(tblEnrolledSubjs[[#This Row],[CSubjID]], tblClassSubjs[CSubjID],tblClassSubjs[ClassID]),tblClasses[ClassID],tblClasses[STermID])</f>
        <v>5</v>
      </c>
      <c r="T992" t="str">
        <f>LOOKUP(S992,tblSchoolTerms[STermID],tblSchoolTerms[SemesterID]&amp;" Semester "&amp;tblSchoolTerms[SchoolYear])</f>
        <v>2 Semester S.Y. 2016-2017</v>
      </c>
      <c r="W9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2" t="e">
        <f t="array" ref="Y992">INDEX(tblEnrolledStuds[EStudID],MATCH(tblEnrolledSubjs[[#This Row],[EStudID]]&amp;S992,tblEnrolledStuds[AdmissionStatusID]&amp;tblEnrolledStuds[StudID],0))</f>
        <v>#N/A</v>
      </c>
    </row>
    <row r="993" spans="2:25" x14ac:dyDescent="0.25">
      <c r="B993">
        <v>991</v>
      </c>
      <c r="C993">
        <v>261</v>
      </c>
      <c r="D993">
        <v>131</v>
      </c>
      <c r="P993" t="str">
        <f t="shared" si="19"/>
        <v>(NULL,"261","131"),</v>
      </c>
      <c r="Q993" t="str">
        <f>TextJoin(tblEnrolledSubjs[[#This Row],[CSubjID]:[EStudID]],"Value")</f>
        <v>"261","131"</v>
      </c>
      <c r="S993">
        <f>LOOKUP(LOOKUP(tblEnrolledSubjs[[#This Row],[CSubjID]], tblClassSubjs[CSubjID],tblClassSubjs[ClassID]),tblClasses[ClassID],tblClasses[STermID])</f>
        <v>5</v>
      </c>
      <c r="T993" t="str">
        <f>LOOKUP(S993,tblSchoolTerms[STermID],tblSchoolTerms[SemesterID]&amp;" Semester "&amp;tblSchoolTerms[SchoolYear])</f>
        <v>2 Semester S.Y. 2016-2017</v>
      </c>
      <c r="W9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3" t="e">
        <f t="array" ref="Y993">INDEX(tblEnrolledStuds[EStudID],MATCH(tblEnrolledSubjs[[#This Row],[EStudID]]&amp;S993,tblEnrolledStuds[AdmissionStatusID]&amp;tblEnrolledStuds[StudID],0))</f>
        <v>#N/A</v>
      </c>
    </row>
    <row r="994" spans="2:25" x14ac:dyDescent="0.25">
      <c r="B994">
        <v>992</v>
      </c>
      <c r="C994">
        <v>261</v>
      </c>
      <c r="D994">
        <v>133</v>
      </c>
      <c r="P994" t="str">
        <f t="shared" si="19"/>
        <v>(NULL,"261","133"),</v>
      </c>
      <c r="Q994" t="str">
        <f>TextJoin(tblEnrolledSubjs[[#This Row],[CSubjID]:[EStudID]],"Value")</f>
        <v>"261","133"</v>
      </c>
      <c r="S994">
        <f>LOOKUP(LOOKUP(tblEnrolledSubjs[[#This Row],[CSubjID]], tblClassSubjs[CSubjID],tblClassSubjs[ClassID]),tblClasses[ClassID],tblClasses[STermID])</f>
        <v>5</v>
      </c>
      <c r="T994" t="str">
        <f>LOOKUP(S994,tblSchoolTerms[STermID],tblSchoolTerms[SemesterID]&amp;" Semester "&amp;tblSchoolTerms[SchoolYear])</f>
        <v>2 Semester S.Y. 2016-2017</v>
      </c>
      <c r="W9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4" t="e">
        <f t="array" ref="Y994">INDEX(tblEnrolledStuds[EStudID],MATCH(tblEnrolledSubjs[[#This Row],[EStudID]]&amp;S994,tblEnrolledStuds[AdmissionStatusID]&amp;tblEnrolledStuds[StudID],0))</f>
        <v>#N/A</v>
      </c>
    </row>
    <row r="995" spans="2:25" x14ac:dyDescent="0.25">
      <c r="B995">
        <v>993</v>
      </c>
      <c r="C995">
        <v>261</v>
      </c>
      <c r="D995">
        <v>135</v>
      </c>
      <c r="P995" t="str">
        <f t="shared" si="19"/>
        <v>(NULL,"261","135"),</v>
      </c>
      <c r="Q995" t="str">
        <f>TextJoin(tblEnrolledSubjs[[#This Row],[CSubjID]:[EStudID]],"Value")</f>
        <v>"261","135"</v>
      </c>
      <c r="S995">
        <f>LOOKUP(LOOKUP(tblEnrolledSubjs[[#This Row],[CSubjID]], tblClassSubjs[CSubjID],tblClassSubjs[ClassID]),tblClasses[ClassID],tblClasses[STermID])</f>
        <v>5</v>
      </c>
      <c r="T995" t="str">
        <f>LOOKUP(S995,tblSchoolTerms[STermID],tblSchoolTerms[SemesterID]&amp;" Semester "&amp;tblSchoolTerms[SchoolYear])</f>
        <v>2 Semester S.Y. 2016-2017</v>
      </c>
      <c r="W9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5" t="e">
        <f t="array" ref="Y995">INDEX(tblEnrolledStuds[EStudID],MATCH(tblEnrolledSubjs[[#This Row],[EStudID]]&amp;S995,tblEnrolledStuds[AdmissionStatusID]&amp;tblEnrolledStuds[StudID],0))</f>
        <v>#N/A</v>
      </c>
    </row>
    <row r="996" spans="2:25" x14ac:dyDescent="0.25">
      <c r="B996">
        <v>994</v>
      </c>
      <c r="C996">
        <v>261</v>
      </c>
      <c r="D996">
        <v>136</v>
      </c>
      <c r="P996" t="str">
        <f t="shared" si="19"/>
        <v>(NULL,"261","136"),</v>
      </c>
      <c r="Q996" t="str">
        <f>TextJoin(tblEnrolledSubjs[[#This Row],[CSubjID]:[EStudID]],"Value")</f>
        <v>"261","136"</v>
      </c>
      <c r="S996">
        <f>LOOKUP(LOOKUP(tblEnrolledSubjs[[#This Row],[CSubjID]], tblClassSubjs[CSubjID],tblClassSubjs[ClassID]),tblClasses[ClassID],tblClasses[STermID])</f>
        <v>5</v>
      </c>
      <c r="T996" t="str">
        <f>LOOKUP(S996,tblSchoolTerms[STermID],tblSchoolTerms[SemesterID]&amp;" Semester "&amp;tblSchoolTerms[SchoolYear])</f>
        <v>2 Semester S.Y. 2016-2017</v>
      </c>
      <c r="W9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6" t="e">
        <f t="array" ref="Y996">INDEX(tblEnrolledStuds[EStudID],MATCH(tblEnrolledSubjs[[#This Row],[EStudID]]&amp;S996,tblEnrolledStuds[AdmissionStatusID]&amp;tblEnrolledStuds[StudID],0))</f>
        <v>#N/A</v>
      </c>
    </row>
    <row r="997" spans="2:25" x14ac:dyDescent="0.25">
      <c r="B997">
        <v>995</v>
      </c>
      <c r="C997">
        <v>261</v>
      </c>
      <c r="D997">
        <v>129</v>
      </c>
      <c r="P997" t="str">
        <f t="shared" si="19"/>
        <v>(NULL,"261","129"),</v>
      </c>
      <c r="Q997" t="str">
        <f>TextJoin(tblEnrolledSubjs[[#This Row],[CSubjID]:[EStudID]],"Value")</f>
        <v>"261","129"</v>
      </c>
      <c r="S997">
        <f>LOOKUP(LOOKUP(tblEnrolledSubjs[[#This Row],[CSubjID]], tblClassSubjs[CSubjID],tblClassSubjs[ClassID]),tblClasses[ClassID],tblClasses[STermID])</f>
        <v>5</v>
      </c>
      <c r="T997" t="str">
        <f>LOOKUP(S997,tblSchoolTerms[STermID],tblSchoolTerms[SemesterID]&amp;" Semester "&amp;tblSchoolTerms[SchoolYear])</f>
        <v>2 Semester S.Y. 2016-2017</v>
      </c>
      <c r="W9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7" t="e">
        <f t="array" ref="Y997">INDEX(tblEnrolledStuds[EStudID],MATCH(tblEnrolledSubjs[[#This Row],[EStudID]]&amp;S997,tblEnrolledStuds[AdmissionStatusID]&amp;tblEnrolledStuds[StudID],0))</f>
        <v>#N/A</v>
      </c>
    </row>
    <row r="998" spans="2:25" x14ac:dyDescent="0.25">
      <c r="B998">
        <v>996</v>
      </c>
      <c r="C998">
        <v>263</v>
      </c>
      <c r="D998">
        <v>123</v>
      </c>
      <c r="P998" t="str">
        <f t="shared" si="19"/>
        <v>(NULL,"263","123"),</v>
      </c>
      <c r="Q998" t="str">
        <f>TextJoin(tblEnrolledSubjs[[#This Row],[CSubjID]:[EStudID]],"Value")</f>
        <v>"263","123"</v>
      </c>
      <c r="S998">
        <f>LOOKUP(LOOKUP(tblEnrolledSubjs[[#This Row],[CSubjID]], tblClassSubjs[CSubjID],tblClassSubjs[ClassID]),tblClasses[ClassID],tblClasses[STermID])</f>
        <v>5</v>
      </c>
      <c r="T998" t="str">
        <f>LOOKUP(S998,tblSchoolTerms[STermID],tblSchoolTerms[SemesterID]&amp;" Semester "&amp;tblSchoolTerms[SchoolYear])</f>
        <v>2 Semester S.Y. 2016-2017</v>
      </c>
      <c r="W9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8" t="e">
        <f t="array" ref="Y998">INDEX(tblEnrolledStuds[EStudID],MATCH(tblEnrolledSubjs[[#This Row],[EStudID]]&amp;S998,tblEnrolledStuds[AdmissionStatusID]&amp;tblEnrolledStuds[StudID],0))</f>
        <v>#N/A</v>
      </c>
    </row>
    <row r="999" spans="2:25" x14ac:dyDescent="0.25">
      <c r="B999">
        <v>997</v>
      </c>
      <c r="C999">
        <v>263</v>
      </c>
      <c r="D999">
        <v>124</v>
      </c>
      <c r="P999" t="str">
        <f t="shared" si="19"/>
        <v>(NULL,"263","124"),</v>
      </c>
      <c r="Q999" t="str">
        <f>TextJoin(tblEnrolledSubjs[[#This Row],[CSubjID]:[EStudID]],"Value")</f>
        <v>"263","124"</v>
      </c>
      <c r="S999">
        <f>LOOKUP(LOOKUP(tblEnrolledSubjs[[#This Row],[CSubjID]], tblClassSubjs[CSubjID],tblClassSubjs[ClassID]),tblClasses[ClassID],tblClasses[STermID])</f>
        <v>5</v>
      </c>
      <c r="T999" t="str">
        <f>LOOKUP(S999,tblSchoolTerms[STermID],tblSchoolTerms[SemesterID]&amp;" Semester "&amp;tblSchoolTerms[SchoolYear])</f>
        <v>2 Semester S.Y. 2016-2017</v>
      </c>
      <c r="W9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999" t="e">
        <f t="array" ref="Y999">INDEX(tblEnrolledStuds[EStudID],MATCH(tblEnrolledSubjs[[#This Row],[EStudID]]&amp;S999,tblEnrolledStuds[AdmissionStatusID]&amp;tblEnrolledStuds[StudID],0))</f>
        <v>#N/A</v>
      </c>
    </row>
    <row r="1000" spans="2:25" x14ac:dyDescent="0.25">
      <c r="B1000">
        <v>998</v>
      </c>
      <c r="C1000">
        <v>263</v>
      </c>
      <c r="D1000">
        <v>125</v>
      </c>
      <c r="P1000" t="str">
        <f t="shared" si="19"/>
        <v>(NULL,"263","125"),</v>
      </c>
      <c r="Q1000" t="str">
        <f>TextJoin(tblEnrolledSubjs[[#This Row],[CSubjID]:[EStudID]],"Value")</f>
        <v>"263","125"</v>
      </c>
      <c r="S1000">
        <f>LOOKUP(LOOKUP(tblEnrolledSubjs[[#This Row],[CSubjID]], tblClassSubjs[CSubjID],tblClassSubjs[ClassID]),tblClasses[ClassID],tblClasses[STermID])</f>
        <v>5</v>
      </c>
      <c r="T1000" t="str">
        <f>LOOKUP(S1000,tblSchoolTerms[STermID],tblSchoolTerms[SemesterID]&amp;" Semester "&amp;tblSchoolTerms[SchoolYear])</f>
        <v>2 Semester S.Y. 2016-2017</v>
      </c>
      <c r="W10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0" t="e">
        <f t="array" ref="Y1000">INDEX(tblEnrolledStuds[EStudID],MATCH(tblEnrolledSubjs[[#This Row],[EStudID]]&amp;S1000,tblEnrolledStuds[AdmissionStatusID]&amp;tblEnrolledStuds[StudID],0))</f>
        <v>#N/A</v>
      </c>
    </row>
    <row r="1001" spans="2:25" x14ac:dyDescent="0.25">
      <c r="B1001">
        <v>999</v>
      </c>
      <c r="C1001">
        <v>263</v>
      </c>
      <c r="D1001">
        <v>127</v>
      </c>
      <c r="P1001" t="str">
        <f t="shared" si="19"/>
        <v>(NULL,"263","127"),</v>
      </c>
      <c r="Q1001" t="str">
        <f>TextJoin(tblEnrolledSubjs[[#This Row],[CSubjID]:[EStudID]],"Value")</f>
        <v>"263","127"</v>
      </c>
      <c r="S1001">
        <f>LOOKUP(LOOKUP(tblEnrolledSubjs[[#This Row],[CSubjID]], tblClassSubjs[CSubjID],tblClassSubjs[ClassID]),tblClasses[ClassID],tblClasses[STermID])</f>
        <v>5</v>
      </c>
      <c r="T1001" t="str">
        <f>LOOKUP(S1001,tblSchoolTerms[STermID],tblSchoolTerms[SemesterID]&amp;" Semester "&amp;tblSchoolTerms[SchoolYear])</f>
        <v>2 Semester S.Y. 2016-2017</v>
      </c>
      <c r="W10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1" t="e">
        <f t="array" ref="Y1001">INDEX(tblEnrolledStuds[EStudID],MATCH(tblEnrolledSubjs[[#This Row],[EStudID]]&amp;S1001,tblEnrolledStuds[AdmissionStatusID]&amp;tblEnrolledStuds[StudID],0))</f>
        <v>#N/A</v>
      </c>
    </row>
    <row r="1002" spans="2:25" x14ac:dyDescent="0.25">
      <c r="B1002">
        <v>1000</v>
      </c>
      <c r="C1002">
        <v>263</v>
      </c>
      <c r="D1002">
        <v>128</v>
      </c>
      <c r="P1002" t="str">
        <f t="shared" si="19"/>
        <v>(NULL,"263","128"),</v>
      </c>
      <c r="Q1002" t="str">
        <f>TextJoin(tblEnrolledSubjs[[#This Row],[CSubjID]:[EStudID]],"Value")</f>
        <v>"263","128"</v>
      </c>
      <c r="S1002">
        <f>LOOKUP(LOOKUP(tblEnrolledSubjs[[#This Row],[CSubjID]], tblClassSubjs[CSubjID],tblClassSubjs[ClassID]),tblClasses[ClassID],tblClasses[STermID])</f>
        <v>5</v>
      </c>
      <c r="T1002" t="str">
        <f>LOOKUP(S1002,tblSchoolTerms[STermID],tblSchoolTerms[SemesterID]&amp;" Semester "&amp;tblSchoolTerms[SchoolYear])</f>
        <v>2 Semester S.Y. 2016-2017</v>
      </c>
      <c r="W10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2" t="e">
        <f t="array" ref="Y1002">INDEX(tblEnrolledStuds[EStudID],MATCH(tblEnrolledSubjs[[#This Row],[EStudID]]&amp;S1002,tblEnrolledStuds[AdmissionStatusID]&amp;tblEnrolledStuds[StudID],0))</f>
        <v>#N/A</v>
      </c>
    </row>
    <row r="1003" spans="2:25" x14ac:dyDescent="0.25">
      <c r="B1003">
        <v>1001</v>
      </c>
      <c r="C1003">
        <v>263</v>
      </c>
      <c r="D1003">
        <v>130</v>
      </c>
      <c r="P1003" t="str">
        <f t="shared" si="19"/>
        <v>(NULL,"263","130"),</v>
      </c>
      <c r="Q1003" t="str">
        <f>TextJoin(tblEnrolledSubjs[[#This Row],[CSubjID]:[EStudID]],"Value")</f>
        <v>"263","130"</v>
      </c>
      <c r="S1003">
        <f>LOOKUP(LOOKUP(tblEnrolledSubjs[[#This Row],[CSubjID]], tblClassSubjs[CSubjID],tblClassSubjs[ClassID]),tblClasses[ClassID],tblClasses[STermID])</f>
        <v>5</v>
      </c>
      <c r="T1003" t="str">
        <f>LOOKUP(S1003,tblSchoolTerms[STermID],tblSchoolTerms[SemesterID]&amp;" Semester "&amp;tblSchoolTerms[SchoolYear])</f>
        <v>2 Semester S.Y. 2016-2017</v>
      </c>
      <c r="W10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3" t="e">
        <f t="array" ref="Y1003">INDEX(tblEnrolledStuds[EStudID],MATCH(tblEnrolledSubjs[[#This Row],[EStudID]]&amp;S1003,tblEnrolledStuds[AdmissionStatusID]&amp;tblEnrolledStuds[StudID],0))</f>
        <v>#N/A</v>
      </c>
    </row>
    <row r="1004" spans="2:25" x14ac:dyDescent="0.25">
      <c r="B1004">
        <v>1002</v>
      </c>
      <c r="C1004">
        <v>263</v>
      </c>
      <c r="D1004">
        <v>131</v>
      </c>
      <c r="P1004" t="str">
        <f t="shared" si="19"/>
        <v>(NULL,"263","131"),</v>
      </c>
      <c r="Q1004" t="str">
        <f>TextJoin(tblEnrolledSubjs[[#This Row],[CSubjID]:[EStudID]],"Value")</f>
        <v>"263","131"</v>
      </c>
      <c r="S1004">
        <f>LOOKUP(LOOKUP(tblEnrolledSubjs[[#This Row],[CSubjID]], tblClassSubjs[CSubjID],tblClassSubjs[ClassID]),tblClasses[ClassID],tblClasses[STermID])</f>
        <v>5</v>
      </c>
      <c r="T1004" t="str">
        <f>LOOKUP(S1004,tblSchoolTerms[STermID],tblSchoolTerms[SemesterID]&amp;" Semester "&amp;tblSchoolTerms[SchoolYear])</f>
        <v>2 Semester S.Y. 2016-2017</v>
      </c>
      <c r="W10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4" t="e">
        <f t="array" ref="Y1004">INDEX(tblEnrolledStuds[EStudID],MATCH(tblEnrolledSubjs[[#This Row],[EStudID]]&amp;S1004,tblEnrolledStuds[AdmissionStatusID]&amp;tblEnrolledStuds[StudID],0))</f>
        <v>#N/A</v>
      </c>
    </row>
    <row r="1005" spans="2:25" x14ac:dyDescent="0.25">
      <c r="B1005">
        <v>1003</v>
      </c>
      <c r="C1005">
        <v>263</v>
      </c>
      <c r="D1005">
        <v>133</v>
      </c>
      <c r="P1005" t="str">
        <f t="shared" si="19"/>
        <v>(NULL,"263","133"),</v>
      </c>
      <c r="Q1005" t="str">
        <f>TextJoin(tblEnrolledSubjs[[#This Row],[CSubjID]:[EStudID]],"Value")</f>
        <v>"263","133"</v>
      </c>
      <c r="S1005">
        <f>LOOKUP(LOOKUP(tblEnrolledSubjs[[#This Row],[CSubjID]], tblClassSubjs[CSubjID],tblClassSubjs[ClassID]),tblClasses[ClassID],tblClasses[STermID])</f>
        <v>5</v>
      </c>
      <c r="T1005" t="str">
        <f>LOOKUP(S1005,tblSchoolTerms[STermID],tblSchoolTerms[SemesterID]&amp;" Semester "&amp;tblSchoolTerms[SchoolYear])</f>
        <v>2 Semester S.Y. 2016-2017</v>
      </c>
      <c r="W10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5" t="e">
        <f t="array" ref="Y1005">INDEX(tblEnrolledStuds[EStudID],MATCH(tblEnrolledSubjs[[#This Row],[EStudID]]&amp;S1005,tblEnrolledStuds[AdmissionStatusID]&amp;tblEnrolledStuds[StudID],0))</f>
        <v>#N/A</v>
      </c>
    </row>
    <row r="1006" spans="2:25" x14ac:dyDescent="0.25">
      <c r="B1006">
        <v>1004</v>
      </c>
      <c r="C1006">
        <v>263</v>
      </c>
      <c r="D1006">
        <v>135</v>
      </c>
      <c r="P1006" t="str">
        <f t="shared" si="19"/>
        <v>(NULL,"263","135"),</v>
      </c>
      <c r="Q1006" t="str">
        <f>TextJoin(tblEnrolledSubjs[[#This Row],[CSubjID]:[EStudID]],"Value")</f>
        <v>"263","135"</v>
      </c>
      <c r="S1006">
        <f>LOOKUP(LOOKUP(tblEnrolledSubjs[[#This Row],[CSubjID]], tblClassSubjs[CSubjID],tblClassSubjs[ClassID]),tblClasses[ClassID],tblClasses[STermID])</f>
        <v>5</v>
      </c>
      <c r="T1006" t="str">
        <f>LOOKUP(S1006,tblSchoolTerms[STermID],tblSchoolTerms[SemesterID]&amp;" Semester "&amp;tblSchoolTerms[SchoolYear])</f>
        <v>2 Semester S.Y. 2016-2017</v>
      </c>
      <c r="W10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6" t="e">
        <f t="array" ref="Y1006">INDEX(tblEnrolledStuds[EStudID],MATCH(tblEnrolledSubjs[[#This Row],[EStudID]]&amp;S1006,tblEnrolledStuds[AdmissionStatusID]&amp;tblEnrolledStuds[StudID],0))</f>
        <v>#N/A</v>
      </c>
    </row>
    <row r="1007" spans="2:25" x14ac:dyDescent="0.25">
      <c r="B1007">
        <v>1005</v>
      </c>
      <c r="C1007">
        <v>263</v>
      </c>
      <c r="D1007">
        <v>136</v>
      </c>
      <c r="P1007" t="str">
        <f t="shared" si="19"/>
        <v>(NULL,"263","136"),</v>
      </c>
      <c r="Q1007" t="str">
        <f>TextJoin(tblEnrolledSubjs[[#This Row],[CSubjID]:[EStudID]],"Value")</f>
        <v>"263","136"</v>
      </c>
      <c r="S1007">
        <f>LOOKUP(LOOKUP(tblEnrolledSubjs[[#This Row],[CSubjID]], tblClassSubjs[CSubjID],tblClassSubjs[ClassID]),tblClasses[ClassID],tblClasses[STermID])</f>
        <v>5</v>
      </c>
      <c r="T1007" t="str">
        <f>LOOKUP(S1007,tblSchoolTerms[STermID],tblSchoolTerms[SemesterID]&amp;" Semester "&amp;tblSchoolTerms[SchoolYear])</f>
        <v>2 Semester S.Y. 2016-2017</v>
      </c>
      <c r="W10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7" t="e">
        <f t="array" ref="Y1007">INDEX(tblEnrolledStuds[EStudID],MATCH(tblEnrolledSubjs[[#This Row],[EStudID]]&amp;S1007,tblEnrolledStuds[AdmissionStatusID]&amp;tblEnrolledStuds[StudID],0))</f>
        <v>#N/A</v>
      </c>
    </row>
    <row r="1008" spans="2:25" x14ac:dyDescent="0.25">
      <c r="B1008">
        <v>1006</v>
      </c>
      <c r="C1008">
        <v>263</v>
      </c>
      <c r="D1008">
        <v>129</v>
      </c>
      <c r="P1008" t="str">
        <f t="shared" si="19"/>
        <v>(NULL,"263","129"),</v>
      </c>
      <c r="Q1008" t="str">
        <f>TextJoin(tblEnrolledSubjs[[#This Row],[CSubjID]:[EStudID]],"Value")</f>
        <v>"263","129"</v>
      </c>
      <c r="S1008">
        <f>LOOKUP(LOOKUP(tblEnrolledSubjs[[#This Row],[CSubjID]], tblClassSubjs[CSubjID],tblClassSubjs[ClassID]),tblClasses[ClassID],tblClasses[STermID])</f>
        <v>5</v>
      </c>
      <c r="T1008" t="str">
        <f>LOOKUP(S1008,tblSchoolTerms[STermID],tblSchoolTerms[SemesterID]&amp;" Semester "&amp;tblSchoolTerms[SchoolYear])</f>
        <v>2 Semester S.Y. 2016-2017</v>
      </c>
      <c r="W10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8" t="e">
        <f t="array" ref="Y1008">INDEX(tblEnrolledStuds[EStudID],MATCH(tblEnrolledSubjs[[#This Row],[EStudID]]&amp;S1008,tblEnrolledStuds[AdmissionStatusID]&amp;tblEnrolledStuds[StudID],0))</f>
        <v>#N/A</v>
      </c>
    </row>
    <row r="1009" spans="2:25" x14ac:dyDescent="0.25">
      <c r="B1009">
        <v>1007</v>
      </c>
      <c r="C1009">
        <v>264</v>
      </c>
      <c r="D1009">
        <v>123</v>
      </c>
      <c r="P1009" t="str">
        <f t="shared" si="19"/>
        <v>(NULL,"264","123"),</v>
      </c>
      <c r="Q1009" t="str">
        <f>TextJoin(tblEnrolledSubjs[[#This Row],[CSubjID]:[EStudID]],"Value")</f>
        <v>"264","123"</v>
      </c>
      <c r="S1009">
        <f>LOOKUP(LOOKUP(tblEnrolledSubjs[[#This Row],[CSubjID]], tblClassSubjs[CSubjID],tblClassSubjs[ClassID]),tblClasses[ClassID],tblClasses[STermID])</f>
        <v>5</v>
      </c>
      <c r="T1009" t="str">
        <f>LOOKUP(S1009,tblSchoolTerms[STermID],tblSchoolTerms[SemesterID]&amp;" Semester "&amp;tblSchoolTerms[SchoolYear])</f>
        <v>2 Semester S.Y. 2016-2017</v>
      </c>
      <c r="W10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09" t="e">
        <f t="array" ref="Y1009">INDEX(tblEnrolledStuds[EStudID],MATCH(tblEnrolledSubjs[[#This Row],[EStudID]]&amp;S1009,tblEnrolledStuds[AdmissionStatusID]&amp;tblEnrolledStuds[StudID],0))</f>
        <v>#N/A</v>
      </c>
    </row>
    <row r="1010" spans="2:25" x14ac:dyDescent="0.25">
      <c r="B1010">
        <v>1008</v>
      </c>
      <c r="C1010">
        <v>264</v>
      </c>
      <c r="D1010">
        <v>124</v>
      </c>
      <c r="P1010" t="str">
        <f t="shared" si="19"/>
        <v>(NULL,"264","124"),</v>
      </c>
      <c r="Q1010" t="str">
        <f>TextJoin(tblEnrolledSubjs[[#This Row],[CSubjID]:[EStudID]],"Value")</f>
        <v>"264","124"</v>
      </c>
      <c r="S1010">
        <f>LOOKUP(LOOKUP(tblEnrolledSubjs[[#This Row],[CSubjID]], tblClassSubjs[CSubjID],tblClassSubjs[ClassID]),tblClasses[ClassID],tblClasses[STermID])</f>
        <v>5</v>
      </c>
      <c r="T1010" t="str">
        <f>LOOKUP(S1010,tblSchoolTerms[STermID],tblSchoolTerms[SemesterID]&amp;" Semester "&amp;tblSchoolTerms[SchoolYear])</f>
        <v>2 Semester S.Y. 2016-2017</v>
      </c>
      <c r="W10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0" t="e">
        <f t="array" ref="Y1010">INDEX(tblEnrolledStuds[EStudID],MATCH(tblEnrolledSubjs[[#This Row],[EStudID]]&amp;S1010,tblEnrolledStuds[AdmissionStatusID]&amp;tblEnrolledStuds[StudID],0))</f>
        <v>#N/A</v>
      </c>
    </row>
    <row r="1011" spans="2:25" x14ac:dyDescent="0.25">
      <c r="B1011">
        <v>1009</v>
      </c>
      <c r="C1011">
        <v>264</v>
      </c>
      <c r="D1011">
        <v>125</v>
      </c>
      <c r="P1011" t="str">
        <f t="shared" si="19"/>
        <v>(NULL,"264","125"),</v>
      </c>
      <c r="Q1011" t="str">
        <f>TextJoin(tblEnrolledSubjs[[#This Row],[CSubjID]:[EStudID]],"Value")</f>
        <v>"264","125"</v>
      </c>
      <c r="S1011">
        <f>LOOKUP(LOOKUP(tblEnrolledSubjs[[#This Row],[CSubjID]], tblClassSubjs[CSubjID],tblClassSubjs[ClassID]),tblClasses[ClassID],tblClasses[STermID])</f>
        <v>5</v>
      </c>
      <c r="T1011" t="str">
        <f>LOOKUP(S1011,tblSchoolTerms[STermID],tblSchoolTerms[SemesterID]&amp;" Semester "&amp;tblSchoolTerms[SchoolYear])</f>
        <v>2 Semester S.Y. 2016-2017</v>
      </c>
      <c r="W10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1" t="e">
        <f t="array" ref="Y1011">INDEX(tblEnrolledStuds[EStudID],MATCH(tblEnrolledSubjs[[#This Row],[EStudID]]&amp;S1011,tblEnrolledStuds[AdmissionStatusID]&amp;tblEnrolledStuds[StudID],0))</f>
        <v>#N/A</v>
      </c>
    </row>
    <row r="1012" spans="2:25" x14ac:dyDescent="0.25">
      <c r="B1012">
        <v>1010</v>
      </c>
      <c r="C1012">
        <v>264</v>
      </c>
      <c r="D1012">
        <v>127</v>
      </c>
      <c r="P1012" t="str">
        <f t="shared" si="19"/>
        <v>(NULL,"264","127"),</v>
      </c>
      <c r="Q1012" t="str">
        <f>TextJoin(tblEnrolledSubjs[[#This Row],[CSubjID]:[EStudID]],"Value")</f>
        <v>"264","127"</v>
      </c>
      <c r="S1012">
        <f>LOOKUP(LOOKUP(tblEnrolledSubjs[[#This Row],[CSubjID]], tblClassSubjs[CSubjID],tblClassSubjs[ClassID]),tblClasses[ClassID],tblClasses[STermID])</f>
        <v>5</v>
      </c>
      <c r="T1012" t="str">
        <f>LOOKUP(S1012,tblSchoolTerms[STermID],tblSchoolTerms[SemesterID]&amp;" Semester "&amp;tblSchoolTerms[SchoolYear])</f>
        <v>2 Semester S.Y. 2016-2017</v>
      </c>
      <c r="W10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2" t="e">
        <f t="array" ref="Y1012">INDEX(tblEnrolledStuds[EStudID],MATCH(tblEnrolledSubjs[[#This Row],[EStudID]]&amp;S1012,tblEnrolledStuds[AdmissionStatusID]&amp;tblEnrolledStuds[StudID],0))</f>
        <v>#N/A</v>
      </c>
    </row>
    <row r="1013" spans="2:25" x14ac:dyDescent="0.25">
      <c r="B1013">
        <v>1011</v>
      </c>
      <c r="C1013">
        <v>264</v>
      </c>
      <c r="D1013">
        <v>128</v>
      </c>
      <c r="P1013" t="str">
        <f t="shared" si="19"/>
        <v>(NULL,"264","128"),</v>
      </c>
      <c r="Q1013" t="str">
        <f>TextJoin(tblEnrolledSubjs[[#This Row],[CSubjID]:[EStudID]],"Value")</f>
        <v>"264","128"</v>
      </c>
      <c r="S1013">
        <f>LOOKUP(LOOKUP(tblEnrolledSubjs[[#This Row],[CSubjID]], tblClassSubjs[CSubjID],tblClassSubjs[ClassID]),tblClasses[ClassID],tblClasses[STermID])</f>
        <v>5</v>
      </c>
      <c r="T1013" t="str">
        <f>LOOKUP(S1013,tblSchoolTerms[STermID],tblSchoolTerms[SemesterID]&amp;" Semester "&amp;tblSchoolTerms[SchoolYear])</f>
        <v>2 Semester S.Y. 2016-2017</v>
      </c>
      <c r="W10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3" t="e">
        <f t="array" ref="Y1013">INDEX(tblEnrolledStuds[EStudID],MATCH(tblEnrolledSubjs[[#This Row],[EStudID]]&amp;S1013,tblEnrolledStuds[AdmissionStatusID]&amp;tblEnrolledStuds[StudID],0))</f>
        <v>#N/A</v>
      </c>
    </row>
    <row r="1014" spans="2:25" x14ac:dyDescent="0.25">
      <c r="B1014">
        <v>1012</v>
      </c>
      <c r="C1014">
        <v>264</v>
      </c>
      <c r="D1014">
        <v>130</v>
      </c>
      <c r="P1014" t="str">
        <f t="shared" si="19"/>
        <v>(NULL,"264","130"),</v>
      </c>
      <c r="Q1014" t="str">
        <f>TextJoin(tblEnrolledSubjs[[#This Row],[CSubjID]:[EStudID]],"Value")</f>
        <v>"264","130"</v>
      </c>
      <c r="S1014">
        <f>LOOKUP(LOOKUP(tblEnrolledSubjs[[#This Row],[CSubjID]], tblClassSubjs[CSubjID],tblClassSubjs[ClassID]),tblClasses[ClassID],tblClasses[STermID])</f>
        <v>5</v>
      </c>
      <c r="T1014" t="str">
        <f>LOOKUP(S1014,tblSchoolTerms[STermID],tblSchoolTerms[SemesterID]&amp;" Semester "&amp;tblSchoolTerms[SchoolYear])</f>
        <v>2 Semester S.Y. 2016-2017</v>
      </c>
      <c r="W10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4" t="e">
        <f t="array" ref="Y1014">INDEX(tblEnrolledStuds[EStudID],MATCH(tblEnrolledSubjs[[#This Row],[EStudID]]&amp;S1014,tblEnrolledStuds[AdmissionStatusID]&amp;tblEnrolledStuds[StudID],0))</f>
        <v>#N/A</v>
      </c>
    </row>
    <row r="1015" spans="2:25" x14ac:dyDescent="0.25">
      <c r="B1015">
        <v>1013</v>
      </c>
      <c r="C1015">
        <v>264</v>
      </c>
      <c r="D1015">
        <v>131</v>
      </c>
      <c r="P1015" t="str">
        <f t="shared" si="19"/>
        <v>(NULL,"264","131"),</v>
      </c>
      <c r="Q1015" t="str">
        <f>TextJoin(tblEnrolledSubjs[[#This Row],[CSubjID]:[EStudID]],"Value")</f>
        <v>"264","131"</v>
      </c>
      <c r="S1015">
        <f>LOOKUP(LOOKUP(tblEnrolledSubjs[[#This Row],[CSubjID]], tblClassSubjs[CSubjID],tblClassSubjs[ClassID]),tblClasses[ClassID],tblClasses[STermID])</f>
        <v>5</v>
      </c>
      <c r="T1015" t="str">
        <f>LOOKUP(S1015,tblSchoolTerms[STermID],tblSchoolTerms[SemesterID]&amp;" Semester "&amp;tblSchoolTerms[SchoolYear])</f>
        <v>2 Semester S.Y. 2016-2017</v>
      </c>
      <c r="W10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5" t="e">
        <f t="array" ref="Y1015">INDEX(tblEnrolledStuds[EStudID],MATCH(tblEnrolledSubjs[[#This Row],[EStudID]]&amp;S1015,tblEnrolledStuds[AdmissionStatusID]&amp;tblEnrolledStuds[StudID],0))</f>
        <v>#N/A</v>
      </c>
    </row>
    <row r="1016" spans="2:25" x14ac:dyDescent="0.25">
      <c r="B1016">
        <v>1014</v>
      </c>
      <c r="C1016">
        <v>264</v>
      </c>
      <c r="D1016">
        <v>133</v>
      </c>
      <c r="P1016" t="str">
        <f t="shared" si="19"/>
        <v>(NULL,"264","133"),</v>
      </c>
      <c r="Q1016" t="str">
        <f>TextJoin(tblEnrolledSubjs[[#This Row],[CSubjID]:[EStudID]],"Value")</f>
        <v>"264","133"</v>
      </c>
      <c r="S1016">
        <f>LOOKUP(LOOKUP(tblEnrolledSubjs[[#This Row],[CSubjID]], tblClassSubjs[CSubjID],tblClassSubjs[ClassID]),tblClasses[ClassID],tblClasses[STermID])</f>
        <v>5</v>
      </c>
      <c r="T1016" t="str">
        <f>LOOKUP(S1016,tblSchoolTerms[STermID],tblSchoolTerms[SemesterID]&amp;" Semester "&amp;tblSchoolTerms[SchoolYear])</f>
        <v>2 Semester S.Y. 2016-2017</v>
      </c>
      <c r="W10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6" t="e">
        <f t="array" ref="Y1016">INDEX(tblEnrolledStuds[EStudID],MATCH(tblEnrolledSubjs[[#This Row],[EStudID]]&amp;S1016,tblEnrolledStuds[AdmissionStatusID]&amp;tblEnrolledStuds[StudID],0))</f>
        <v>#N/A</v>
      </c>
    </row>
    <row r="1017" spans="2:25" x14ac:dyDescent="0.25">
      <c r="B1017">
        <v>1015</v>
      </c>
      <c r="C1017">
        <v>264</v>
      </c>
      <c r="D1017">
        <v>135</v>
      </c>
      <c r="P1017" t="str">
        <f t="shared" si="19"/>
        <v>(NULL,"264","135"),</v>
      </c>
      <c r="Q1017" t="str">
        <f>TextJoin(tblEnrolledSubjs[[#This Row],[CSubjID]:[EStudID]],"Value")</f>
        <v>"264","135"</v>
      </c>
      <c r="S1017">
        <f>LOOKUP(LOOKUP(tblEnrolledSubjs[[#This Row],[CSubjID]], tblClassSubjs[CSubjID],tblClassSubjs[ClassID]),tblClasses[ClassID],tblClasses[STermID])</f>
        <v>5</v>
      </c>
      <c r="T1017" t="str">
        <f>LOOKUP(S1017,tblSchoolTerms[STermID],tblSchoolTerms[SemesterID]&amp;" Semester "&amp;tblSchoolTerms[SchoolYear])</f>
        <v>2 Semester S.Y. 2016-2017</v>
      </c>
      <c r="W10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7" t="e">
        <f t="array" ref="Y1017">INDEX(tblEnrolledStuds[EStudID],MATCH(tblEnrolledSubjs[[#This Row],[EStudID]]&amp;S1017,tblEnrolledStuds[AdmissionStatusID]&amp;tblEnrolledStuds[StudID],0))</f>
        <v>#N/A</v>
      </c>
    </row>
    <row r="1018" spans="2:25" x14ac:dyDescent="0.25">
      <c r="B1018">
        <v>1016</v>
      </c>
      <c r="C1018">
        <v>264</v>
      </c>
      <c r="D1018">
        <v>136</v>
      </c>
      <c r="P1018" t="str">
        <f t="shared" si="19"/>
        <v>(NULL,"264","136"),</v>
      </c>
      <c r="Q1018" t="str">
        <f>TextJoin(tblEnrolledSubjs[[#This Row],[CSubjID]:[EStudID]],"Value")</f>
        <v>"264","136"</v>
      </c>
      <c r="S1018">
        <f>LOOKUP(LOOKUP(tblEnrolledSubjs[[#This Row],[CSubjID]], tblClassSubjs[CSubjID],tblClassSubjs[ClassID]),tblClasses[ClassID],tblClasses[STermID])</f>
        <v>5</v>
      </c>
      <c r="T1018" t="str">
        <f>LOOKUP(S1018,tblSchoolTerms[STermID],tblSchoolTerms[SemesterID]&amp;" Semester "&amp;tblSchoolTerms[SchoolYear])</f>
        <v>2 Semester S.Y. 2016-2017</v>
      </c>
      <c r="W10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8" t="e">
        <f t="array" ref="Y1018">INDEX(tblEnrolledStuds[EStudID],MATCH(tblEnrolledSubjs[[#This Row],[EStudID]]&amp;S1018,tblEnrolledStuds[AdmissionStatusID]&amp;tblEnrolledStuds[StudID],0))</f>
        <v>#N/A</v>
      </c>
    </row>
    <row r="1019" spans="2:25" x14ac:dyDescent="0.25">
      <c r="B1019">
        <v>1017</v>
      </c>
      <c r="C1019">
        <v>264</v>
      </c>
      <c r="D1019">
        <v>129</v>
      </c>
      <c r="P1019" t="str">
        <f t="shared" si="19"/>
        <v>(NULL,"264","129"),</v>
      </c>
      <c r="Q1019" t="str">
        <f>TextJoin(tblEnrolledSubjs[[#This Row],[CSubjID]:[EStudID]],"Value")</f>
        <v>"264","129"</v>
      </c>
      <c r="S1019">
        <f>LOOKUP(LOOKUP(tblEnrolledSubjs[[#This Row],[CSubjID]], tblClassSubjs[CSubjID],tblClassSubjs[ClassID]),tblClasses[ClassID],tblClasses[STermID])</f>
        <v>5</v>
      </c>
      <c r="T1019" t="str">
        <f>LOOKUP(S1019,tblSchoolTerms[STermID],tblSchoolTerms[SemesterID]&amp;" Semester "&amp;tblSchoolTerms[SchoolYear])</f>
        <v>2 Semester S.Y. 2016-2017</v>
      </c>
      <c r="W10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19" t="e">
        <f t="array" ref="Y1019">INDEX(tblEnrolledStuds[EStudID],MATCH(tblEnrolledSubjs[[#This Row],[EStudID]]&amp;S1019,tblEnrolledStuds[AdmissionStatusID]&amp;tblEnrolledStuds[StudID],0))</f>
        <v>#N/A</v>
      </c>
    </row>
    <row r="1020" spans="2:25" x14ac:dyDescent="0.25">
      <c r="B1020">
        <v>1018</v>
      </c>
      <c r="C1020">
        <v>265</v>
      </c>
      <c r="D1020">
        <v>123</v>
      </c>
      <c r="P1020" t="str">
        <f t="shared" si="19"/>
        <v>(NULL,"265","123"),</v>
      </c>
      <c r="Q1020" t="str">
        <f>TextJoin(tblEnrolledSubjs[[#This Row],[CSubjID]:[EStudID]],"Value")</f>
        <v>"265","123"</v>
      </c>
      <c r="S1020">
        <f>LOOKUP(LOOKUP(tblEnrolledSubjs[[#This Row],[CSubjID]], tblClassSubjs[CSubjID],tblClassSubjs[ClassID]),tblClasses[ClassID],tblClasses[STermID])</f>
        <v>5</v>
      </c>
      <c r="T1020" t="str">
        <f>LOOKUP(S1020,tblSchoolTerms[STermID],tblSchoolTerms[SemesterID]&amp;" Semester "&amp;tblSchoolTerms[SchoolYear])</f>
        <v>2 Semester S.Y. 2016-2017</v>
      </c>
      <c r="W10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0" t="e">
        <f t="array" ref="Y1020">INDEX(tblEnrolledStuds[EStudID],MATCH(tblEnrolledSubjs[[#This Row],[EStudID]]&amp;S1020,tblEnrolledStuds[AdmissionStatusID]&amp;tblEnrolledStuds[StudID],0))</f>
        <v>#N/A</v>
      </c>
    </row>
    <row r="1021" spans="2:25" x14ac:dyDescent="0.25">
      <c r="B1021">
        <v>1019</v>
      </c>
      <c r="C1021">
        <v>265</v>
      </c>
      <c r="D1021">
        <v>124</v>
      </c>
      <c r="P1021" t="str">
        <f t="shared" si="19"/>
        <v>(NULL,"265","124"),</v>
      </c>
      <c r="Q1021" t="str">
        <f>TextJoin(tblEnrolledSubjs[[#This Row],[CSubjID]:[EStudID]],"Value")</f>
        <v>"265","124"</v>
      </c>
      <c r="S1021">
        <f>LOOKUP(LOOKUP(tblEnrolledSubjs[[#This Row],[CSubjID]], tblClassSubjs[CSubjID],tblClassSubjs[ClassID]),tblClasses[ClassID],tblClasses[STermID])</f>
        <v>5</v>
      </c>
      <c r="T1021" t="str">
        <f>LOOKUP(S1021,tblSchoolTerms[STermID],tblSchoolTerms[SemesterID]&amp;" Semester "&amp;tblSchoolTerms[SchoolYear])</f>
        <v>2 Semester S.Y. 2016-2017</v>
      </c>
      <c r="W10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1" t="e">
        <f t="array" ref="Y1021">INDEX(tblEnrolledStuds[EStudID],MATCH(tblEnrolledSubjs[[#This Row],[EStudID]]&amp;S1021,tblEnrolledStuds[AdmissionStatusID]&amp;tblEnrolledStuds[StudID],0))</f>
        <v>#N/A</v>
      </c>
    </row>
    <row r="1022" spans="2:25" x14ac:dyDescent="0.25">
      <c r="B1022">
        <v>1020</v>
      </c>
      <c r="C1022">
        <v>265</v>
      </c>
      <c r="D1022">
        <v>125</v>
      </c>
      <c r="P1022" t="str">
        <f t="shared" si="19"/>
        <v>(NULL,"265","125"),</v>
      </c>
      <c r="Q1022" t="str">
        <f>TextJoin(tblEnrolledSubjs[[#This Row],[CSubjID]:[EStudID]],"Value")</f>
        <v>"265","125"</v>
      </c>
      <c r="S1022">
        <f>LOOKUP(LOOKUP(tblEnrolledSubjs[[#This Row],[CSubjID]], tblClassSubjs[CSubjID],tblClassSubjs[ClassID]),tblClasses[ClassID],tblClasses[STermID])</f>
        <v>5</v>
      </c>
      <c r="T1022" t="str">
        <f>LOOKUP(S1022,tblSchoolTerms[STermID],tblSchoolTerms[SemesterID]&amp;" Semester "&amp;tblSchoolTerms[SchoolYear])</f>
        <v>2 Semester S.Y. 2016-2017</v>
      </c>
      <c r="W10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2" t="e">
        <f t="array" ref="Y1022">INDEX(tblEnrolledStuds[EStudID],MATCH(tblEnrolledSubjs[[#This Row],[EStudID]]&amp;S1022,tblEnrolledStuds[AdmissionStatusID]&amp;tblEnrolledStuds[StudID],0))</f>
        <v>#N/A</v>
      </c>
    </row>
    <row r="1023" spans="2:25" x14ac:dyDescent="0.25">
      <c r="B1023">
        <v>1021</v>
      </c>
      <c r="C1023">
        <v>265</v>
      </c>
      <c r="D1023">
        <v>127</v>
      </c>
      <c r="P1023" t="str">
        <f t="shared" si="19"/>
        <v>(NULL,"265","127"),</v>
      </c>
      <c r="Q1023" t="str">
        <f>TextJoin(tblEnrolledSubjs[[#This Row],[CSubjID]:[EStudID]],"Value")</f>
        <v>"265","127"</v>
      </c>
      <c r="S1023">
        <f>LOOKUP(LOOKUP(tblEnrolledSubjs[[#This Row],[CSubjID]], tblClassSubjs[CSubjID],tblClassSubjs[ClassID]),tblClasses[ClassID],tblClasses[STermID])</f>
        <v>5</v>
      </c>
      <c r="T1023" t="str">
        <f>LOOKUP(S1023,tblSchoolTerms[STermID],tblSchoolTerms[SemesterID]&amp;" Semester "&amp;tblSchoolTerms[SchoolYear])</f>
        <v>2 Semester S.Y. 2016-2017</v>
      </c>
      <c r="W10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3" t="e">
        <f t="array" ref="Y1023">INDEX(tblEnrolledStuds[EStudID],MATCH(tblEnrolledSubjs[[#This Row],[EStudID]]&amp;S1023,tblEnrolledStuds[AdmissionStatusID]&amp;tblEnrolledStuds[StudID],0))</f>
        <v>#N/A</v>
      </c>
    </row>
    <row r="1024" spans="2:25" x14ac:dyDescent="0.25">
      <c r="B1024">
        <v>1022</v>
      </c>
      <c r="C1024">
        <v>265</v>
      </c>
      <c r="D1024">
        <v>128</v>
      </c>
      <c r="P1024" t="str">
        <f t="shared" si="19"/>
        <v>(NULL,"265","128"),</v>
      </c>
      <c r="Q1024" t="str">
        <f>TextJoin(tblEnrolledSubjs[[#This Row],[CSubjID]:[EStudID]],"Value")</f>
        <v>"265","128"</v>
      </c>
      <c r="S1024">
        <f>LOOKUP(LOOKUP(tblEnrolledSubjs[[#This Row],[CSubjID]], tblClassSubjs[CSubjID],tblClassSubjs[ClassID]),tblClasses[ClassID],tblClasses[STermID])</f>
        <v>5</v>
      </c>
      <c r="T1024" t="str">
        <f>LOOKUP(S1024,tblSchoolTerms[STermID],tblSchoolTerms[SemesterID]&amp;" Semester "&amp;tblSchoolTerms[SchoolYear])</f>
        <v>2 Semester S.Y. 2016-2017</v>
      </c>
      <c r="W10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4" t="e">
        <f t="array" ref="Y1024">INDEX(tblEnrolledStuds[EStudID],MATCH(tblEnrolledSubjs[[#This Row],[EStudID]]&amp;S1024,tblEnrolledStuds[AdmissionStatusID]&amp;tblEnrolledStuds[StudID],0))</f>
        <v>#N/A</v>
      </c>
    </row>
    <row r="1025" spans="2:25" x14ac:dyDescent="0.25">
      <c r="B1025">
        <v>1023</v>
      </c>
      <c r="C1025">
        <v>265</v>
      </c>
      <c r="D1025">
        <v>130</v>
      </c>
      <c r="P1025" t="str">
        <f t="shared" si="19"/>
        <v>(NULL,"265","130"),</v>
      </c>
      <c r="Q1025" t="str">
        <f>TextJoin(tblEnrolledSubjs[[#This Row],[CSubjID]:[EStudID]],"Value")</f>
        <v>"265","130"</v>
      </c>
      <c r="S1025">
        <f>LOOKUP(LOOKUP(tblEnrolledSubjs[[#This Row],[CSubjID]], tblClassSubjs[CSubjID],tblClassSubjs[ClassID]),tblClasses[ClassID],tblClasses[STermID])</f>
        <v>5</v>
      </c>
      <c r="T1025" t="str">
        <f>LOOKUP(S1025,tblSchoolTerms[STermID],tblSchoolTerms[SemesterID]&amp;" Semester "&amp;tblSchoolTerms[SchoolYear])</f>
        <v>2 Semester S.Y. 2016-2017</v>
      </c>
      <c r="W10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5" t="e">
        <f t="array" ref="Y1025">INDEX(tblEnrolledStuds[EStudID],MATCH(tblEnrolledSubjs[[#This Row],[EStudID]]&amp;S1025,tblEnrolledStuds[AdmissionStatusID]&amp;tblEnrolledStuds[StudID],0))</f>
        <v>#N/A</v>
      </c>
    </row>
    <row r="1026" spans="2:25" x14ac:dyDescent="0.25">
      <c r="B1026">
        <v>1024</v>
      </c>
      <c r="C1026">
        <v>265</v>
      </c>
      <c r="D1026">
        <v>131</v>
      </c>
      <c r="P1026" t="str">
        <f t="shared" si="19"/>
        <v>(NULL,"265","131"),</v>
      </c>
      <c r="Q1026" t="str">
        <f>TextJoin(tblEnrolledSubjs[[#This Row],[CSubjID]:[EStudID]],"Value")</f>
        <v>"265","131"</v>
      </c>
      <c r="S1026">
        <f>LOOKUP(LOOKUP(tblEnrolledSubjs[[#This Row],[CSubjID]], tblClassSubjs[CSubjID],tblClassSubjs[ClassID]),tblClasses[ClassID],tblClasses[STermID])</f>
        <v>5</v>
      </c>
      <c r="T1026" t="str">
        <f>LOOKUP(S1026,tblSchoolTerms[STermID],tblSchoolTerms[SemesterID]&amp;" Semester "&amp;tblSchoolTerms[SchoolYear])</f>
        <v>2 Semester S.Y. 2016-2017</v>
      </c>
      <c r="W10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6" t="e">
        <f t="array" ref="Y1026">INDEX(tblEnrolledStuds[EStudID],MATCH(tblEnrolledSubjs[[#This Row],[EStudID]]&amp;S1026,tblEnrolledStuds[AdmissionStatusID]&amp;tblEnrolledStuds[StudID],0))</f>
        <v>#N/A</v>
      </c>
    </row>
    <row r="1027" spans="2:25" x14ac:dyDescent="0.25">
      <c r="B1027">
        <v>1025</v>
      </c>
      <c r="C1027">
        <v>265</v>
      </c>
      <c r="D1027">
        <v>133</v>
      </c>
      <c r="P1027" t="str">
        <f t="shared" si="19"/>
        <v>(NULL,"265","133"),</v>
      </c>
      <c r="Q1027" t="str">
        <f>TextJoin(tblEnrolledSubjs[[#This Row],[CSubjID]:[EStudID]],"Value")</f>
        <v>"265","133"</v>
      </c>
      <c r="S1027">
        <f>LOOKUP(LOOKUP(tblEnrolledSubjs[[#This Row],[CSubjID]], tblClassSubjs[CSubjID],tblClassSubjs[ClassID]),tblClasses[ClassID],tblClasses[STermID])</f>
        <v>5</v>
      </c>
      <c r="T1027" t="str">
        <f>LOOKUP(S1027,tblSchoolTerms[STermID],tblSchoolTerms[SemesterID]&amp;" Semester "&amp;tblSchoolTerms[SchoolYear])</f>
        <v>2 Semester S.Y. 2016-2017</v>
      </c>
      <c r="W10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7" t="e">
        <f t="array" ref="Y1027">INDEX(tblEnrolledStuds[EStudID],MATCH(tblEnrolledSubjs[[#This Row],[EStudID]]&amp;S1027,tblEnrolledStuds[AdmissionStatusID]&amp;tblEnrolledStuds[StudID],0))</f>
        <v>#N/A</v>
      </c>
    </row>
    <row r="1028" spans="2:25" x14ac:dyDescent="0.25">
      <c r="B1028">
        <v>1026</v>
      </c>
      <c r="C1028">
        <v>265</v>
      </c>
      <c r="D1028">
        <v>135</v>
      </c>
      <c r="P1028" t="str">
        <f t="shared" ref="P1028:P1091" si="20">"(NULL,"&amp;Q1028&amp;")"&amp;IF(P1029&lt;&gt;"",",",";")</f>
        <v>(NULL,"265","135"),</v>
      </c>
      <c r="Q1028" t="str">
        <f>TextJoin(tblEnrolledSubjs[[#This Row],[CSubjID]:[EStudID]],"Value")</f>
        <v>"265","135"</v>
      </c>
      <c r="S1028">
        <f>LOOKUP(LOOKUP(tblEnrolledSubjs[[#This Row],[CSubjID]], tblClassSubjs[CSubjID],tblClassSubjs[ClassID]),tblClasses[ClassID],tblClasses[STermID])</f>
        <v>5</v>
      </c>
      <c r="T1028" t="str">
        <f>LOOKUP(S1028,tblSchoolTerms[STermID],tblSchoolTerms[SemesterID]&amp;" Semester "&amp;tblSchoolTerms[SchoolYear])</f>
        <v>2 Semester S.Y. 2016-2017</v>
      </c>
      <c r="W10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8" t="e">
        <f t="array" ref="Y1028">INDEX(tblEnrolledStuds[EStudID],MATCH(tblEnrolledSubjs[[#This Row],[EStudID]]&amp;S1028,tblEnrolledStuds[AdmissionStatusID]&amp;tblEnrolledStuds[StudID],0))</f>
        <v>#N/A</v>
      </c>
    </row>
    <row r="1029" spans="2:25" x14ac:dyDescent="0.25">
      <c r="B1029">
        <v>1027</v>
      </c>
      <c r="C1029">
        <v>265</v>
      </c>
      <c r="D1029">
        <v>136</v>
      </c>
      <c r="P1029" t="str">
        <f t="shared" si="20"/>
        <v>(NULL,"265","136"),</v>
      </c>
      <c r="Q1029" t="str">
        <f>TextJoin(tblEnrolledSubjs[[#This Row],[CSubjID]:[EStudID]],"Value")</f>
        <v>"265","136"</v>
      </c>
      <c r="S1029">
        <f>LOOKUP(LOOKUP(tblEnrolledSubjs[[#This Row],[CSubjID]], tblClassSubjs[CSubjID],tblClassSubjs[ClassID]),tblClasses[ClassID],tblClasses[STermID])</f>
        <v>5</v>
      </c>
      <c r="T1029" t="str">
        <f>LOOKUP(S1029,tblSchoolTerms[STermID],tblSchoolTerms[SemesterID]&amp;" Semester "&amp;tblSchoolTerms[SchoolYear])</f>
        <v>2 Semester S.Y. 2016-2017</v>
      </c>
      <c r="W10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29" t="e">
        <f t="array" ref="Y1029">INDEX(tblEnrolledStuds[EStudID],MATCH(tblEnrolledSubjs[[#This Row],[EStudID]]&amp;S1029,tblEnrolledStuds[AdmissionStatusID]&amp;tblEnrolledStuds[StudID],0))</f>
        <v>#N/A</v>
      </c>
    </row>
    <row r="1030" spans="2:25" x14ac:dyDescent="0.25">
      <c r="B1030">
        <v>1028</v>
      </c>
      <c r="C1030">
        <v>265</v>
      </c>
      <c r="D1030">
        <v>129</v>
      </c>
      <c r="P1030" t="str">
        <f t="shared" si="20"/>
        <v>(NULL,"265","129"),</v>
      </c>
      <c r="Q1030" t="str">
        <f>TextJoin(tblEnrolledSubjs[[#This Row],[CSubjID]:[EStudID]],"Value")</f>
        <v>"265","129"</v>
      </c>
      <c r="S1030">
        <f>LOOKUP(LOOKUP(tblEnrolledSubjs[[#This Row],[CSubjID]], tblClassSubjs[CSubjID],tblClassSubjs[ClassID]),tblClasses[ClassID],tblClasses[STermID])</f>
        <v>5</v>
      </c>
      <c r="T1030" t="str">
        <f>LOOKUP(S1030,tblSchoolTerms[STermID],tblSchoolTerms[SemesterID]&amp;" Semester "&amp;tblSchoolTerms[SchoolYear])</f>
        <v>2 Semester S.Y. 2016-2017</v>
      </c>
      <c r="W10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0" t="e">
        <f t="array" ref="Y1030">INDEX(tblEnrolledStuds[EStudID],MATCH(tblEnrolledSubjs[[#This Row],[EStudID]]&amp;S1030,tblEnrolledStuds[AdmissionStatusID]&amp;tblEnrolledStuds[StudID],0))</f>
        <v>#N/A</v>
      </c>
    </row>
    <row r="1031" spans="2:25" x14ac:dyDescent="0.25">
      <c r="B1031">
        <v>1029</v>
      </c>
      <c r="C1031">
        <v>266</v>
      </c>
      <c r="D1031">
        <v>123</v>
      </c>
      <c r="P1031" t="str">
        <f t="shared" si="20"/>
        <v>(NULL,"266","123"),</v>
      </c>
      <c r="Q1031" t="str">
        <f>TextJoin(tblEnrolledSubjs[[#This Row],[CSubjID]:[EStudID]],"Value")</f>
        <v>"266","123"</v>
      </c>
      <c r="S1031">
        <f>LOOKUP(LOOKUP(tblEnrolledSubjs[[#This Row],[CSubjID]], tblClassSubjs[CSubjID],tblClassSubjs[ClassID]),tblClasses[ClassID],tblClasses[STermID])</f>
        <v>5</v>
      </c>
      <c r="T1031" t="str">
        <f>LOOKUP(S1031,tblSchoolTerms[STermID],tblSchoolTerms[SemesterID]&amp;" Semester "&amp;tblSchoolTerms[SchoolYear])</f>
        <v>2 Semester S.Y. 2016-2017</v>
      </c>
      <c r="W10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1" t="e">
        <f t="array" ref="Y1031">INDEX(tblEnrolledStuds[EStudID],MATCH(tblEnrolledSubjs[[#This Row],[EStudID]]&amp;S1031,tblEnrolledStuds[AdmissionStatusID]&amp;tblEnrolledStuds[StudID],0))</f>
        <v>#N/A</v>
      </c>
    </row>
    <row r="1032" spans="2:25" x14ac:dyDescent="0.25">
      <c r="B1032">
        <v>1030</v>
      </c>
      <c r="C1032">
        <v>266</v>
      </c>
      <c r="D1032">
        <v>124</v>
      </c>
      <c r="P1032" t="str">
        <f t="shared" si="20"/>
        <v>(NULL,"266","124"),</v>
      </c>
      <c r="Q1032" t="str">
        <f>TextJoin(tblEnrolledSubjs[[#This Row],[CSubjID]:[EStudID]],"Value")</f>
        <v>"266","124"</v>
      </c>
      <c r="S1032">
        <f>LOOKUP(LOOKUP(tblEnrolledSubjs[[#This Row],[CSubjID]], tblClassSubjs[CSubjID],tblClassSubjs[ClassID]),tblClasses[ClassID],tblClasses[STermID])</f>
        <v>5</v>
      </c>
      <c r="T1032" t="str">
        <f>LOOKUP(S1032,tblSchoolTerms[STermID],tblSchoolTerms[SemesterID]&amp;" Semester "&amp;tblSchoolTerms[SchoolYear])</f>
        <v>2 Semester S.Y. 2016-2017</v>
      </c>
      <c r="W10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2" t="e">
        <f t="array" ref="Y1032">INDEX(tblEnrolledStuds[EStudID],MATCH(tblEnrolledSubjs[[#This Row],[EStudID]]&amp;S1032,tblEnrolledStuds[AdmissionStatusID]&amp;tblEnrolledStuds[StudID],0))</f>
        <v>#N/A</v>
      </c>
    </row>
    <row r="1033" spans="2:25" x14ac:dyDescent="0.25">
      <c r="B1033">
        <v>1031</v>
      </c>
      <c r="C1033">
        <v>266</v>
      </c>
      <c r="D1033">
        <v>125</v>
      </c>
      <c r="P1033" t="str">
        <f t="shared" si="20"/>
        <v>(NULL,"266","125"),</v>
      </c>
      <c r="Q1033" t="str">
        <f>TextJoin(tblEnrolledSubjs[[#This Row],[CSubjID]:[EStudID]],"Value")</f>
        <v>"266","125"</v>
      </c>
      <c r="S1033">
        <f>LOOKUP(LOOKUP(tblEnrolledSubjs[[#This Row],[CSubjID]], tblClassSubjs[CSubjID],tblClassSubjs[ClassID]),tblClasses[ClassID],tblClasses[STermID])</f>
        <v>5</v>
      </c>
      <c r="T1033" t="str">
        <f>LOOKUP(S1033,tblSchoolTerms[STermID],tblSchoolTerms[SemesterID]&amp;" Semester "&amp;tblSchoolTerms[SchoolYear])</f>
        <v>2 Semester S.Y. 2016-2017</v>
      </c>
      <c r="W10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3" t="e">
        <f t="array" ref="Y1033">INDEX(tblEnrolledStuds[EStudID],MATCH(tblEnrolledSubjs[[#This Row],[EStudID]]&amp;S1033,tblEnrolledStuds[AdmissionStatusID]&amp;tblEnrolledStuds[StudID],0))</f>
        <v>#N/A</v>
      </c>
    </row>
    <row r="1034" spans="2:25" x14ac:dyDescent="0.25">
      <c r="B1034">
        <v>1032</v>
      </c>
      <c r="C1034">
        <v>266</v>
      </c>
      <c r="D1034">
        <v>127</v>
      </c>
      <c r="P1034" t="str">
        <f t="shared" si="20"/>
        <v>(NULL,"266","127"),</v>
      </c>
      <c r="Q1034" t="str">
        <f>TextJoin(tblEnrolledSubjs[[#This Row],[CSubjID]:[EStudID]],"Value")</f>
        <v>"266","127"</v>
      </c>
      <c r="S1034">
        <f>LOOKUP(LOOKUP(tblEnrolledSubjs[[#This Row],[CSubjID]], tblClassSubjs[CSubjID],tblClassSubjs[ClassID]),tblClasses[ClassID],tblClasses[STermID])</f>
        <v>5</v>
      </c>
      <c r="T1034" t="str">
        <f>LOOKUP(S1034,tblSchoolTerms[STermID],tblSchoolTerms[SemesterID]&amp;" Semester "&amp;tblSchoolTerms[SchoolYear])</f>
        <v>2 Semester S.Y. 2016-2017</v>
      </c>
      <c r="W10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4" t="e">
        <f t="array" ref="Y1034">INDEX(tblEnrolledStuds[EStudID],MATCH(tblEnrolledSubjs[[#This Row],[EStudID]]&amp;S1034,tblEnrolledStuds[AdmissionStatusID]&amp;tblEnrolledStuds[StudID],0))</f>
        <v>#N/A</v>
      </c>
    </row>
    <row r="1035" spans="2:25" x14ac:dyDescent="0.25">
      <c r="B1035">
        <v>1033</v>
      </c>
      <c r="C1035">
        <v>266</v>
      </c>
      <c r="D1035">
        <v>128</v>
      </c>
      <c r="P1035" t="str">
        <f t="shared" si="20"/>
        <v>(NULL,"266","128"),</v>
      </c>
      <c r="Q1035" t="str">
        <f>TextJoin(tblEnrolledSubjs[[#This Row],[CSubjID]:[EStudID]],"Value")</f>
        <v>"266","128"</v>
      </c>
      <c r="S1035">
        <f>LOOKUP(LOOKUP(tblEnrolledSubjs[[#This Row],[CSubjID]], tblClassSubjs[CSubjID],tblClassSubjs[ClassID]),tblClasses[ClassID],tblClasses[STermID])</f>
        <v>5</v>
      </c>
      <c r="T1035" t="str">
        <f>LOOKUP(S1035,tblSchoolTerms[STermID],tblSchoolTerms[SemesterID]&amp;" Semester "&amp;tblSchoolTerms[SchoolYear])</f>
        <v>2 Semester S.Y. 2016-2017</v>
      </c>
      <c r="W10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5" t="e">
        <f t="array" ref="Y1035">INDEX(tblEnrolledStuds[EStudID],MATCH(tblEnrolledSubjs[[#This Row],[EStudID]]&amp;S1035,tblEnrolledStuds[AdmissionStatusID]&amp;tblEnrolledStuds[StudID],0))</f>
        <v>#N/A</v>
      </c>
    </row>
    <row r="1036" spans="2:25" x14ac:dyDescent="0.25">
      <c r="B1036">
        <v>1034</v>
      </c>
      <c r="C1036">
        <v>266</v>
      </c>
      <c r="D1036">
        <v>130</v>
      </c>
      <c r="P1036" t="str">
        <f t="shared" si="20"/>
        <v>(NULL,"266","130"),</v>
      </c>
      <c r="Q1036" t="str">
        <f>TextJoin(tblEnrolledSubjs[[#This Row],[CSubjID]:[EStudID]],"Value")</f>
        <v>"266","130"</v>
      </c>
      <c r="S1036">
        <f>LOOKUP(LOOKUP(tblEnrolledSubjs[[#This Row],[CSubjID]], tblClassSubjs[CSubjID],tblClassSubjs[ClassID]),tblClasses[ClassID],tblClasses[STermID])</f>
        <v>5</v>
      </c>
      <c r="T1036" t="str">
        <f>LOOKUP(S1036,tblSchoolTerms[STermID],tblSchoolTerms[SemesterID]&amp;" Semester "&amp;tblSchoolTerms[SchoolYear])</f>
        <v>2 Semester S.Y. 2016-2017</v>
      </c>
      <c r="W10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6" t="e">
        <f t="array" ref="Y1036">INDEX(tblEnrolledStuds[EStudID],MATCH(tblEnrolledSubjs[[#This Row],[EStudID]]&amp;S1036,tblEnrolledStuds[AdmissionStatusID]&amp;tblEnrolledStuds[StudID],0))</f>
        <v>#N/A</v>
      </c>
    </row>
    <row r="1037" spans="2:25" x14ac:dyDescent="0.25">
      <c r="B1037">
        <v>1035</v>
      </c>
      <c r="C1037">
        <v>266</v>
      </c>
      <c r="D1037">
        <v>131</v>
      </c>
      <c r="P1037" t="str">
        <f t="shared" si="20"/>
        <v>(NULL,"266","131"),</v>
      </c>
      <c r="Q1037" t="str">
        <f>TextJoin(tblEnrolledSubjs[[#This Row],[CSubjID]:[EStudID]],"Value")</f>
        <v>"266","131"</v>
      </c>
      <c r="S1037">
        <f>LOOKUP(LOOKUP(tblEnrolledSubjs[[#This Row],[CSubjID]], tblClassSubjs[CSubjID],tblClassSubjs[ClassID]),tblClasses[ClassID],tblClasses[STermID])</f>
        <v>5</v>
      </c>
      <c r="T1037" t="str">
        <f>LOOKUP(S1037,tblSchoolTerms[STermID],tblSchoolTerms[SemesterID]&amp;" Semester "&amp;tblSchoolTerms[SchoolYear])</f>
        <v>2 Semester S.Y. 2016-2017</v>
      </c>
      <c r="W10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7" t="e">
        <f t="array" ref="Y1037">INDEX(tblEnrolledStuds[EStudID],MATCH(tblEnrolledSubjs[[#This Row],[EStudID]]&amp;S1037,tblEnrolledStuds[AdmissionStatusID]&amp;tblEnrolledStuds[StudID],0))</f>
        <v>#N/A</v>
      </c>
    </row>
    <row r="1038" spans="2:25" x14ac:dyDescent="0.25">
      <c r="B1038">
        <v>1036</v>
      </c>
      <c r="C1038">
        <v>266</v>
      </c>
      <c r="D1038">
        <v>133</v>
      </c>
      <c r="P1038" t="str">
        <f t="shared" si="20"/>
        <v>(NULL,"266","133"),</v>
      </c>
      <c r="Q1038" t="str">
        <f>TextJoin(tblEnrolledSubjs[[#This Row],[CSubjID]:[EStudID]],"Value")</f>
        <v>"266","133"</v>
      </c>
      <c r="S1038">
        <f>LOOKUP(LOOKUP(tblEnrolledSubjs[[#This Row],[CSubjID]], tblClassSubjs[CSubjID],tblClassSubjs[ClassID]),tblClasses[ClassID],tblClasses[STermID])</f>
        <v>5</v>
      </c>
      <c r="T1038" t="str">
        <f>LOOKUP(S1038,tblSchoolTerms[STermID],tblSchoolTerms[SemesterID]&amp;" Semester "&amp;tblSchoolTerms[SchoolYear])</f>
        <v>2 Semester S.Y. 2016-2017</v>
      </c>
      <c r="W10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8" t="e">
        <f t="array" ref="Y1038">INDEX(tblEnrolledStuds[EStudID],MATCH(tblEnrolledSubjs[[#This Row],[EStudID]]&amp;S1038,tblEnrolledStuds[AdmissionStatusID]&amp;tblEnrolledStuds[StudID],0))</f>
        <v>#N/A</v>
      </c>
    </row>
    <row r="1039" spans="2:25" x14ac:dyDescent="0.25">
      <c r="B1039">
        <v>1037</v>
      </c>
      <c r="C1039">
        <v>266</v>
      </c>
      <c r="D1039">
        <v>135</v>
      </c>
      <c r="P1039" t="str">
        <f t="shared" si="20"/>
        <v>(NULL,"266","135"),</v>
      </c>
      <c r="Q1039" t="str">
        <f>TextJoin(tblEnrolledSubjs[[#This Row],[CSubjID]:[EStudID]],"Value")</f>
        <v>"266","135"</v>
      </c>
      <c r="S1039">
        <f>LOOKUP(LOOKUP(tblEnrolledSubjs[[#This Row],[CSubjID]], tblClassSubjs[CSubjID],tblClassSubjs[ClassID]),tblClasses[ClassID],tblClasses[STermID])</f>
        <v>5</v>
      </c>
      <c r="T1039" t="str">
        <f>LOOKUP(S1039,tblSchoolTerms[STermID],tblSchoolTerms[SemesterID]&amp;" Semester "&amp;tblSchoolTerms[SchoolYear])</f>
        <v>2 Semester S.Y. 2016-2017</v>
      </c>
      <c r="W10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39" t="e">
        <f t="array" ref="Y1039">INDEX(tblEnrolledStuds[EStudID],MATCH(tblEnrolledSubjs[[#This Row],[EStudID]]&amp;S1039,tblEnrolledStuds[AdmissionStatusID]&amp;tblEnrolledStuds[StudID],0))</f>
        <v>#N/A</v>
      </c>
    </row>
    <row r="1040" spans="2:25" x14ac:dyDescent="0.25">
      <c r="B1040">
        <v>1038</v>
      </c>
      <c r="C1040">
        <v>266</v>
      </c>
      <c r="D1040">
        <v>136</v>
      </c>
      <c r="P1040" t="str">
        <f t="shared" si="20"/>
        <v>(NULL,"266","136"),</v>
      </c>
      <c r="Q1040" t="str">
        <f>TextJoin(tblEnrolledSubjs[[#This Row],[CSubjID]:[EStudID]],"Value")</f>
        <v>"266","136"</v>
      </c>
      <c r="S1040">
        <f>LOOKUP(LOOKUP(tblEnrolledSubjs[[#This Row],[CSubjID]], tblClassSubjs[CSubjID],tblClassSubjs[ClassID]),tblClasses[ClassID],tblClasses[STermID])</f>
        <v>5</v>
      </c>
      <c r="T1040" t="str">
        <f>LOOKUP(S1040,tblSchoolTerms[STermID],tblSchoolTerms[SemesterID]&amp;" Semester "&amp;tblSchoolTerms[SchoolYear])</f>
        <v>2 Semester S.Y. 2016-2017</v>
      </c>
      <c r="W10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0" t="e">
        <f t="array" ref="Y1040">INDEX(tblEnrolledStuds[EStudID],MATCH(tblEnrolledSubjs[[#This Row],[EStudID]]&amp;S1040,tblEnrolledStuds[AdmissionStatusID]&amp;tblEnrolledStuds[StudID],0))</f>
        <v>#N/A</v>
      </c>
    </row>
    <row r="1041" spans="2:25" x14ac:dyDescent="0.25">
      <c r="B1041">
        <v>1039</v>
      </c>
      <c r="C1041">
        <v>266</v>
      </c>
      <c r="D1041">
        <v>129</v>
      </c>
      <c r="P1041" t="str">
        <f t="shared" si="20"/>
        <v>(NULL,"266","129"),</v>
      </c>
      <c r="Q1041" t="str">
        <f>TextJoin(tblEnrolledSubjs[[#This Row],[CSubjID]:[EStudID]],"Value")</f>
        <v>"266","129"</v>
      </c>
      <c r="S1041">
        <f>LOOKUP(LOOKUP(tblEnrolledSubjs[[#This Row],[CSubjID]], tblClassSubjs[CSubjID],tblClassSubjs[ClassID]),tblClasses[ClassID],tblClasses[STermID])</f>
        <v>5</v>
      </c>
      <c r="T1041" t="str">
        <f>LOOKUP(S1041,tblSchoolTerms[STermID],tblSchoolTerms[SemesterID]&amp;" Semester "&amp;tblSchoolTerms[SchoolYear])</f>
        <v>2 Semester S.Y. 2016-2017</v>
      </c>
      <c r="W10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1" t="e">
        <f t="array" ref="Y1041">INDEX(tblEnrolledStuds[EStudID],MATCH(tblEnrolledSubjs[[#This Row],[EStudID]]&amp;S1041,tblEnrolledStuds[AdmissionStatusID]&amp;tblEnrolledStuds[StudID],0))</f>
        <v>#N/A</v>
      </c>
    </row>
    <row r="1042" spans="2:25" x14ac:dyDescent="0.25">
      <c r="B1042">
        <v>1040</v>
      </c>
      <c r="C1042">
        <v>267</v>
      </c>
      <c r="D1042">
        <v>123</v>
      </c>
      <c r="P1042" t="str">
        <f t="shared" si="20"/>
        <v>(NULL,"267","123"),</v>
      </c>
      <c r="Q1042" t="str">
        <f>TextJoin(tblEnrolledSubjs[[#This Row],[CSubjID]:[EStudID]],"Value")</f>
        <v>"267","123"</v>
      </c>
      <c r="S1042">
        <f>LOOKUP(LOOKUP(tblEnrolledSubjs[[#This Row],[CSubjID]], tblClassSubjs[CSubjID],tblClassSubjs[ClassID]),tblClasses[ClassID],tblClasses[STermID])</f>
        <v>5</v>
      </c>
      <c r="T1042" t="str">
        <f>LOOKUP(S1042,tblSchoolTerms[STermID],tblSchoolTerms[SemesterID]&amp;" Semester "&amp;tblSchoolTerms[SchoolYear])</f>
        <v>2 Semester S.Y. 2016-2017</v>
      </c>
      <c r="W10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2" t="e">
        <f t="array" ref="Y1042">INDEX(tblEnrolledStuds[EStudID],MATCH(tblEnrolledSubjs[[#This Row],[EStudID]]&amp;S1042,tblEnrolledStuds[AdmissionStatusID]&amp;tblEnrolledStuds[StudID],0))</f>
        <v>#N/A</v>
      </c>
    </row>
    <row r="1043" spans="2:25" x14ac:dyDescent="0.25">
      <c r="B1043">
        <v>1041</v>
      </c>
      <c r="C1043">
        <v>267</v>
      </c>
      <c r="D1043">
        <v>124</v>
      </c>
      <c r="P1043" t="str">
        <f t="shared" si="20"/>
        <v>(NULL,"267","124"),</v>
      </c>
      <c r="Q1043" t="str">
        <f>TextJoin(tblEnrolledSubjs[[#This Row],[CSubjID]:[EStudID]],"Value")</f>
        <v>"267","124"</v>
      </c>
      <c r="S1043">
        <f>LOOKUP(LOOKUP(tblEnrolledSubjs[[#This Row],[CSubjID]], tblClassSubjs[CSubjID],tblClassSubjs[ClassID]),tblClasses[ClassID],tblClasses[STermID])</f>
        <v>5</v>
      </c>
      <c r="T1043" t="str">
        <f>LOOKUP(S1043,tblSchoolTerms[STermID],tblSchoolTerms[SemesterID]&amp;" Semester "&amp;tblSchoolTerms[SchoolYear])</f>
        <v>2 Semester S.Y. 2016-2017</v>
      </c>
      <c r="W10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3" t="e">
        <f t="array" ref="Y1043">INDEX(tblEnrolledStuds[EStudID],MATCH(tblEnrolledSubjs[[#This Row],[EStudID]]&amp;S1043,tblEnrolledStuds[AdmissionStatusID]&amp;tblEnrolledStuds[StudID],0))</f>
        <v>#N/A</v>
      </c>
    </row>
    <row r="1044" spans="2:25" x14ac:dyDescent="0.25">
      <c r="B1044">
        <v>1042</v>
      </c>
      <c r="C1044">
        <v>267</v>
      </c>
      <c r="D1044">
        <v>125</v>
      </c>
      <c r="P1044" t="str">
        <f t="shared" si="20"/>
        <v>(NULL,"267","125"),</v>
      </c>
      <c r="Q1044" t="str">
        <f>TextJoin(tblEnrolledSubjs[[#This Row],[CSubjID]:[EStudID]],"Value")</f>
        <v>"267","125"</v>
      </c>
      <c r="S1044">
        <f>LOOKUP(LOOKUP(tblEnrolledSubjs[[#This Row],[CSubjID]], tblClassSubjs[CSubjID],tblClassSubjs[ClassID]),tblClasses[ClassID],tblClasses[STermID])</f>
        <v>5</v>
      </c>
      <c r="T1044" t="str">
        <f>LOOKUP(S1044,tblSchoolTerms[STermID],tblSchoolTerms[SemesterID]&amp;" Semester "&amp;tblSchoolTerms[SchoolYear])</f>
        <v>2 Semester S.Y. 2016-2017</v>
      </c>
      <c r="W10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4" t="e">
        <f t="array" ref="Y1044">INDEX(tblEnrolledStuds[EStudID],MATCH(tblEnrolledSubjs[[#This Row],[EStudID]]&amp;S1044,tblEnrolledStuds[AdmissionStatusID]&amp;tblEnrolledStuds[StudID],0))</f>
        <v>#N/A</v>
      </c>
    </row>
    <row r="1045" spans="2:25" x14ac:dyDescent="0.25">
      <c r="B1045">
        <v>1043</v>
      </c>
      <c r="C1045">
        <v>267</v>
      </c>
      <c r="D1045">
        <v>127</v>
      </c>
      <c r="P1045" t="str">
        <f t="shared" si="20"/>
        <v>(NULL,"267","127"),</v>
      </c>
      <c r="Q1045" t="str">
        <f>TextJoin(tblEnrolledSubjs[[#This Row],[CSubjID]:[EStudID]],"Value")</f>
        <v>"267","127"</v>
      </c>
      <c r="S1045">
        <f>LOOKUP(LOOKUP(tblEnrolledSubjs[[#This Row],[CSubjID]], tblClassSubjs[CSubjID],tblClassSubjs[ClassID]),tblClasses[ClassID],tblClasses[STermID])</f>
        <v>5</v>
      </c>
      <c r="T1045" t="str">
        <f>LOOKUP(S1045,tblSchoolTerms[STermID],tblSchoolTerms[SemesterID]&amp;" Semester "&amp;tblSchoolTerms[SchoolYear])</f>
        <v>2 Semester S.Y. 2016-2017</v>
      </c>
      <c r="W10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5" t="e">
        <f t="array" ref="Y1045">INDEX(tblEnrolledStuds[EStudID],MATCH(tblEnrolledSubjs[[#This Row],[EStudID]]&amp;S1045,tblEnrolledStuds[AdmissionStatusID]&amp;tblEnrolledStuds[StudID],0))</f>
        <v>#N/A</v>
      </c>
    </row>
    <row r="1046" spans="2:25" x14ac:dyDescent="0.25">
      <c r="B1046">
        <v>1044</v>
      </c>
      <c r="C1046">
        <v>267</v>
      </c>
      <c r="D1046">
        <v>128</v>
      </c>
      <c r="P1046" t="str">
        <f t="shared" si="20"/>
        <v>(NULL,"267","128"),</v>
      </c>
      <c r="Q1046" t="str">
        <f>TextJoin(tblEnrolledSubjs[[#This Row],[CSubjID]:[EStudID]],"Value")</f>
        <v>"267","128"</v>
      </c>
      <c r="S1046">
        <f>LOOKUP(LOOKUP(tblEnrolledSubjs[[#This Row],[CSubjID]], tblClassSubjs[CSubjID],tblClassSubjs[ClassID]),tblClasses[ClassID],tblClasses[STermID])</f>
        <v>5</v>
      </c>
      <c r="T1046" t="str">
        <f>LOOKUP(S1046,tblSchoolTerms[STermID],tblSchoolTerms[SemesterID]&amp;" Semester "&amp;tblSchoolTerms[SchoolYear])</f>
        <v>2 Semester S.Y. 2016-2017</v>
      </c>
      <c r="W10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6" t="e">
        <f t="array" ref="Y1046">INDEX(tblEnrolledStuds[EStudID],MATCH(tblEnrolledSubjs[[#This Row],[EStudID]]&amp;S1046,tblEnrolledStuds[AdmissionStatusID]&amp;tblEnrolledStuds[StudID],0))</f>
        <v>#N/A</v>
      </c>
    </row>
    <row r="1047" spans="2:25" x14ac:dyDescent="0.25">
      <c r="B1047">
        <v>1045</v>
      </c>
      <c r="C1047">
        <v>267</v>
      </c>
      <c r="D1047">
        <v>130</v>
      </c>
      <c r="P1047" t="str">
        <f t="shared" si="20"/>
        <v>(NULL,"267","130"),</v>
      </c>
      <c r="Q1047" t="str">
        <f>TextJoin(tblEnrolledSubjs[[#This Row],[CSubjID]:[EStudID]],"Value")</f>
        <v>"267","130"</v>
      </c>
      <c r="S1047">
        <f>LOOKUP(LOOKUP(tblEnrolledSubjs[[#This Row],[CSubjID]], tblClassSubjs[CSubjID],tblClassSubjs[ClassID]),tblClasses[ClassID],tblClasses[STermID])</f>
        <v>5</v>
      </c>
      <c r="T1047" t="str">
        <f>LOOKUP(S1047,tblSchoolTerms[STermID],tblSchoolTerms[SemesterID]&amp;" Semester "&amp;tblSchoolTerms[SchoolYear])</f>
        <v>2 Semester S.Y. 2016-2017</v>
      </c>
      <c r="W10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7" t="e">
        <f t="array" ref="Y1047">INDEX(tblEnrolledStuds[EStudID],MATCH(tblEnrolledSubjs[[#This Row],[EStudID]]&amp;S1047,tblEnrolledStuds[AdmissionStatusID]&amp;tblEnrolledStuds[StudID],0))</f>
        <v>#N/A</v>
      </c>
    </row>
    <row r="1048" spans="2:25" x14ac:dyDescent="0.25">
      <c r="B1048">
        <v>1046</v>
      </c>
      <c r="C1048">
        <v>267</v>
      </c>
      <c r="D1048">
        <v>131</v>
      </c>
      <c r="P1048" t="str">
        <f t="shared" si="20"/>
        <v>(NULL,"267","131"),</v>
      </c>
      <c r="Q1048" t="str">
        <f>TextJoin(tblEnrolledSubjs[[#This Row],[CSubjID]:[EStudID]],"Value")</f>
        <v>"267","131"</v>
      </c>
      <c r="S1048">
        <f>LOOKUP(LOOKUP(tblEnrolledSubjs[[#This Row],[CSubjID]], tblClassSubjs[CSubjID],tblClassSubjs[ClassID]),tblClasses[ClassID],tblClasses[STermID])</f>
        <v>5</v>
      </c>
      <c r="T1048" t="str">
        <f>LOOKUP(S1048,tblSchoolTerms[STermID],tblSchoolTerms[SemesterID]&amp;" Semester "&amp;tblSchoolTerms[SchoolYear])</f>
        <v>2 Semester S.Y. 2016-2017</v>
      </c>
      <c r="W10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8" t="e">
        <f t="array" ref="Y1048">INDEX(tblEnrolledStuds[EStudID],MATCH(tblEnrolledSubjs[[#This Row],[EStudID]]&amp;S1048,tblEnrolledStuds[AdmissionStatusID]&amp;tblEnrolledStuds[StudID],0))</f>
        <v>#N/A</v>
      </c>
    </row>
    <row r="1049" spans="2:25" x14ac:dyDescent="0.25">
      <c r="B1049">
        <v>1047</v>
      </c>
      <c r="C1049">
        <v>267</v>
      </c>
      <c r="D1049">
        <v>133</v>
      </c>
      <c r="P1049" t="str">
        <f t="shared" si="20"/>
        <v>(NULL,"267","133"),</v>
      </c>
      <c r="Q1049" t="str">
        <f>TextJoin(tblEnrolledSubjs[[#This Row],[CSubjID]:[EStudID]],"Value")</f>
        <v>"267","133"</v>
      </c>
      <c r="S1049">
        <f>LOOKUP(LOOKUP(tblEnrolledSubjs[[#This Row],[CSubjID]], tblClassSubjs[CSubjID],tblClassSubjs[ClassID]),tblClasses[ClassID],tblClasses[STermID])</f>
        <v>5</v>
      </c>
      <c r="T1049" t="str">
        <f>LOOKUP(S1049,tblSchoolTerms[STermID],tblSchoolTerms[SemesterID]&amp;" Semester "&amp;tblSchoolTerms[SchoolYear])</f>
        <v>2 Semester S.Y. 2016-2017</v>
      </c>
      <c r="W10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49" t="e">
        <f t="array" ref="Y1049">INDEX(tblEnrolledStuds[EStudID],MATCH(tblEnrolledSubjs[[#This Row],[EStudID]]&amp;S1049,tblEnrolledStuds[AdmissionStatusID]&amp;tblEnrolledStuds[StudID],0))</f>
        <v>#N/A</v>
      </c>
    </row>
    <row r="1050" spans="2:25" x14ac:dyDescent="0.25">
      <c r="B1050">
        <v>1048</v>
      </c>
      <c r="C1050">
        <v>267</v>
      </c>
      <c r="D1050">
        <v>135</v>
      </c>
      <c r="P1050" t="str">
        <f t="shared" si="20"/>
        <v>(NULL,"267","135"),</v>
      </c>
      <c r="Q1050" t="str">
        <f>TextJoin(tblEnrolledSubjs[[#This Row],[CSubjID]:[EStudID]],"Value")</f>
        <v>"267","135"</v>
      </c>
      <c r="S1050">
        <f>LOOKUP(LOOKUP(tblEnrolledSubjs[[#This Row],[CSubjID]], tblClassSubjs[CSubjID],tblClassSubjs[ClassID]),tblClasses[ClassID],tblClasses[STermID])</f>
        <v>5</v>
      </c>
      <c r="T1050" t="str">
        <f>LOOKUP(S1050,tblSchoolTerms[STermID],tblSchoolTerms[SemesterID]&amp;" Semester "&amp;tblSchoolTerms[SchoolYear])</f>
        <v>2 Semester S.Y. 2016-2017</v>
      </c>
      <c r="W10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0" t="e">
        <f t="array" ref="Y1050">INDEX(tblEnrolledStuds[EStudID],MATCH(tblEnrolledSubjs[[#This Row],[EStudID]]&amp;S1050,tblEnrolledStuds[AdmissionStatusID]&amp;tblEnrolledStuds[StudID],0))</f>
        <v>#N/A</v>
      </c>
    </row>
    <row r="1051" spans="2:25" x14ac:dyDescent="0.25">
      <c r="B1051">
        <v>1049</v>
      </c>
      <c r="C1051">
        <v>267</v>
      </c>
      <c r="D1051">
        <v>136</v>
      </c>
      <c r="P1051" t="str">
        <f t="shared" si="20"/>
        <v>(NULL,"267","136"),</v>
      </c>
      <c r="Q1051" t="str">
        <f>TextJoin(tblEnrolledSubjs[[#This Row],[CSubjID]:[EStudID]],"Value")</f>
        <v>"267","136"</v>
      </c>
      <c r="S1051">
        <f>LOOKUP(LOOKUP(tblEnrolledSubjs[[#This Row],[CSubjID]], tblClassSubjs[CSubjID],tblClassSubjs[ClassID]),tblClasses[ClassID],tblClasses[STermID])</f>
        <v>5</v>
      </c>
      <c r="T1051" t="str">
        <f>LOOKUP(S1051,tblSchoolTerms[STermID],tblSchoolTerms[SemesterID]&amp;" Semester "&amp;tblSchoolTerms[SchoolYear])</f>
        <v>2 Semester S.Y. 2016-2017</v>
      </c>
      <c r="W10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1" t="e">
        <f t="array" ref="Y1051">INDEX(tblEnrolledStuds[EStudID],MATCH(tblEnrolledSubjs[[#This Row],[EStudID]]&amp;S1051,tblEnrolledStuds[AdmissionStatusID]&amp;tblEnrolledStuds[StudID],0))</f>
        <v>#N/A</v>
      </c>
    </row>
    <row r="1052" spans="2:25" x14ac:dyDescent="0.25">
      <c r="B1052">
        <v>1050</v>
      </c>
      <c r="C1052">
        <v>267</v>
      </c>
      <c r="D1052">
        <v>129</v>
      </c>
      <c r="P1052" t="str">
        <f t="shared" si="20"/>
        <v>(NULL,"267","129"),</v>
      </c>
      <c r="Q1052" t="str">
        <f>TextJoin(tblEnrolledSubjs[[#This Row],[CSubjID]:[EStudID]],"Value")</f>
        <v>"267","129"</v>
      </c>
      <c r="S1052">
        <f>LOOKUP(LOOKUP(tblEnrolledSubjs[[#This Row],[CSubjID]], tblClassSubjs[CSubjID],tblClassSubjs[ClassID]),tblClasses[ClassID],tblClasses[STermID])</f>
        <v>5</v>
      </c>
      <c r="T1052" t="str">
        <f>LOOKUP(S1052,tblSchoolTerms[STermID],tblSchoolTerms[SemesterID]&amp;" Semester "&amp;tblSchoolTerms[SchoolYear])</f>
        <v>2 Semester S.Y. 2016-2017</v>
      </c>
      <c r="W10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2" t="e">
        <f t="array" ref="Y1052">INDEX(tblEnrolledStuds[EStudID],MATCH(tblEnrolledSubjs[[#This Row],[EStudID]]&amp;S1052,tblEnrolledStuds[AdmissionStatusID]&amp;tblEnrolledStuds[StudID],0))</f>
        <v>#N/A</v>
      </c>
    </row>
    <row r="1053" spans="2:25" x14ac:dyDescent="0.25">
      <c r="B1053">
        <v>1051</v>
      </c>
      <c r="C1053">
        <v>268</v>
      </c>
      <c r="D1053">
        <v>123</v>
      </c>
      <c r="P1053" t="str">
        <f t="shared" si="20"/>
        <v>(NULL,"268","123"),</v>
      </c>
      <c r="Q1053" t="str">
        <f>TextJoin(tblEnrolledSubjs[[#This Row],[CSubjID]:[EStudID]],"Value")</f>
        <v>"268","123"</v>
      </c>
      <c r="S1053">
        <f>LOOKUP(LOOKUP(tblEnrolledSubjs[[#This Row],[CSubjID]], tblClassSubjs[CSubjID],tblClassSubjs[ClassID]),tblClasses[ClassID],tblClasses[STermID])</f>
        <v>5</v>
      </c>
      <c r="T1053" t="str">
        <f>LOOKUP(S1053,tblSchoolTerms[STermID],tblSchoolTerms[SemesterID]&amp;" Semester "&amp;tblSchoolTerms[SchoolYear])</f>
        <v>2 Semester S.Y. 2016-2017</v>
      </c>
      <c r="W10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3" t="e">
        <f t="array" ref="Y1053">INDEX(tblEnrolledStuds[EStudID],MATCH(tblEnrolledSubjs[[#This Row],[EStudID]]&amp;S1053,tblEnrolledStuds[AdmissionStatusID]&amp;tblEnrolledStuds[StudID],0))</f>
        <v>#N/A</v>
      </c>
    </row>
    <row r="1054" spans="2:25" x14ac:dyDescent="0.25">
      <c r="B1054">
        <v>1052</v>
      </c>
      <c r="C1054">
        <v>268</v>
      </c>
      <c r="D1054">
        <v>124</v>
      </c>
      <c r="P1054" t="str">
        <f t="shared" si="20"/>
        <v>(NULL,"268","124"),</v>
      </c>
      <c r="Q1054" t="str">
        <f>TextJoin(tblEnrolledSubjs[[#This Row],[CSubjID]:[EStudID]],"Value")</f>
        <v>"268","124"</v>
      </c>
      <c r="S1054">
        <f>LOOKUP(LOOKUP(tblEnrolledSubjs[[#This Row],[CSubjID]], tblClassSubjs[CSubjID],tblClassSubjs[ClassID]),tblClasses[ClassID],tblClasses[STermID])</f>
        <v>5</v>
      </c>
      <c r="T1054" t="str">
        <f>LOOKUP(S1054,tblSchoolTerms[STermID],tblSchoolTerms[SemesterID]&amp;" Semester "&amp;tblSchoolTerms[SchoolYear])</f>
        <v>2 Semester S.Y. 2016-2017</v>
      </c>
      <c r="W10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4" t="e">
        <f t="array" ref="Y1054">INDEX(tblEnrolledStuds[EStudID],MATCH(tblEnrolledSubjs[[#This Row],[EStudID]]&amp;S1054,tblEnrolledStuds[AdmissionStatusID]&amp;tblEnrolledStuds[StudID],0))</f>
        <v>#N/A</v>
      </c>
    </row>
    <row r="1055" spans="2:25" x14ac:dyDescent="0.25">
      <c r="B1055">
        <v>1053</v>
      </c>
      <c r="C1055">
        <v>268</v>
      </c>
      <c r="D1055">
        <v>125</v>
      </c>
      <c r="P1055" t="str">
        <f t="shared" si="20"/>
        <v>(NULL,"268","125"),</v>
      </c>
      <c r="Q1055" t="str">
        <f>TextJoin(tblEnrolledSubjs[[#This Row],[CSubjID]:[EStudID]],"Value")</f>
        <v>"268","125"</v>
      </c>
      <c r="S1055">
        <f>LOOKUP(LOOKUP(tblEnrolledSubjs[[#This Row],[CSubjID]], tblClassSubjs[CSubjID],tblClassSubjs[ClassID]),tblClasses[ClassID],tblClasses[STermID])</f>
        <v>5</v>
      </c>
      <c r="T1055" t="str">
        <f>LOOKUP(S1055,tblSchoolTerms[STermID],tblSchoolTerms[SemesterID]&amp;" Semester "&amp;tblSchoolTerms[SchoolYear])</f>
        <v>2 Semester S.Y. 2016-2017</v>
      </c>
      <c r="W10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5" t="e">
        <f t="array" ref="Y1055">INDEX(tblEnrolledStuds[EStudID],MATCH(tblEnrolledSubjs[[#This Row],[EStudID]]&amp;S1055,tblEnrolledStuds[AdmissionStatusID]&amp;tblEnrolledStuds[StudID],0))</f>
        <v>#N/A</v>
      </c>
    </row>
    <row r="1056" spans="2:25" x14ac:dyDescent="0.25">
      <c r="B1056">
        <v>1054</v>
      </c>
      <c r="C1056">
        <v>268</v>
      </c>
      <c r="D1056">
        <v>127</v>
      </c>
      <c r="P1056" t="str">
        <f t="shared" si="20"/>
        <v>(NULL,"268","127"),</v>
      </c>
      <c r="Q1056" t="str">
        <f>TextJoin(tblEnrolledSubjs[[#This Row],[CSubjID]:[EStudID]],"Value")</f>
        <v>"268","127"</v>
      </c>
      <c r="S1056">
        <f>LOOKUP(LOOKUP(tblEnrolledSubjs[[#This Row],[CSubjID]], tblClassSubjs[CSubjID],tblClassSubjs[ClassID]),tblClasses[ClassID],tblClasses[STermID])</f>
        <v>5</v>
      </c>
      <c r="T1056" t="str">
        <f>LOOKUP(S1056,tblSchoolTerms[STermID],tblSchoolTerms[SemesterID]&amp;" Semester "&amp;tblSchoolTerms[SchoolYear])</f>
        <v>2 Semester S.Y. 2016-2017</v>
      </c>
      <c r="W10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6" t="e">
        <f t="array" ref="Y1056">INDEX(tblEnrolledStuds[EStudID],MATCH(tblEnrolledSubjs[[#This Row],[EStudID]]&amp;S1056,tblEnrolledStuds[AdmissionStatusID]&amp;tblEnrolledStuds[StudID],0))</f>
        <v>#N/A</v>
      </c>
    </row>
    <row r="1057" spans="2:25" x14ac:dyDescent="0.25">
      <c r="B1057">
        <v>1055</v>
      </c>
      <c r="C1057">
        <v>268</v>
      </c>
      <c r="D1057">
        <v>128</v>
      </c>
      <c r="P1057" t="str">
        <f t="shared" si="20"/>
        <v>(NULL,"268","128"),</v>
      </c>
      <c r="Q1057" t="str">
        <f>TextJoin(tblEnrolledSubjs[[#This Row],[CSubjID]:[EStudID]],"Value")</f>
        <v>"268","128"</v>
      </c>
      <c r="S1057">
        <f>LOOKUP(LOOKUP(tblEnrolledSubjs[[#This Row],[CSubjID]], tblClassSubjs[CSubjID],tblClassSubjs[ClassID]),tblClasses[ClassID],tblClasses[STermID])</f>
        <v>5</v>
      </c>
      <c r="T1057" t="str">
        <f>LOOKUP(S1057,tblSchoolTerms[STermID],tblSchoolTerms[SemesterID]&amp;" Semester "&amp;tblSchoolTerms[SchoolYear])</f>
        <v>2 Semester S.Y. 2016-2017</v>
      </c>
      <c r="W10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7" t="e">
        <f t="array" ref="Y1057">INDEX(tblEnrolledStuds[EStudID],MATCH(tblEnrolledSubjs[[#This Row],[EStudID]]&amp;S1057,tblEnrolledStuds[AdmissionStatusID]&amp;tblEnrolledStuds[StudID],0))</f>
        <v>#N/A</v>
      </c>
    </row>
    <row r="1058" spans="2:25" x14ac:dyDescent="0.25">
      <c r="B1058">
        <v>1056</v>
      </c>
      <c r="C1058">
        <v>268</v>
      </c>
      <c r="D1058">
        <v>130</v>
      </c>
      <c r="P1058" t="str">
        <f t="shared" si="20"/>
        <v>(NULL,"268","130"),</v>
      </c>
      <c r="Q1058" t="str">
        <f>TextJoin(tblEnrolledSubjs[[#This Row],[CSubjID]:[EStudID]],"Value")</f>
        <v>"268","130"</v>
      </c>
      <c r="S1058">
        <f>LOOKUP(LOOKUP(tblEnrolledSubjs[[#This Row],[CSubjID]], tblClassSubjs[CSubjID],tblClassSubjs[ClassID]),tblClasses[ClassID],tblClasses[STermID])</f>
        <v>5</v>
      </c>
      <c r="T1058" t="str">
        <f>LOOKUP(S1058,tblSchoolTerms[STermID],tblSchoolTerms[SemesterID]&amp;" Semester "&amp;tblSchoolTerms[SchoolYear])</f>
        <v>2 Semester S.Y. 2016-2017</v>
      </c>
      <c r="W10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8" t="e">
        <f t="array" ref="Y1058">INDEX(tblEnrolledStuds[EStudID],MATCH(tblEnrolledSubjs[[#This Row],[EStudID]]&amp;S1058,tblEnrolledStuds[AdmissionStatusID]&amp;tblEnrolledStuds[StudID],0))</f>
        <v>#N/A</v>
      </c>
    </row>
    <row r="1059" spans="2:25" x14ac:dyDescent="0.25">
      <c r="B1059">
        <v>1057</v>
      </c>
      <c r="C1059">
        <v>268</v>
      </c>
      <c r="D1059">
        <v>131</v>
      </c>
      <c r="P1059" t="str">
        <f t="shared" si="20"/>
        <v>(NULL,"268","131"),</v>
      </c>
      <c r="Q1059" t="str">
        <f>TextJoin(tblEnrolledSubjs[[#This Row],[CSubjID]:[EStudID]],"Value")</f>
        <v>"268","131"</v>
      </c>
      <c r="S1059">
        <f>LOOKUP(LOOKUP(tblEnrolledSubjs[[#This Row],[CSubjID]], tblClassSubjs[CSubjID],tblClassSubjs[ClassID]),tblClasses[ClassID],tblClasses[STermID])</f>
        <v>5</v>
      </c>
      <c r="T1059" t="str">
        <f>LOOKUP(S1059,tblSchoolTerms[STermID],tblSchoolTerms[SemesterID]&amp;" Semester "&amp;tblSchoolTerms[SchoolYear])</f>
        <v>2 Semester S.Y. 2016-2017</v>
      </c>
      <c r="W10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59" t="e">
        <f t="array" ref="Y1059">INDEX(tblEnrolledStuds[EStudID],MATCH(tblEnrolledSubjs[[#This Row],[EStudID]]&amp;S1059,tblEnrolledStuds[AdmissionStatusID]&amp;tblEnrolledStuds[StudID],0))</f>
        <v>#N/A</v>
      </c>
    </row>
    <row r="1060" spans="2:25" x14ac:dyDescent="0.25">
      <c r="B1060">
        <v>1058</v>
      </c>
      <c r="C1060">
        <v>268</v>
      </c>
      <c r="D1060">
        <v>133</v>
      </c>
      <c r="P1060" t="str">
        <f t="shared" si="20"/>
        <v>(NULL,"268","133"),</v>
      </c>
      <c r="Q1060" t="str">
        <f>TextJoin(tblEnrolledSubjs[[#This Row],[CSubjID]:[EStudID]],"Value")</f>
        <v>"268","133"</v>
      </c>
      <c r="S1060">
        <f>LOOKUP(LOOKUP(tblEnrolledSubjs[[#This Row],[CSubjID]], tblClassSubjs[CSubjID],tblClassSubjs[ClassID]),tblClasses[ClassID],tblClasses[STermID])</f>
        <v>5</v>
      </c>
      <c r="T1060" t="str">
        <f>LOOKUP(S1060,tblSchoolTerms[STermID],tblSchoolTerms[SemesterID]&amp;" Semester "&amp;tblSchoolTerms[SchoolYear])</f>
        <v>2 Semester S.Y. 2016-2017</v>
      </c>
      <c r="W10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0" t="e">
        <f t="array" ref="Y1060">INDEX(tblEnrolledStuds[EStudID],MATCH(tblEnrolledSubjs[[#This Row],[EStudID]]&amp;S1060,tblEnrolledStuds[AdmissionStatusID]&amp;tblEnrolledStuds[StudID],0))</f>
        <v>#N/A</v>
      </c>
    </row>
    <row r="1061" spans="2:25" x14ac:dyDescent="0.25">
      <c r="B1061">
        <v>1059</v>
      </c>
      <c r="C1061">
        <v>268</v>
      </c>
      <c r="D1061">
        <v>135</v>
      </c>
      <c r="P1061" t="str">
        <f t="shared" si="20"/>
        <v>(NULL,"268","135"),</v>
      </c>
      <c r="Q1061" t="str">
        <f>TextJoin(tblEnrolledSubjs[[#This Row],[CSubjID]:[EStudID]],"Value")</f>
        <v>"268","135"</v>
      </c>
      <c r="S1061">
        <f>LOOKUP(LOOKUP(tblEnrolledSubjs[[#This Row],[CSubjID]], tblClassSubjs[CSubjID],tblClassSubjs[ClassID]),tblClasses[ClassID],tblClasses[STermID])</f>
        <v>5</v>
      </c>
      <c r="T1061" t="str">
        <f>LOOKUP(S1061,tblSchoolTerms[STermID],tblSchoolTerms[SemesterID]&amp;" Semester "&amp;tblSchoolTerms[SchoolYear])</f>
        <v>2 Semester S.Y. 2016-2017</v>
      </c>
      <c r="W10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1" t="e">
        <f t="array" ref="Y1061">INDEX(tblEnrolledStuds[EStudID],MATCH(tblEnrolledSubjs[[#This Row],[EStudID]]&amp;S1061,tblEnrolledStuds[AdmissionStatusID]&amp;tblEnrolledStuds[StudID],0))</f>
        <v>#N/A</v>
      </c>
    </row>
    <row r="1062" spans="2:25" x14ac:dyDescent="0.25">
      <c r="B1062">
        <v>1060</v>
      </c>
      <c r="C1062">
        <v>268</v>
      </c>
      <c r="D1062">
        <v>136</v>
      </c>
      <c r="P1062" t="str">
        <f t="shared" si="20"/>
        <v>(NULL,"268","136"),</v>
      </c>
      <c r="Q1062" t="str">
        <f>TextJoin(tblEnrolledSubjs[[#This Row],[CSubjID]:[EStudID]],"Value")</f>
        <v>"268","136"</v>
      </c>
      <c r="S1062">
        <f>LOOKUP(LOOKUP(tblEnrolledSubjs[[#This Row],[CSubjID]], tblClassSubjs[CSubjID],tblClassSubjs[ClassID]),tblClasses[ClassID],tblClasses[STermID])</f>
        <v>5</v>
      </c>
      <c r="T1062" t="str">
        <f>LOOKUP(S1062,tblSchoolTerms[STermID],tblSchoolTerms[SemesterID]&amp;" Semester "&amp;tblSchoolTerms[SchoolYear])</f>
        <v>2 Semester S.Y. 2016-2017</v>
      </c>
      <c r="W10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2" t="e">
        <f t="array" ref="Y1062">INDEX(tblEnrolledStuds[EStudID],MATCH(tblEnrolledSubjs[[#This Row],[EStudID]]&amp;S1062,tblEnrolledStuds[AdmissionStatusID]&amp;tblEnrolledStuds[StudID],0))</f>
        <v>#N/A</v>
      </c>
    </row>
    <row r="1063" spans="2:25" x14ac:dyDescent="0.25">
      <c r="B1063">
        <v>1061</v>
      </c>
      <c r="C1063">
        <v>268</v>
      </c>
      <c r="D1063">
        <v>129</v>
      </c>
      <c r="P1063" t="str">
        <f t="shared" si="20"/>
        <v>(NULL,"268","129"),</v>
      </c>
      <c r="Q1063" t="str">
        <f>TextJoin(tblEnrolledSubjs[[#This Row],[CSubjID]:[EStudID]],"Value")</f>
        <v>"268","129"</v>
      </c>
      <c r="S1063">
        <f>LOOKUP(LOOKUP(tblEnrolledSubjs[[#This Row],[CSubjID]], tblClassSubjs[CSubjID],tblClassSubjs[ClassID]),tblClasses[ClassID],tblClasses[STermID])</f>
        <v>5</v>
      </c>
      <c r="T1063" t="str">
        <f>LOOKUP(S1063,tblSchoolTerms[STermID],tblSchoolTerms[SemesterID]&amp;" Semester "&amp;tblSchoolTerms[SchoolYear])</f>
        <v>2 Semester S.Y. 2016-2017</v>
      </c>
      <c r="W10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3" t="e">
        <f t="array" ref="Y1063">INDEX(tblEnrolledStuds[EStudID],MATCH(tblEnrolledSubjs[[#This Row],[EStudID]]&amp;S1063,tblEnrolledStuds[AdmissionStatusID]&amp;tblEnrolledStuds[StudID],0))</f>
        <v>#N/A</v>
      </c>
    </row>
    <row r="1064" spans="2:25" x14ac:dyDescent="0.25">
      <c r="B1064">
        <v>1062</v>
      </c>
      <c r="C1064">
        <v>269</v>
      </c>
      <c r="D1064">
        <v>123</v>
      </c>
      <c r="P1064" t="str">
        <f t="shared" si="20"/>
        <v>(NULL,"269","123"),</v>
      </c>
      <c r="Q1064" t="str">
        <f>TextJoin(tblEnrolledSubjs[[#This Row],[CSubjID]:[EStudID]],"Value")</f>
        <v>"269","123"</v>
      </c>
      <c r="S1064">
        <f>LOOKUP(LOOKUP(tblEnrolledSubjs[[#This Row],[CSubjID]], tblClassSubjs[CSubjID],tblClassSubjs[ClassID]),tblClasses[ClassID],tblClasses[STermID])</f>
        <v>5</v>
      </c>
      <c r="T1064" t="str">
        <f>LOOKUP(S1064,tblSchoolTerms[STermID],tblSchoolTerms[SemesterID]&amp;" Semester "&amp;tblSchoolTerms[SchoolYear])</f>
        <v>2 Semester S.Y. 2016-2017</v>
      </c>
      <c r="W10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4" t="e">
        <f t="array" ref="Y1064">INDEX(tblEnrolledStuds[EStudID],MATCH(tblEnrolledSubjs[[#This Row],[EStudID]]&amp;S1064,tblEnrolledStuds[AdmissionStatusID]&amp;tblEnrolledStuds[StudID],0))</f>
        <v>#N/A</v>
      </c>
    </row>
    <row r="1065" spans="2:25" x14ac:dyDescent="0.25">
      <c r="B1065">
        <v>1063</v>
      </c>
      <c r="C1065">
        <v>269</v>
      </c>
      <c r="D1065">
        <v>124</v>
      </c>
      <c r="P1065" t="str">
        <f t="shared" si="20"/>
        <v>(NULL,"269","124"),</v>
      </c>
      <c r="Q1065" t="str">
        <f>TextJoin(tblEnrolledSubjs[[#This Row],[CSubjID]:[EStudID]],"Value")</f>
        <v>"269","124"</v>
      </c>
      <c r="S1065">
        <f>LOOKUP(LOOKUP(tblEnrolledSubjs[[#This Row],[CSubjID]], tblClassSubjs[CSubjID],tblClassSubjs[ClassID]),tblClasses[ClassID],tblClasses[STermID])</f>
        <v>5</v>
      </c>
      <c r="T1065" t="str">
        <f>LOOKUP(S1065,tblSchoolTerms[STermID],tblSchoolTerms[SemesterID]&amp;" Semester "&amp;tblSchoolTerms[SchoolYear])</f>
        <v>2 Semester S.Y. 2016-2017</v>
      </c>
      <c r="W10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5" t="e">
        <f t="array" ref="Y1065">INDEX(tblEnrolledStuds[EStudID],MATCH(tblEnrolledSubjs[[#This Row],[EStudID]]&amp;S1065,tblEnrolledStuds[AdmissionStatusID]&amp;tblEnrolledStuds[StudID],0))</f>
        <v>#N/A</v>
      </c>
    </row>
    <row r="1066" spans="2:25" x14ac:dyDescent="0.25">
      <c r="B1066">
        <v>1064</v>
      </c>
      <c r="C1066">
        <v>269</v>
      </c>
      <c r="D1066">
        <v>125</v>
      </c>
      <c r="P1066" t="str">
        <f t="shared" si="20"/>
        <v>(NULL,"269","125"),</v>
      </c>
      <c r="Q1066" t="str">
        <f>TextJoin(tblEnrolledSubjs[[#This Row],[CSubjID]:[EStudID]],"Value")</f>
        <v>"269","125"</v>
      </c>
      <c r="S1066">
        <f>LOOKUP(LOOKUP(tblEnrolledSubjs[[#This Row],[CSubjID]], tblClassSubjs[CSubjID],tblClassSubjs[ClassID]),tblClasses[ClassID],tblClasses[STermID])</f>
        <v>5</v>
      </c>
      <c r="T1066" t="str">
        <f>LOOKUP(S1066,tblSchoolTerms[STermID],tblSchoolTerms[SemesterID]&amp;" Semester "&amp;tblSchoolTerms[SchoolYear])</f>
        <v>2 Semester S.Y. 2016-2017</v>
      </c>
      <c r="W10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6" t="e">
        <f t="array" ref="Y1066">INDEX(tblEnrolledStuds[EStudID],MATCH(tblEnrolledSubjs[[#This Row],[EStudID]]&amp;S1066,tblEnrolledStuds[AdmissionStatusID]&amp;tblEnrolledStuds[StudID],0))</f>
        <v>#N/A</v>
      </c>
    </row>
    <row r="1067" spans="2:25" x14ac:dyDescent="0.25">
      <c r="B1067">
        <v>1065</v>
      </c>
      <c r="C1067">
        <v>269</v>
      </c>
      <c r="D1067">
        <v>127</v>
      </c>
      <c r="P1067" t="str">
        <f t="shared" si="20"/>
        <v>(NULL,"269","127"),</v>
      </c>
      <c r="Q1067" t="str">
        <f>TextJoin(tblEnrolledSubjs[[#This Row],[CSubjID]:[EStudID]],"Value")</f>
        <v>"269","127"</v>
      </c>
      <c r="S1067">
        <f>LOOKUP(LOOKUP(tblEnrolledSubjs[[#This Row],[CSubjID]], tblClassSubjs[CSubjID],tblClassSubjs[ClassID]),tblClasses[ClassID],tblClasses[STermID])</f>
        <v>5</v>
      </c>
      <c r="T1067" t="str">
        <f>LOOKUP(S1067,tblSchoolTerms[STermID],tblSchoolTerms[SemesterID]&amp;" Semester "&amp;tblSchoolTerms[SchoolYear])</f>
        <v>2 Semester S.Y. 2016-2017</v>
      </c>
      <c r="W10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7" t="e">
        <f t="array" ref="Y1067">INDEX(tblEnrolledStuds[EStudID],MATCH(tblEnrolledSubjs[[#This Row],[EStudID]]&amp;S1067,tblEnrolledStuds[AdmissionStatusID]&amp;tblEnrolledStuds[StudID],0))</f>
        <v>#N/A</v>
      </c>
    </row>
    <row r="1068" spans="2:25" x14ac:dyDescent="0.25">
      <c r="B1068">
        <v>1066</v>
      </c>
      <c r="C1068">
        <v>269</v>
      </c>
      <c r="D1068">
        <v>128</v>
      </c>
      <c r="P1068" t="str">
        <f t="shared" si="20"/>
        <v>(NULL,"269","128"),</v>
      </c>
      <c r="Q1068" t="str">
        <f>TextJoin(tblEnrolledSubjs[[#This Row],[CSubjID]:[EStudID]],"Value")</f>
        <v>"269","128"</v>
      </c>
      <c r="S1068">
        <f>LOOKUP(LOOKUP(tblEnrolledSubjs[[#This Row],[CSubjID]], tblClassSubjs[CSubjID],tblClassSubjs[ClassID]),tblClasses[ClassID],tblClasses[STermID])</f>
        <v>5</v>
      </c>
      <c r="T1068" t="str">
        <f>LOOKUP(S1068,tblSchoolTerms[STermID],tblSchoolTerms[SemesterID]&amp;" Semester "&amp;tblSchoolTerms[SchoolYear])</f>
        <v>2 Semester S.Y. 2016-2017</v>
      </c>
      <c r="W10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8" t="e">
        <f t="array" ref="Y1068">INDEX(tblEnrolledStuds[EStudID],MATCH(tblEnrolledSubjs[[#This Row],[EStudID]]&amp;S1068,tblEnrolledStuds[AdmissionStatusID]&amp;tblEnrolledStuds[StudID],0))</f>
        <v>#N/A</v>
      </c>
    </row>
    <row r="1069" spans="2:25" x14ac:dyDescent="0.25">
      <c r="B1069">
        <v>1067</v>
      </c>
      <c r="C1069">
        <v>269</v>
      </c>
      <c r="D1069">
        <v>130</v>
      </c>
      <c r="P1069" t="str">
        <f t="shared" si="20"/>
        <v>(NULL,"269","130"),</v>
      </c>
      <c r="Q1069" t="str">
        <f>TextJoin(tblEnrolledSubjs[[#This Row],[CSubjID]:[EStudID]],"Value")</f>
        <v>"269","130"</v>
      </c>
      <c r="S1069">
        <f>LOOKUP(LOOKUP(tblEnrolledSubjs[[#This Row],[CSubjID]], tblClassSubjs[CSubjID],tblClassSubjs[ClassID]),tblClasses[ClassID],tblClasses[STermID])</f>
        <v>5</v>
      </c>
      <c r="T1069" t="str">
        <f>LOOKUP(S1069,tblSchoolTerms[STermID],tblSchoolTerms[SemesterID]&amp;" Semester "&amp;tblSchoolTerms[SchoolYear])</f>
        <v>2 Semester S.Y. 2016-2017</v>
      </c>
      <c r="W10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69" t="e">
        <f t="array" ref="Y1069">INDEX(tblEnrolledStuds[EStudID],MATCH(tblEnrolledSubjs[[#This Row],[EStudID]]&amp;S1069,tblEnrolledStuds[AdmissionStatusID]&amp;tblEnrolledStuds[StudID],0))</f>
        <v>#N/A</v>
      </c>
    </row>
    <row r="1070" spans="2:25" x14ac:dyDescent="0.25">
      <c r="B1070">
        <v>1068</v>
      </c>
      <c r="C1070">
        <v>269</v>
      </c>
      <c r="D1070">
        <v>131</v>
      </c>
      <c r="P1070" t="str">
        <f t="shared" si="20"/>
        <v>(NULL,"269","131"),</v>
      </c>
      <c r="Q1070" t="str">
        <f>TextJoin(tblEnrolledSubjs[[#This Row],[CSubjID]:[EStudID]],"Value")</f>
        <v>"269","131"</v>
      </c>
      <c r="S1070">
        <f>LOOKUP(LOOKUP(tblEnrolledSubjs[[#This Row],[CSubjID]], tblClassSubjs[CSubjID],tblClassSubjs[ClassID]),tblClasses[ClassID],tblClasses[STermID])</f>
        <v>5</v>
      </c>
      <c r="T1070" t="str">
        <f>LOOKUP(S1070,tblSchoolTerms[STermID],tblSchoolTerms[SemesterID]&amp;" Semester "&amp;tblSchoolTerms[SchoolYear])</f>
        <v>2 Semester S.Y. 2016-2017</v>
      </c>
      <c r="W10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0" t="e">
        <f t="array" ref="Y1070">INDEX(tblEnrolledStuds[EStudID],MATCH(tblEnrolledSubjs[[#This Row],[EStudID]]&amp;S1070,tblEnrolledStuds[AdmissionStatusID]&amp;tblEnrolledStuds[StudID],0))</f>
        <v>#N/A</v>
      </c>
    </row>
    <row r="1071" spans="2:25" x14ac:dyDescent="0.25">
      <c r="B1071">
        <v>1069</v>
      </c>
      <c r="C1071">
        <v>269</v>
      </c>
      <c r="D1071">
        <v>133</v>
      </c>
      <c r="P1071" t="str">
        <f t="shared" si="20"/>
        <v>(NULL,"269","133"),</v>
      </c>
      <c r="Q1071" t="str">
        <f>TextJoin(tblEnrolledSubjs[[#This Row],[CSubjID]:[EStudID]],"Value")</f>
        <v>"269","133"</v>
      </c>
      <c r="S1071">
        <f>LOOKUP(LOOKUP(tblEnrolledSubjs[[#This Row],[CSubjID]], tblClassSubjs[CSubjID],tblClassSubjs[ClassID]),tblClasses[ClassID],tblClasses[STermID])</f>
        <v>5</v>
      </c>
      <c r="T1071" t="str">
        <f>LOOKUP(S1071,tblSchoolTerms[STermID],tblSchoolTerms[SemesterID]&amp;" Semester "&amp;tblSchoolTerms[SchoolYear])</f>
        <v>2 Semester S.Y. 2016-2017</v>
      </c>
      <c r="W10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1" t="e">
        <f t="array" ref="Y1071">INDEX(tblEnrolledStuds[EStudID],MATCH(tblEnrolledSubjs[[#This Row],[EStudID]]&amp;S1071,tblEnrolledStuds[AdmissionStatusID]&amp;tblEnrolledStuds[StudID],0))</f>
        <v>#N/A</v>
      </c>
    </row>
    <row r="1072" spans="2:25" x14ac:dyDescent="0.25">
      <c r="B1072">
        <v>1070</v>
      </c>
      <c r="C1072">
        <v>269</v>
      </c>
      <c r="D1072">
        <v>135</v>
      </c>
      <c r="P1072" t="str">
        <f t="shared" si="20"/>
        <v>(NULL,"269","135"),</v>
      </c>
      <c r="Q1072" t="str">
        <f>TextJoin(tblEnrolledSubjs[[#This Row],[CSubjID]:[EStudID]],"Value")</f>
        <v>"269","135"</v>
      </c>
      <c r="S1072">
        <f>LOOKUP(LOOKUP(tblEnrolledSubjs[[#This Row],[CSubjID]], tblClassSubjs[CSubjID],tblClassSubjs[ClassID]),tblClasses[ClassID],tblClasses[STermID])</f>
        <v>5</v>
      </c>
      <c r="T1072" t="str">
        <f>LOOKUP(S1072,tblSchoolTerms[STermID],tblSchoolTerms[SemesterID]&amp;" Semester "&amp;tblSchoolTerms[SchoolYear])</f>
        <v>2 Semester S.Y. 2016-2017</v>
      </c>
      <c r="W10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2" t="e">
        <f t="array" ref="Y1072">INDEX(tblEnrolledStuds[EStudID],MATCH(tblEnrolledSubjs[[#This Row],[EStudID]]&amp;S1072,tblEnrolledStuds[AdmissionStatusID]&amp;tblEnrolledStuds[StudID],0))</f>
        <v>#N/A</v>
      </c>
    </row>
    <row r="1073" spans="2:25" x14ac:dyDescent="0.25">
      <c r="B1073">
        <v>1071</v>
      </c>
      <c r="C1073">
        <v>269</v>
      </c>
      <c r="D1073">
        <v>136</v>
      </c>
      <c r="P1073" t="str">
        <f t="shared" si="20"/>
        <v>(NULL,"269","136"),</v>
      </c>
      <c r="Q1073" t="str">
        <f>TextJoin(tblEnrolledSubjs[[#This Row],[CSubjID]:[EStudID]],"Value")</f>
        <v>"269","136"</v>
      </c>
      <c r="S1073">
        <f>LOOKUP(LOOKUP(tblEnrolledSubjs[[#This Row],[CSubjID]], tblClassSubjs[CSubjID],tblClassSubjs[ClassID]),tblClasses[ClassID],tblClasses[STermID])</f>
        <v>5</v>
      </c>
      <c r="T1073" t="str">
        <f>LOOKUP(S1073,tblSchoolTerms[STermID],tblSchoolTerms[SemesterID]&amp;" Semester "&amp;tblSchoolTerms[SchoolYear])</f>
        <v>2 Semester S.Y. 2016-2017</v>
      </c>
      <c r="W10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3" t="e">
        <f t="array" ref="Y1073">INDEX(tblEnrolledStuds[EStudID],MATCH(tblEnrolledSubjs[[#This Row],[EStudID]]&amp;S1073,tblEnrolledStuds[AdmissionStatusID]&amp;tblEnrolledStuds[StudID],0))</f>
        <v>#N/A</v>
      </c>
    </row>
    <row r="1074" spans="2:25" x14ac:dyDescent="0.25">
      <c r="B1074">
        <v>1072</v>
      </c>
      <c r="C1074">
        <v>269</v>
      </c>
      <c r="D1074">
        <v>129</v>
      </c>
      <c r="P1074" t="str">
        <f t="shared" si="20"/>
        <v>(NULL,"269","129"),</v>
      </c>
      <c r="Q1074" t="str">
        <f>TextJoin(tblEnrolledSubjs[[#This Row],[CSubjID]:[EStudID]],"Value")</f>
        <v>"269","129"</v>
      </c>
      <c r="S1074">
        <f>LOOKUP(LOOKUP(tblEnrolledSubjs[[#This Row],[CSubjID]], tblClassSubjs[CSubjID],tblClassSubjs[ClassID]),tblClasses[ClassID],tblClasses[STermID])</f>
        <v>5</v>
      </c>
      <c r="T1074" t="str">
        <f>LOOKUP(S1074,tblSchoolTerms[STermID],tblSchoolTerms[SemesterID]&amp;" Semester "&amp;tblSchoolTerms[SchoolYear])</f>
        <v>2 Semester S.Y. 2016-2017</v>
      </c>
      <c r="W10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4" t="e">
        <f t="array" ref="Y1074">INDEX(tblEnrolledStuds[EStudID],MATCH(tblEnrolledSubjs[[#This Row],[EStudID]]&amp;S1074,tblEnrolledStuds[AdmissionStatusID]&amp;tblEnrolledStuds[StudID],0))</f>
        <v>#N/A</v>
      </c>
    </row>
    <row r="1075" spans="2:25" x14ac:dyDescent="0.25">
      <c r="B1075">
        <v>1073</v>
      </c>
      <c r="C1075">
        <v>283</v>
      </c>
      <c r="D1075" s="22">
        <v>126</v>
      </c>
      <c r="F1075" s="28"/>
      <c r="P1075" t="str">
        <f t="shared" si="20"/>
        <v>(NULL,"283","126"),</v>
      </c>
      <c r="Q1075" t="str">
        <f>TextJoin(tblEnrolledSubjs[[#This Row],[CSubjID]:[EStudID]],"Value")</f>
        <v>"283","126"</v>
      </c>
      <c r="S1075">
        <f>LOOKUP(LOOKUP(tblEnrolledSubjs[[#This Row],[CSubjID]], tblClassSubjs[CSubjID],tblClassSubjs[ClassID]),tblClasses[ClassID],tblClasses[STermID])</f>
        <v>5</v>
      </c>
      <c r="T1075" t="str">
        <f>LOOKUP(S1075,tblSchoolTerms[STermID],tblSchoolTerms[SemesterID]&amp;" Semester "&amp;tblSchoolTerms[SchoolYear])</f>
        <v>2 Semester S.Y. 2016-2017</v>
      </c>
      <c r="W10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5" t="e">
        <f t="array" ref="Y1075">INDEX(tblEnrolledStuds[EStudID],MATCH(tblEnrolledSubjs[[#This Row],[EStudID]]&amp;S1075,tblEnrolledStuds[AdmissionStatusID]&amp;tblEnrolledStuds[StudID],0))</f>
        <v>#N/A</v>
      </c>
    </row>
    <row r="1076" spans="2:25" x14ac:dyDescent="0.25">
      <c r="B1076">
        <v>1074</v>
      </c>
      <c r="C1076">
        <v>283</v>
      </c>
      <c r="D1076" s="22">
        <v>132</v>
      </c>
      <c r="P1076" t="str">
        <f t="shared" si="20"/>
        <v>(NULL,"283","132"),</v>
      </c>
      <c r="Q1076" t="str">
        <f>TextJoin(tblEnrolledSubjs[[#This Row],[CSubjID]:[EStudID]],"Value")</f>
        <v>"283","132"</v>
      </c>
      <c r="S1076">
        <f>LOOKUP(LOOKUP(tblEnrolledSubjs[[#This Row],[CSubjID]], tblClassSubjs[CSubjID],tblClassSubjs[ClassID]),tblClasses[ClassID],tblClasses[STermID])</f>
        <v>5</v>
      </c>
      <c r="T1076" t="str">
        <f>LOOKUP(S1076,tblSchoolTerms[STermID],tblSchoolTerms[SemesterID]&amp;" Semester "&amp;tblSchoolTerms[SchoolYear])</f>
        <v>2 Semester S.Y. 2016-2017</v>
      </c>
      <c r="W10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6" t="e">
        <f t="array" ref="Y1076">INDEX(tblEnrolledStuds[EStudID],MATCH(tblEnrolledSubjs[[#This Row],[EStudID]]&amp;S1076,tblEnrolledStuds[AdmissionStatusID]&amp;tblEnrolledStuds[StudID],0))</f>
        <v>#N/A</v>
      </c>
    </row>
    <row r="1077" spans="2:25" x14ac:dyDescent="0.25">
      <c r="B1077">
        <v>1075</v>
      </c>
      <c r="C1077">
        <v>283</v>
      </c>
      <c r="D1077" s="22">
        <v>134</v>
      </c>
      <c r="P1077" t="str">
        <f t="shared" si="20"/>
        <v>(NULL,"283","134"),</v>
      </c>
      <c r="Q1077" t="str">
        <f>TextJoin(tblEnrolledSubjs[[#This Row],[CSubjID]:[EStudID]],"Value")</f>
        <v>"283","134"</v>
      </c>
      <c r="S1077">
        <f>LOOKUP(LOOKUP(tblEnrolledSubjs[[#This Row],[CSubjID]], tblClassSubjs[CSubjID],tblClassSubjs[ClassID]),tblClasses[ClassID],tblClasses[STermID])</f>
        <v>5</v>
      </c>
      <c r="T1077" t="str">
        <f>LOOKUP(S1077,tblSchoolTerms[STermID],tblSchoolTerms[SemesterID]&amp;" Semester "&amp;tblSchoolTerms[SchoolYear])</f>
        <v>2 Semester S.Y. 2016-2017</v>
      </c>
      <c r="W10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7" t="e">
        <f t="array" ref="Y1077">INDEX(tblEnrolledStuds[EStudID],MATCH(tblEnrolledSubjs[[#This Row],[EStudID]]&amp;S1077,tblEnrolledStuds[AdmissionStatusID]&amp;tblEnrolledStuds[StudID],0))</f>
        <v>#N/A</v>
      </c>
    </row>
    <row r="1078" spans="2:25" x14ac:dyDescent="0.25">
      <c r="B1078">
        <v>1076</v>
      </c>
      <c r="C1078">
        <v>283</v>
      </c>
      <c r="D1078" s="22">
        <v>137</v>
      </c>
      <c r="P1078" t="str">
        <f t="shared" si="20"/>
        <v>(NULL,"283","137"),</v>
      </c>
      <c r="Q1078" t="str">
        <f>TextJoin(tblEnrolledSubjs[[#This Row],[CSubjID]:[EStudID]],"Value")</f>
        <v>"283","137"</v>
      </c>
      <c r="S1078">
        <f>LOOKUP(LOOKUP(tblEnrolledSubjs[[#This Row],[CSubjID]], tblClassSubjs[CSubjID],tblClassSubjs[ClassID]),tblClasses[ClassID],tblClasses[STermID])</f>
        <v>5</v>
      </c>
      <c r="T1078" t="str">
        <f>LOOKUP(S1078,tblSchoolTerms[STermID],tblSchoolTerms[SemesterID]&amp;" Semester "&amp;tblSchoolTerms[SchoolYear])</f>
        <v>2 Semester S.Y. 2016-2017</v>
      </c>
      <c r="W10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078" t="e">
        <f t="array" ref="Y1078">INDEX(tblEnrolledStuds[EStudID],MATCH(tblEnrolledSubjs[[#This Row],[EStudID]]&amp;S1078,tblEnrolledStuds[AdmissionStatusID]&amp;tblEnrolledStuds[StudID],0))</f>
        <v>#N/A</v>
      </c>
    </row>
    <row r="1079" spans="2:25" x14ac:dyDescent="0.25">
      <c r="B1079">
        <v>1077</v>
      </c>
      <c r="C1079">
        <v>283</v>
      </c>
      <c r="D1079" s="22">
        <v>138</v>
      </c>
      <c r="P1079" t="str">
        <f t="shared" si="20"/>
        <v>(NULL,"283","138"),</v>
      </c>
      <c r="Q1079" t="str">
        <f>TextJoin(tblEnrolledSubjs[[#This Row],[CSubjID]:[EStudID]],"Value")</f>
        <v>"283","138"</v>
      </c>
      <c r="S1079">
        <f>LOOKUP(LOOKUP(tblEnrolledSubjs[[#This Row],[CSubjID]], tblClassSubjs[CSubjID],tblClassSubjs[ClassID]),tblClasses[ClassID],tblClasses[STermID])</f>
        <v>5</v>
      </c>
      <c r="T1079" t="str">
        <f>LOOKUP(S1079,tblSchoolTerms[STermID],tblSchoolTerms[SemesterID]&amp;" Semester "&amp;tblSchoolTerms[SchoolYear])</f>
        <v>2 Semester S.Y. 2016-2017</v>
      </c>
      <c r="W10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79" t="e">
        <f t="array" ref="Y1079">INDEX(tblEnrolledStuds[EStudID],MATCH(tblEnrolledSubjs[[#This Row],[EStudID]]&amp;S1079,tblEnrolledStuds[AdmissionStatusID]&amp;tblEnrolledStuds[StudID],0))</f>
        <v>#N/A</v>
      </c>
    </row>
    <row r="1080" spans="2:25" x14ac:dyDescent="0.25">
      <c r="B1080">
        <v>1078</v>
      </c>
      <c r="C1080">
        <v>283</v>
      </c>
      <c r="D1080" s="22">
        <v>139</v>
      </c>
      <c r="P1080" t="str">
        <f t="shared" si="20"/>
        <v>(NULL,"283","139"),</v>
      </c>
      <c r="Q1080" t="str">
        <f>TextJoin(tblEnrolledSubjs[[#This Row],[CSubjID]:[EStudID]],"Value")</f>
        <v>"283","139"</v>
      </c>
      <c r="S1080">
        <f>LOOKUP(LOOKUP(tblEnrolledSubjs[[#This Row],[CSubjID]], tblClassSubjs[CSubjID],tblClassSubjs[ClassID]),tblClasses[ClassID],tblClasses[STermID])</f>
        <v>5</v>
      </c>
      <c r="T1080" t="str">
        <f>LOOKUP(S1080,tblSchoolTerms[STermID],tblSchoolTerms[SemesterID]&amp;" Semester "&amp;tblSchoolTerms[SchoolYear])</f>
        <v>2 Semester S.Y. 2016-2017</v>
      </c>
      <c r="W10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0" t="e">
        <f t="array" ref="Y1080">INDEX(tblEnrolledStuds[EStudID],MATCH(tblEnrolledSubjs[[#This Row],[EStudID]]&amp;S1080,tblEnrolledStuds[AdmissionStatusID]&amp;tblEnrolledStuds[StudID],0))</f>
        <v>#N/A</v>
      </c>
    </row>
    <row r="1081" spans="2:25" x14ac:dyDescent="0.25">
      <c r="B1081">
        <v>1079</v>
      </c>
      <c r="C1081">
        <v>284</v>
      </c>
      <c r="D1081" s="22">
        <v>126</v>
      </c>
      <c r="P1081" t="str">
        <f t="shared" si="20"/>
        <v>(NULL,"284","126"),</v>
      </c>
      <c r="Q1081" t="str">
        <f>TextJoin(tblEnrolledSubjs[[#This Row],[CSubjID]:[EStudID]],"Value")</f>
        <v>"284","126"</v>
      </c>
      <c r="S1081">
        <f>LOOKUP(LOOKUP(tblEnrolledSubjs[[#This Row],[CSubjID]], tblClassSubjs[CSubjID],tblClassSubjs[ClassID]),tblClasses[ClassID],tblClasses[STermID])</f>
        <v>5</v>
      </c>
      <c r="T1081" t="str">
        <f>LOOKUP(S1081,tblSchoolTerms[STermID],tblSchoolTerms[SemesterID]&amp;" Semester "&amp;tblSchoolTerms[SchoolYear])</f>
        <v>2 Semester S.Y. 2016-2017</v>
      </c>
      <c r="W10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1" t="e">
        <f t="array" ref="Y1081">INDEX(tblEnrolledStuds[EStudID],MATCH(tblEnrolledSubjs[[#This Row],[EStudID]]&amp;S1081,tblEnrolledStuds[AdmissionStatusID]&amp;tblEnrolledStuds[StudID],0))</f>
        <v>#N/A</v>
      </c>
    </row>
    <row r="1082" spans="2:25" x14ac:dyDescent="0.25">
      <c r="B1082">
        <v>1080</v>
      </c>
      <c r="C1082">
        <v>284</v>
      </c>
      <c r="D1082" s="22">
        <v>132</v>
      </c>
      <c r="P1082" t="str">
        <f t="shared" si="20"/>
        <v>(NULL,"284","132"),</v>
      </c>
      <c r="Q1082" t="str">
        <f>TextJoin(tblEnrolledSubjs[[#This Row],[CSubjID]:[EStudID]],"Value")</f>
        <v>"284","132"</v>
      </c>
      <c r="S1082">
        <f>LOOKUP(LOOKUP(tblEnrolledSubjs[[#This Row],[CSubjID]], tblClassSubjs[CSubjID],tblClassSubjs[ClassID]),tblClasses[ClassID],tblClasses[STermID])</f>
        <v>5</v>
      </c>
      <c r="T1082" t="str">
        <f>LOOKUP(S1082,tblSchoolTerms[STermID],tblSchoolTerms[SemesterID]&amp;" Semester "&amp;tblSchoolTerms[SchoolYear])</f>
        <v>2 Semester S.Y. 2016-2017</v>
      </c>
      <c r="W10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2" t="e">
        <f t="array" ref="Y1082">INDEX(tblEnrolledStuds[EStudID],MATCH(tblEnrolledSubjs[[#This Row],[EStudID]]&amp;S1082,tblEnrolledStuds[AdmissionStatusID]&amp;tblEnrolledStuds[StudID],0))</f>
        <v>#N/A</v>
      </c>
    </row>
    <row r="1083" spans="2:25" x14ac:dyDescent="0.25">
      <c r="B1083">
        <v>1081</v>
      </c>
      <c r="C1083">
        <v>284</v>
      </c>
      <c r="D1083" s="22">
        <v>134</v>
      </c>
      <c r="P1083" t="str">
        <f t="shared" si="20"/>
        <v>(NULL,"284","134"),</v>
      </c>
      <c r="Q1083" t="str">
        <f>TextJoin(tblEnrolledSubjs[[#This Row],[CSubjID]:[EStudID]],"Value")</f>
        <v>"284","134"</v>
      </c>
      <c r="S1083">
        <f>LOOKUP(LOOKUP(tblEnrolledSubjs[[#This Row],[CSubjID]], tblClassSubjs[CSubjID],tblClassSubjs[ClassID]),tblClasses[ClassID],tblClasses[STermID])</f>
        <v>5</v>
      </c>
      <c r="T1083" t="str">
        <f>LOOKUP(S1083,tblSchoolTerms[STermID],tblSchoolTerms[SemesterID]&amp;" Semester "&amp;tblSchoolTerms[SchoolYear])</f>
        <v>2 Semester S.Y. 2016-2017</v>
      </c>
      <c r="W10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3" t="e">
        <f t="array" ref="Y1083">INDEX(tblEnrolledStuds[EStudID],MATCH(tblEnrolledSubjs[[#This Row],[EStudID]]&amp;S1083,tblEnrolledStuds[AdmissionStatusID]&amp;tblEnrolledStuds[StudID],0))</f>
        <v>#N/A</v>
      </c>
    </row>
    <row r="1084" spans="2:25" x14ac:dyDescent="0.25">
      <c r="B1084">
        <v>1082</v>
      </c>
      <c r="C1084">
        <v>284</v>
      </c>
      <c r="D1084" s="22">
        <v>137</v>
      </c>
      <c r="P1084" t="str">
        <f t="shared" si="20"/>
        <v>(NULL,"284","137"),</v>
      </c>
      <c r="Q1084" t="str">
        <f>TextJoin(tblEnrolledSubjs[[#This Row],[CSubjID]:[EStudID]],"Value")</f>
        <v>"284","137"</v>
      </c>
      <c r="S1084">
        <f>LOOKUP(LOOKUP(tblEnrolledSubjs[[#This Row],[CSubjID]], tblClassSubjs[CSubjID],tblClassSubjs[ClassID]),tblClasses[ClassID],tblClasses[STermID])</f>
        <v>5</v>
      </c>
      <c r="T1084" t="str">
        <f>LOOKUP(S1084,tblSchoolTerms[STermID],tblSchoolTerms[SemesterID]&amp;" Semester "&amp;tblSchoolTerms[SchoolYear])</f>
        <v>2 Semester S.Y. 2016-2017</v>
      </c>
      <c r="W10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084" t="e">
        <f t="array" ref="Y1084">INDEX(tblEnrolledStuds[EStudID],MATCH(tblEnrolledSubjs[[#This Row],[EStudID]]&amp;S1084,tblEnrolledStuds[AdmissionStatusID]&amp;tblEnrolledStuds[StudID],0))</f>
        <v>#N/A</v>
      </c>
    </row>
    <row r="1085" spans="2:25" x14ac:dyDescent="0.25">
      <c r="B1085">
        <v>1083</v>
      </c>
      <c r="C1085">
        <v>284</v>
      </c>
      <c r="D1085" s="22">
        <v>138</v>
      </c>
      <c r="P1085" t="str">
        <f t="shared" si="20"/>
        <v>(NULL,"284","138"),</v>
      </c>
      <c r="Q1085" t="str">
        <f>TextJoin(tblEnrolledSubjs[[#This Row],[CSubjID]:[EStudID]],"Value")</f>
        <v>"284","138"</v>
      </c>
      <c r="S1085">
        <f>LOOKUP(LOOKUP(tblEnrolledSubjs[[#This Row],[CSubjID]], tblClassSubjs[CSubjID],tblClassSubjs[ClassID]),tblClasses[ClassID],tblClasses[STermID])</f>
        <v>5</v>
      </c>
      <c r="T1085" t="str">
        <f>LOOKUP(S1085,tblSchoolTerms[STermID],tblSchoolTerms[SemesterID]&amp;" Semester "&amp;tblSchoolTerms[SchoolYear])</f>
        <v>2 Semester S.Y. 2016-2017</v>
      </c>
      <c r="W10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5" t="e">
        <f t="array" ref="Y1085">INDEX(tblEnrolledStuds[EStudID],MATCH(tblEnrolledSubjs[[#This Row],[EStudID]]&amp;S1085,tblEnrolledStuds[AdmissionStatusID]&amp;tblEnrolledStuds[StudID],0))</f>
        <v>#N/A</v>
      </c>
    </row>
    <row r="1086" spans="2:25" x14ac:dyDescent="0.25">
      <c r="B1086">
        <v>1084</v>
      </c>
      <c r="C1086">
        <v>284</v>
      </c>
      <c r="D1086" s="22">
        <v>139</v>
      </c>
      <c r="P1086" t="str">
        <f t="shared" si="20"/>
        <v>(NULL,"284","139"),</v>
      </c>
      <c r="Q1086" t="str">
        <f>TextJoin(tblEnrolledSubjs[[#This Row],[CSubjID]:[EStudID]],"Value")</f>
        <v>"284","139"</v>
      </c>
      <c r="S1086">
        <f>LOOKUP(LOOKUP(tblEnrolledSubjs[[#This Row],[CSubjID]], tblClassSubjs[CSubjID],tblClassSubjs[ClassID]),tblClasses[ClassID],tblClasses[STermID])</f>
        <v>5</v>
      </c>
      <c r="T1086" t="str">
        <f>LOOKUP(S1086,tblSchoolTerms[STermID],tblSchoolTerms[SemesterID]&amp;" Semester "&amp;tblSchoolTerms[SchoolYear])</f>
        <v>2 Semester S.Y. 2016-2017</v>
      </c>
      <c r="W10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6" t="e">
        <f t="array" ref="Y1086">INDEX(tblEnrolledStuds[EStudID],MATCH(tblEnrolledSubjs[[#This Row],[EStudID]]&amp;S1086,tblEnrolledStuds[AdmissionStatusID]&amp;tblEnrolledStuds[StudID],0))</f>
        <v>#N/A</v>
      </c>
    </row>
    <row r="1087" spans="2:25" x14ac:dyDescent="0.25">
      <c r="B1087">
        <v>1085</v>
      </c>
      <c r="C1087">
        <v>285</v>
      </c>
      <c r="D1087" s="22">
        <v>126</v>
      </c>
      <c r="P1087" t="str">
        <f t="shared" si="20"/>
        <v>(NULL,"285","126"),</v>
      </c>
      <c r="Q1087" t="str">
        <f>TextJoin(tblEnrolledSubjs[[#This Row],[CSubjID]:[EStudID]],"Value")</f>
        <v>"285","126"</v>
      </c>
      <c r="S1087">
        <f>LOOKUP(LOOKUP(tblEnrolledSubjs[[#This Row],[CSubjID]], tblClassSubjs[CSubjID],tblClassSubjs[ClassID]),tblClasses[ClassID],tblClasses[STermID])</f>
        <v>5</v>
      </c>
      <c r="T1087" t="str">
        <f>LOOKUP(S1087,tblSchoolTerms[STermID],tblSchoolTerms[SemesterID]&amp;" Semester "&amp;tblSchoolTerms[SchoolYear])</f>
        <v>2 Semester S.Y. 2016-2017</v>
      </c>
      <c r="W10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7" t="e">
        <f t="array" ref="Y1087">INDEX(tblEnrolledStuds[EStudID],MATCH(tblEnrolledSubjs[[#This Row],[EStudID]]&amp;S1087,tblEnrolledStuds[AdmissionStatusID]&amp;tblEnrolledStuds[StudID],0))</f>
        <v>#N/A</v>
      </c>
    </row>
    <row r="1088" spans="2:25" x14ac:dyDescent="0.25">
      <c r="B1088">
        <v>1086</v>
      </c>
      <c r="C1088">
        <v>285</v>
      </c>
      <c r="D1088" s="22">
        <v>132</v>
      </c>
      <c r="P1088" t="str">
        <f t="shared" si="20"/>
        <v>(NULL,"285","132"),</v>
      </c>
      <c r="Q1088" t="str">
        <f>TextJoin(tblEnrolledSubjs[[#This Row],[CSubjID]:[EStudID]],"Value")</f>
        <v>"285","132"</v>
      </c>
      <c r="S1088">
        <f>LOOKUP(LOOKUP(tblEnrolledSubjs[[#This Row],[CSubjID]], tblClassSubjs[CSubjID],tblClassSubjs[ClassID]),tblClasses[ClassID],tblClasses[STermID])</f>
        <v>5</v>
      </c>
      <c r="T1088" t="str">
        <f>LOOKUP(S1088,tblSchoolTerms[STermID],tblSchoolTerms[SemesterID]&amp;" Semester "&amp;tblSchoolTerms[SchoolYear])</f>
        <v>2 Semester S.Y. 2016-2017</v>
      </c>
      <c r="W10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8" t="e">
        <f t="array" ref="Y1088">INDEX(tblEnrolledStuds[EStudID],MATCH(tblEnrolledSubjs[[#This Row],[EStudID]]&amp;S1088,tblEnrolledStuds[AdmissionStatusID]&amp;tblEnrolledStuds[StudID],0))</f>
        <v>#N/A</v>
      </c>
    </row>
    <row r="1089" spans="2:25" x14ac:dyDescent="0.25">
      <c r="B1089">
        <v>1087</v>
      </c>
      <c r="C1089">
        <v>285</v>
      </c>
      <c r="D1089" s="22">
        <v>134</v>
      </c>
      <c r="P1089" t="str">
        <f t="shared" si="20"/>
        <v>(NULL,"285","134"),</v>
      </c>
      <c r="Q1089" t="str">
        <f>TextJoin(tblEnrolledSubjs[[#This Row],[CSubjID]:[EStudID]],"Value")</f>
        <v>"285","134"</v>
      </c>
      <c r="S1089">
        <f>LOOKUP(LOOKUP(tblEnrolledSubjs[[#This Row],[CSubjID]], tblClassSubjs[CSubjID],tblClassSubjs[ClassID]),tblClasses[ClassID],tblClasses[STermID])</f>
        <v>5</v>
      </c>
      <c r="T1089" t="str">
        <f>LOOKUP(S1089,tblSchoolTerms[STermID],tblSchoolTerms[SemesterID]&amp;" Semester "&amp;tblSchoolTerms[SchoolYear])</f>
        <v>2 Semester S.Y. 2016-2017</v>
      </c>
      <c r="W10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89" t="e">
        <f t="array" ref="Y1089">INDEX(tblEnrolledStuds[EStudID],MATCH(tblEnrolledSubjs[[#This Row],[EStudID]]&amp;S1089,tblEnrolledStuds[AdmissionStatusID]&amp;tblEnrolledStuds[StudID],0))</f>
        <v>#N/A</v>
      </c>
    </row>
    <row r="1090" spans="2:25" x14ac:dyDescent="0.25">
      <c r="B1090">
        <v>1088</v>
      </c>
      <c r="C1090">
        <v>285</v>
      </c>
      <c r="D1090" s="22">
        <v>137</v>
      </c>
      <c r="P1090" t="str">
        <f t="shared" si="20"/>
        <v>(NULL,"285","137"),</v>
      </c>
      <c r="Q1090" t="str">
        <f>TextJoin(tblEnrolledSubjs[[#This Row],[CSubjID]:[EStudID]],"Value")</f>
        <v>"285","137"</v>
      </c>
      <c r="S1090">
        <f>LOOKUP(LOOKUP(tblEnrolledSubjs[[#This Row],[CSubjID]], tblClassSubjs[CSubjID],tblClassSubjs[ClassID]),tblClasses[ClassID],tblClasses[STermID])</f>
        <v>5</v>
      </c>
      <c r="T1090" t="str">
        <f>LOOKUP(S1090,tblSchoolTerms[STermID],tblSchoolTerms[SemesterID]&amp;" Semester "&amp;tblSchoolTerms[SchoolYear])</f>
        <v>2 Semester S.Y. 2016-2017</v>
      </c>
      <c r="W10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090" t="e">
        <f t="array" ref="Y1090">INDEX(tblEnrolledStuds[EStudID],MATCH(tblEnrolledSubjs[[#This Row],[EStudID]]&amp;S1090,tblEnrolledStuds[AdmissionStatusID]&amp;tblEnrolledStuds[StudID],0))</f>
        <v>#N/A</v>
      </c>
    </row>
    <row r="1091" spans="2:25" x14ac:dyDescent="0.25">
      <c r="B1091">
        <v>1089</v>
      </c>
      <c r="C1091">
        <v>285</v>
      </c>
      <c r="D1091" s="22">
        <v>138</v>
      </c>
      <c r="P1091" t="str">
        <f t="shared" si="20"/>
        <v>(NULL,"285","138"),</v>
      </c>
      <c r="Q1091" t="str">
        <f>TextJoin(tblEnrolledSubjs[[#This Row],[CSubjID]:[EStudID]],"Value")</f>
        <v>"285","138"</v>
      </c>
      <c r="S1091">
        <f>LOOKUP(LOOKUP(tblEnrolledSubjs[[#This Row],[CSubjID]], tblClassSubjs[CSubjID],tblClassSubjs[ClassID]),tblClasses[ClassID],tblClasses[STermID])</f>
        <v>5</v>
      </c>
      <c r="T1091" t="str">
        <f>LOOKUP(S1091,tblSchoolTerms[STermID],tblSchoolTerms[SemesterID]&amp;" Semester "&amp;tblSchoolTerms[SchoolYear])</f>
        <v>2 Semester S.Y. 2016-2017</v>
      </c>
      <c r="W10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1" t="e">
        <f t="array" ref="Y1091">INDEX(tblEnrolledStuds[EStudID],MATCH(tblEnrolledSubjs[[#This Row],[EStudID]]&amp;S1091,tblEnrolledStuds[AdmissionStatusID]&amp;tblEnrolledStuds[StudID],0))</f>
        <v>#N/A</v>
      </c>
    </row>
    <row r="1092" spans="2:25" x14ac:dyDescent="0.25">
      <c r="B1092">
        <v>1090</v>
      </c>
      <c r="C1092">
        <v>285</v>
      </c>
      <c r="D1092" s="22">
        <v>139</v>
      </c>
      <c r="P1092" t="str">
        <f t="shared" ref="P1092:P1155" si="21">"(NULL,"&amp;Q1092&amp;")"&amp;IF(P1093&lt;&gt;"",",",";")</f>
        <v>(NULL,"285","139"),</v>
      </c>
      <c r="Q1092" t="str">
        <f>TextJoin(tblEnrolledSubjs[[#This Row],[CSubjID]:[EStudID]],"Value")</f>
        <v>"285","139"</v>
      </c>
      <c r="S1092">
        <f>LOOKUP(LOOKUP(tblEnrolledSubjs[[#This Row],[CSubjID]], tblClassSubjs[CSubjID],tblClassSubjs[ClassID]),tblClasses[ClassID],tblClasses[STermID])</f>
        <v>5</v>
      </c>
      <c r="T1092" t="str">
        <f>LOOKUP(S1092,tblSchoolTerms[STermID],tblSchoolTerms[SemesterID]&amp;" Semester "&amp;tblSchoolTerms[SchoolYear])</f>
        <v>2 Semester S.Y. 2016-2017</v>
      </c>
      <c r="W10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2" t="e">
        <f t="array" ref="Y1092">INDEX(tblEnrolledStuds[EStudID],MATCH(tblEnrolledSubjs[[#This Row],[EStudID]]&amp;S1092,tblEnrolledStuds[AdmissionStatusID]&amp;tblEnrolledStuds[StudID],0))</f>
        <v>#N/A</v>
      </c>
    </row>
    <row r="1093" spans="2:25" x14ac:dyDescent="0.25">
      <c r="B1093">
        <v>1091</v>
      </c>
      <c r="C1093">
        <v>286</v>
      </c>
      <c r="D1093" s="22">
        <v>126</v>
      </c>
      <c r="P1093" t="str">
        <f t="shared" si="21"/>
        <v>(NULL,"286","126"),</v>
      </c>
      <c r="Q1093" t="str">
        <f>TextJoin(tblEnrolledSubjs[[#This Row],[CSubjID]:[EStudID]],"Value")</f>
        <v>"286","126"</v>
      </c>
      <c r="S1093">
        <f>LOOKUP(LOOKUP(tblEnrolledSubjs[[#This Row],[CSubjID]], tblClassSubjs[CSubjID],tblClassSubjs[ClassID]),tblClasses[ClassID],tblClasses[STermID])</f>
        <v>5</v>
      </c>
      <c r="T1093" t="str">
        <f>LOOKUP(S1093,tblSchoolTerms[STermID],tblSchoolTerms[SemesterID]&amp;" Semester "&amp;tblSchoolTerms[SchoolYear])</f>
        <v>2 Semester S.Y. 2016-2017</v>
      </c>
      <c r="W10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3" t="e">
        <f t="array" ref="Y1093">INDEX(tblEnrolledStuds[EStudID],MATCH(tblEnrolledSubjs[[#This Row],[EStudID]]&amp;S1093,tblEnrolledStuds[AdmissionStatusID]&amp;tblEnrolledStuds[StudID],0))</f>
        <v>#N/A</v>
      </c>
    </row>
    <row r="1094" spans="2:25" x14ac:dyDescent="0.25">
      <c r="B1094">
        <v>1092</v>
      </c>
      <c r="C1094">
        <v>286</v>
      </c>
      <c r="D1094" s="22">
        <v>132</v>
      </c>
      <c r="P1094" t="str">
        <f t="shared" si="21"/>
        <v>(NULL,"286","132"),</v>
      </c>
      <c r="Q1094" t="str">
        <f>TextJoin(tblEnrolledSubjs[[#This Row],[CSubjID]:[EStudID]],"Value")</f>
        <v>"286","132"</v>
      </c>
      <c r="S1094">
        <f>LOOKUP(LOOKUP(tblEnrolledSubjs[[#This Row],[CSubjID]], tblClassSubjs[CSubjID],tblClassSubjs[ClassID]),tblClasses[ClassID],tblClasses[STermID])</f>
        <v>5</v>
      </c>
      <c r="T1094" t="str">
        <f>LOOKUP(S1094,tblSchoolTerms[STermID],tblSchoolTerms[SemesterID]&amp;" Semester "&amp;tblSchoolTerms[SchoolYear])</f>
        <v>2 Semester S.Y. 2016-2017</v>
      </c>
      <c r="W10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4" t="e">
        <f t="array" ref="Y1094">INDEX(tblEnrolledStuds[EStudID],MATCH(tblEnrolledSubjs[[#This Row],[EStudID]]&amp;S1094,tblEnrolledStuds[AdmissionStatusID]&amp;tblEnrolledStuds[StudID],0))</f>
        <v>#N/A</v>
      </c>
    </row>
    <row r="1095" spans="2:25" x14ac:dyDescent="0.25">
      <c r="B1095">
        <v>1093</v>
      </c>
      <c r="C1095">
        <v>286</v>
      </c>
      <c r="D1095" s="22">
        <v>134</v>
      </c>
      <c r="P1095" t="str">
        <f t="shared" si="21"/>
        <v>(NULL,"286","134"),</v>
      </c>
      <c r="Q1095" t="str">
        <f>TextJoin(tblEnrolledSubjs[[#This Row],[CSubjID]:[EStudID]],"Value")</f>
        <v>"286","134"</v>
      </c>
      <c r="S1095">
        <f>LOOKUP(LOOKUP(tblEnrolledSubjs[[#This Row],[CSubjID]], tblClassSubjs[CSubjID],tblClassSubjs[ClassID]),tblClasses[ClassID],tblClasses[STermID])</f>
        <v>5</v>
      </c>
      <c r="T1095" t="str">
        <f>LOOKUP(S1095,tblSchoolTerms[STermID],tblSchoolTerms[SemesterID]&amp;" Semester "&amp;tblSchoolTerms[SchoolYear])</f>
        <v>2 Semester S.Y. 2016-2017</v>
      </c>
      <c r="W10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5" t="e">
        <f t="array" ref="Y1095">INDEX(tblEnrolledStuds[EStudID],MATCH(tblEnrolledSubjs[[#This Row],[EStudID]]&amp;S1095,tblEnrolledStuds[AdmissionStatusID]&amp;tblEnrolledStuds[StudID],0))</f>
        <v>#N/A</v>
      </c>
    </row>
    <row r="1096" spans="2:25" x14ac:dyDescent="0.25">
      <c r="B1096">
        <v>1094</v>
      </c>
      <c r="C1096">
        <v>286</v>
      </c>
      <c r="D1096" s="22">
        <v>137</v>
      </c>
      <c r="P1096" t="str">
        <f t="shared" si="21"/>
        <v>(NULL,"286","137"),</v>
      </c>
      <c r="Q1096" t="str">
        <f>TextJoin(tblEnrolledSubjs[[#This Row],[CSubjID]:[EStudID]],"Value")</f>
        <v>"286","137"</v>
      </c>
      <c r="S1096">
        <f>LOOKUP(LOOKUP(tblEnrolledSubjs[[#This Row],[CSubjID]], tblClassSubjs[CSubjID],tblClassSubjs[ClassID]),tblClasses[ClassID],tblClasses[STermID])</f>
        <v>5</v>
      </c>
      <c r="T1096" t="str">
        <f>LOOKUP(S1096,tblSchoolTerms[STermID],tblSchoolTerms[SemesterID]&amp;" Semester "&amp;tblSchoolTerms[SchoolYear])</f>
        <v>2 Semester S.Y. 2016-2017</v>
      </c>
      <c r="W10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096" t="e">
        <f t="array" ref="Y1096">INDEX(tblEnrolledStuds[EStudID],MATCH(tblEnrolledSubjs[[#This Row],[EStudID]]&amp;S1096,tblEnrolledStuds[AdmissionStatusID]&amp;tblEnrolledStuds[StudID],0))</f>
        <v>#N/A</v>
      </c>
    </row>
    <row r="1097" spans="2:25" x14ac:dyDescent="0.25">
      <c r="B1097">
        <v>1095</v>
      </c>
      <c r="C1097">
        <v>286</v>
      </c>
      <c r="D1097" s="22">
        <v>138</v>
      </c>
      <c r="P1097" t="str">
        <f t="shared" si="21"/>
        <v>(NULL,"286","138"),</v>
      </c>
      <c r="Q1097" t="str">
        <f>TextJoin(tblEnrolledSubjs[[#This Row],[CSubjID]:[EStudID]],"Value")</f>
        <v>"286","138"</v>
      </c>
      <c r="S1097">
        <f>LOOKUP(LOOKUP(tblEnrolledSubjs[[#This Row],[CSubjID]], tblClassSubjs[CSubjID],tblClassSubjs[ClassID]),tblClasses[ClassID],tblClasses[STermID])</f>
        <v>5</v>
      </c>
      <c r="T1097" t="str">
        <f>LOOKUP(S1097,tblSchoolTerms[STermID],tblSchoolTerms[SemesterID]&amp;" Semester "&amp;tblSchoolTerms[SchoolYear])</f>
        <v>2 Semester S.Y. 2016-2017</v>
      </c>
      <c r="W10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7" t="e">
        <f t="array" ref="Y1097">INDEX(tblEnrolledStuds[EStudID],MATCH(tblEnrolledSubjs[[#This Row],[EStudID]]&amp;S1097,tblEnrolledStuds[AdmissionStatusID]&amp;tblEnrolledStuds[StudID],0))</f>
        <v>#N/A</v>
      </c>
    </row>
    <row r="1098" spans="2:25" x14ac:dyDescent="0.25">
      <c r="B1098">
        <v>1096</v>
      </c>
      <c r="C1098">
        <v>286</v>
      </c>
      <c r="D1098" s="22">
        <v>139</v>
      </c>
      <c r="P1098" t="str">
        <f t="shared" si="21"/>
        <v>(NULL,"286","139"),</v>
      </c>
      <c r="Q1098" t="str">
        <f>TextJoin(tblEnrolledSubjs[[#This Row],[CSubjID]:[EStudID]],"Value")</f>
        <v>"286","139"</v>
      </c>
      <c r="S1098">
        <f>LOOKUP(LOOKUP(tblEnrolledSubjs[[#This Row],[CSubjID]], tblClassSubjs[CSubjID],tblClassSubjs[ClassID]),tblClasses[ClassID],tblClasses[STermID])</f>
        <v>5</v>
      </c>
      <c r="T1098" t="str">
        <f>LOOKUP(S1098,tblSchoolTerms[STermID],tblSchoolTerms[SemesterID]&amp;" Semester "&amp;tblSchoolTerms[SchoolYear])</f>
        <v>2 Semester S.Y. 2016-2017</v>
      </c>
      <c r="W10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8" t="e">
        <f t="array" ref="Y1098">INDEX(tblEnrolledStuds[EStudID],MATCH(tblEnrolledSubjs[[#This Row],[EStudID]]&amp;S1098,tblEnrolledStuds[AdmissionStatusID]&amp;tblEnrolledStuds[StudID],0))</f>
        <v>#N/A</v>
      </c>
    </row>
    <row r="1099" spans="2:25" x14ac:dyDescent="0.25">
      <c r="B1099">
        <v>1097</v>
      </c>
      <c r="C1099">
        <v>287</v>
      </c>
      <c r="D1099" s="22">
        <v>126</v>
      </c>
      <c r="P1099" t="str">
        <f t="shared" si="21"/>
        <v>(NULL,"287","126"),</v>
      </c>
      <c r="Q1099" t="str">
        <f>TextJoin(tblEnrolledSubjs[[#This Row],[CSubjID]:[EStudID]],"Value")</f>
        <v>"287","126"</v>
      </c>
      <c r="S1099">
        <f>LOOKUP(LOOKUP(tblEnrolledSubjs[[#This Row],[CSubjID]], tblClassSubjs[CSubjID],tblClassSubjs[ClassID]),tblClasses[ClassID],tblClasses[STermID])</f>
        <v>5</v>
      </c>
      <c r="T1099" t="str">
        <f>LOOKUP(S1099,tblSchoolTerms[STermID],tblSchoolTerms[SemesterID]&amp;" Semester "&amp;tblSchoolTerms[SchoolYear])</f>
        <v>2 Semester S.Y. 2016-2017</v>
      </c>
      <c r="W10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099" t="e">
        <f t="array" ref="Y1099">INDEX(tblEnrolledStuds[EStudID],MATCH(tblEnrolledSubjs[[#This Row],[EStudID]]&amp;S1099,tblEnrolledStuds[AdmissionStatusID]&amp;tblEnrolledStuds[StudID],0))</f>
        <v>#N/A</v>
      </c>
    </row>
    <row r="1100" spans="2:25" x14ac:dyDescent="0.25">
      <c r="B1100">
        <v>1098</v>
      </c>
      <c r="C1100">
        <v>287</v>
      </c>
      <c r="D1100" s="22">
        <v>132</v>
      </c>
      <c r="P1100" t="str">
        <f t="shared" si="21"/>
        <v>(NULL,"287","132"),</v>
      </c>
      <c r="Q1100" t="str">
        <f>TextJoin(tblEnrolledSubjs[[#This Row],[CSubjID]:[EStudID]],"Value")</f>
        <v>"287","132"</v>
      </c>
      <c r="S1100">
        <f>LOOKUP(LOOKUP(tblEnrolledSubjs[[#This Row],[CSubjID]], tblClassSubjs[CSubjID],tblClassSubjs[ClassID]),tblClasses[ClassID],tblClasses[STermID])</f>
        <v>5</v>
      </c>
      <c r="T1100" t="str">
        <f>LOOKUP(S1100,tblSchoolTerms[STermID],tblSchoolTerms[SemesterID]&amp;" Semester "&amp;tblSchoolTerms[SchoolYear])</f>
        <v>2 Semester S.Y. 2016-2017</v>
      </c>
      <c r="W11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0" t="e">
        <f t="array" ref="Y1100">INDEX(tblEnrolledStuds[EStudID],MATCH(tblEnrolledSubjs[[#This Row],[EStudID]]&amp;S1100,tblEnrolledStuds[AdmissionStatusID]&amp;tblEnrolledStuds[StudID],0))</f>
        <v>#N/A</v>
      </c>
    </row>
    <row r="1101" spans="2:25" x14ac:dyDescent="0.25">
      <c r="B1101">
        <v>1099</v>
      </c>
      <c r="C1101">
        <v>287</v>
      </c>
      <c r="D1101" s="22">
        <v>134</v>
      </c>
      <c r="P1101" t="str">
        <f t="shared" si="21"/>
        <v>(NULL,"287","134"),</v>
      </c>
      <c r="Q1101" t="str">
        <f>TextJoin(tblEnrolledSubjs[[#This Row],[CSubjID]:[EStudID]],"Value")</f>
        <v>"287","134"</v>
      </c>
      <c r="S1101">
        <f>LOOKUP(LOOKUP(tblEnrolledSubjs[[#This Row],[CSubjID]], tblClassSubjs[CSubjID],tblClassSubjs[ClassID]),tblClasses[ClassID],tblClasses[STermID])</f>
        <v>5</v>
      </c>
      <c r="T1101" t="str">
        <f>LOOKUP(S1101,tblSchoolTerms[STermID],tblSchoolTerms[SemesterID]&amp;" Semester "&amp;tblSchoolTerms[SchoolYear])</f>
        <v>2 Semester S.Y. 2016-2017</v>
      </c>
      <c r="W11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1" t="e">
        <f t="array" ref="Y1101">INDEX(tblEnrolledStuds[EStudID],MATCH(tblEnrolledSubjs[[#This Row],[EStudID]]&amp;S1101,tblEnrolledStuds[AdmissionStatusID]&amp;tblEnrolledStuds[StudID],0))</f>
        <v>#N/A</v>
      </c>
    </row>
    <row r="1102" spans="2:25" x14ac:dyDescent="0.25">
      <c r="B1102">
        <v>1100</v>
      </c>
      <c r="C1102">
        <v>287</v>
      </c>
      <c r="D1102" s="22">
        <v>137</v>
      </c>
      <c r="P1102" t="str">
        <f t="shared" si="21"/>
        <v>(NULL,"287","137"),</v>
      </c>
      <c r="Q1102" t="str">
        <f>TextJoin(tblEnrolledSubjs[[#This Row],[CSubjID]:[EStudID]],"Value")</f>
        <v>"287","137"</v>
      </c>
      <c r="S1102">
        <f>LOOKUP(LOOKUP(tblEnrolledSubjs[[#This Row],[CSubjID]], tblClassSubjs[CSubjID],tblClassSubjs[ClassID]),tblClasses[ClassID],tblClasses[STermID])</f>
        <v>5</v>
      </c>
      <c r="T1102" t="str">
        <f>LOOKUP(S1102,tblSchoolTerms[STermID],tblSchoolTerms[SemesterID]&amp;" Semester "&amp;tblSchoolTerms[SchoolYear])</f>
        <v>2 Semester S.Y. 2016-2017</v>
      </c>
      <c r="W11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02" t="e">
        <f t="array" ref="Y1102">INDEX(tblEnrolledStuds[EStudID],MATCH(tblEnrolledSubjs[[#This Row],[EStudID]]&amp;S1102,tblEnrolledStuds[AdmissionStatusID]&amp;tblEnrolledStuds[StudID],0))</f>
        <v>#N/A</v>
      </c>
    </row>
    <row r="1103" spans="2:25" x14ac:dyDescent="0.25">
      <c r="B1103">
        <v>1101</v>
      </c>
      <c r="C1103">
        <v>287</v>
      </c>
      <c r="D1103" s="22">
        <v>138</v>
      </c>
      <c r="P1103" t="str">
        <f t="shared" si="21"/>
        <v>(NULL,"287","138"),</v>
      </c>
      <c r="Q1103" t="str">
        <f>TextJoin(tblEnrolledSubjs[[#This Row],[CSubjID]:[EStudID]],"Value")</f>
        <v>"287","138"</v>
      </c>
      <c r="S1103">
        <f>LOOKUP(LOOKUP(tblEnrolledSubjs[[#This Row],[CSubjID]], tblClassSubjs[CSubjID],tblClassSubjs[ClassID]),tblClasses[ClassID],tblClasses[STermID])</f>
        <v>5</v>
      </c>
      <c r="T1103" t="str">
        <f>LOOKUP(S1103,tblSchoolTerms[STermID],tblSchoolTerms[SemesterID]&amp;" Semester "&amp;tblSchoolTerms[SchoolYear])</f>
        <v>2 Semester S.Y. 2016-2017</v>
      </c>
      <c r="W11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3" t="e">
        <f t="array" ref="Y1103">INDEX(tblEnrolledStuds[EStudID],MATCH(tblEnrolledSubjs[[#This Row],[EStudID]]&amp;S1103,tblEnrolledStuds[AdmissionStatusID]&amp;tblEnrolledStuds[StudID],0))</f>
        <v>#N/A</v>
      </c>
    </row>
    <row r="1104" spans="2:25" x14ac:dyDescent="0.25">
      <c r="B1104">
        <v>1102</v>
      </c>
      <c r="C1104">
        <v>287</v>
      </c>
      <c r="D1104" s="22">
        <v>139</v>
      </c>
      <c r="P1104" t="str">
        <f t="shared" si="21"/>
        <v>(NULL,"287","139"),</v>
      </c>
      <c r="Q1104" t="str">
        <f>TextJoin(tblEnrolledSubjs[[#This Row],[CSubjID]:[EStudID]],"Value")</f>
        <v>"287","139"</v>
      </c>
      <c r="S1104">
        <f>LOOKUP(LOOKUP(tblEnrolledSubjs[[#This Row],[CSubjID]], tblClassSubjs[CSubjID],tblClassSubjs[ClassID]),tblClasses[ClassID],tblClasses[STermID])</f>
        <v>5</v>
      </c>
      <c r="T1104" t="str">
        <f>LOOKUP(S1104,tblSchoolTerms[STermID],tblSchoolTerms[SemesterID]&amp;" Semester "&amp;tblSchoolTerms[SchoolYear])</f>
        <v>2 Semester S.Y. 2016-2017</v>
      </c>
      <c r="W11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4" t="e">
        <f t="array" ref="Y1104">INDEX(tblEnrolledStuds[EStudID],MATCH(tblEnrolledSubjs[[#This Row],[EStudID]]&amp;S1104,tblEnrolledStuds[AdmissionStatusID]&amp;tblEnrolledStuds[StudID],0))</f>
        <v>#N/A</v>
      </c>
    </row>
    <row r="1105" spans="2:25" x14ac:dyDescent="0.25">
      <c r="B1105">
        <v>1103</v>
      </c>
      <c r="C1105">
        <v>288</v>
      </c>
      <c r="D1105" s="22">
        <v>126</v>
      </c>
      <c r="P1105" t="str">
        <f t="shared" si="21"/>
        <v>(NULL,"288","126"),</v>
      </c>
      <c r="Q1105" t="str">
        <f>TextJoin(tblEnrolledSubjs[[#This Row],[CSubjID]:[EStudID]],"Value")</f>
        <v>"288","126"</v>
      </c>
      <c r="S1105">
        <f>LOOKUP(LOOKUP(tblEnrolledSubjs[[#This Row],[CSubjID]], tblClassSubjs[CSubjID],tblClassSubjs[ClassID]),tblClasses[ClassID],tblClasses[STermID])</f>
        <v>5</v>
      </c>
      <c r="T1105" t="str">
        <f>LOOKUP(S1105,tblSchoolTerms[STermID],tblSchoolTerms[SemesterID]&amp;" Semester "&amp;tblSchoolTerms[SchoolYear])</f>
        <v>2 Semester S.Y. 2016-2017</v>
      </c>
      <c r="W11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5" t="e">
        <f t="array" ref="Y1105">INDEX(tblEnrolledStuds[EStudID],MATCH(tblEnrolledSubjs[[#This Row],[EStudID]]&amp;S1105,tblEnrolledStuds[AdmissionStatusID]&amp;tblEnrolledStuds[StudID],0))</f>
        <v>#N/A</v>
      </c>
    </row>
    <row r="1106" spans="2:25" x14ac:dyDescent="0.25">
      <c r="B1106">
        <v>1104</v>
      </c>
      <c r="C1106">
        <v>288</v>
      </c>
      <c r="D1106" s="22">
        <v>132</v>
      </c>
      <c r="P1106" t="str">
        <f t="shared" si="21"/>
        <v>(NULL,"288","132"),</v>
      </c>
      <c r="Q1106" t="str">
        <f>TextJoin(tblEnrolledSubjs[[#This Row],[CSubjID]:[EStudID]],"Value")</f>
        <v>"288","132"</v>
      </c>
      <c r="S1106">
        <f>LOOKUP(LOOKUP(tblEnrolledSubjs[[#This Row],[CSubjID]], tblClassSubjs[CSubjID],tblClassSubjs[ClassID]),tblClasses[ClassID],tblClasses[STermID])</f>
        <v>5</v>
      </c>
      <c r="T1106" t="str">
        <f>LOOKUP(S1106,tblSchoolTerms[STermID],tblSchoolTerms[SemesterID]&amp;" Semester "&amp;tblSchoolTerms[SchoolYear])</f>
        <v>2 Semester S.Y. 2016-2017</v>
      </c>
      <c r="W11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6" t="e">
        <f t="array" ref="Y1106">INDEX(tblEnrolledStuds[EStudID],MATCH(tblEnrolledSubjs[[#This Row],[EStudID]]&amp;S1106,tblEnrolledStuds[AdmissionStatusID]&amp;tblEnrolledStuds[StudID],0))</f>
        <v>#N/A</v>
      </c>
    </row>
    <row r="1107" spans="2:25" x14ac:dyDescent="0.25">
      <c r="B1107">
        <v>1105</v>
      </c>
      <c r="C1107">
        <v>288</v>
      </c>
      <c r="D1107" s="22">
        <v>134</v>
      </c>
      <c r="P1107" t="str">
        <f t="shared" si="21"/>
        <v>(NULL,"288","134"),</v>
      </c>
      <c r="Q1107" t="str">
        <f>TextJoin(tblEnrolledSubjs[[#This Row],[CSubjID]:[EStudID]],"Value")</f>
        <v>"288","134"</v>
      </c>
      <c r="S1107">
        <f>LOOKUP(LOOKUP(tblEnrolledSubjs[[#This Row],[CSubjID]], tblClassSubjs[CSubjID],tblClassSubjs[ClassID]),tblClasses[ClassID],tblClasses[STermID])</f>
        <v>5</v>
      </c>
      <c r="T1107" t="str">
        <f>LOOKUP(S1107,tblSchoolTerms[STermID],tblSchoolTerms[SemesterID]&amp;" Semester "&amp;tblSchoolTerms[SchoolYear])</f>
        <v>2 Semester S.Y. 2016-2017</v>
      </c>
      <c r="W11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7" t="e">
        <f t="array" ref="Y1107">INDEX(tblEnrolledStuds[EStudID],MATCH(tblEnrolledSubjs[[#This Row],[EStudID]]&amp;S1107,tblEnrolledStuds[AdmissionStatusID]&amp;tblEnrolledStuds[StudID],0))</f>
        <v>#N/A</v>
      </c>
    </row>
    <row r="1108" spans="2:25" x14ac:dyDescent="0.25">
      <c r="B1108">
        <v>1106</v>
      </c>
      <c r="C1108">
        <v>288</v>
      </c>
      <c r="D1108" s="22">
        <v>137</v>
      </c>
      <c r="P1108" t="str">
        <f t="shared" si="21"/>
        <v>(NULL,"288","137"),</v>
      </c>
      <c r="Q1108" t="str">
        <f>TextJoin(tblEnrolledSubjs[[#This Row],[CSubjID]:[EStudID]],"Value")</f>
        <v>"288","137"</v>
      </c>
      <c r="S1108">
        <f>LOOKUP(LOOKUP(tblEnrolledSubjs[[#This Row],[CSubjID]], tblClassSubjs[CSubjID],tblClassSubjs[ClassID]),tblClasses[ClassID],tblClasses[STermID])</f>
        <v>5</v>
      </c>
      <c r="T1108" t="str">
        <f>LOOKUP(S1108,tblSchoolTerms[STermID],tblSchoolTerms[SemesterID]&amp;" Semester "&amp;tblSchoolTerms[SchoolYear])</f>
        <v>2 Semester S.Y. 2016-2017</v>
      </c>
      <c r="W11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08" t="e">
        <f t="array" ref="Y1108">INDEX(tblEnrolledStuds[EStudID],MATCH(tblEnrolledSubjs[[#This Row],[EStudID]]&amp;S1108,tblEnrolledStuds[AdmissionStatusID]&amp;tblEnrolledStuds[StudID],0))</f>
        <v>#N/A</v>
      </c>
    </row>
    <row r="1109" spans="2:25" x14ac:dyDescent="0.25">
      <c r="B1109">
        <v>1107</v>
      </c>
      <c r="C1109">
        <v>288</v>
      </c>
      <c r="D1109" s="22">
        <v>138</v>
      </c>
      <c r="P1109" t="str">
        <f t="shared" si="21"/>
        <v>(NULL,"288","138"),</v>
      </c>
      <c r="Q1109" t="str">
        <f>TextJoin(tblEnrolledSubjs[[#This Row],[CSubjID]:[EStudID]],"Value")</f>
        <v>"288","138"</v>
      </c>
      <c r="S1109">
        <f>LOOKUP(LOOKUP(tblEnrolledSubjs[[#This Row],[CSubjID]], tblClassSubjs[CSubjID],tblClassSubjs[ClassID]),tblClasses[ClassID],tblClasses[STermID])</f>
        <v>5</v>
      </c>
      <c r="T1109" t="str">
        <f>LOOKUP(S1109,tblSchoolTerms[STermID],tblSchoolTerms[SemesterID]&amp;" Semester "&amp;tblSchoolTerms[SchoolYear])</f>
        <v>2 Semester S.Y. 2016-2017</v>
      </c>
      <c r="W11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09" t="e">
        <f t="array" ref="Y1109">INDEX(tblEnrolledStuds[EStudID],MATCH(tblEnrolledSubjs[[#This Row],[EStudID]]&amp;S1109,tblEnrolledStuds[AdmissionStatusID]&amp;tblEnrolledStuds[StudID],0))</f>
        <v>#N/A</v>
      </c>
    </row>
    <row r="1110" spans="2:25" x14ac:dyDescent="0.25">
      <c r="B1110">
        <v>1108</v>
      </c>
      <c r="C1110">
        <v>288</v>
      </c>
      <c r="D1110" s="22">
        <v>139</v>
      </c>
      <c r="P1110" t="str">
        <f t="shared" si="21"/>
        <v>(NULL,"288","139"),</v>
      </c>
      <c r="Q1110" t="str">
        <f>TextJoin(tblEnrolledSubjs[[#This Row],[CSubjID]:[EStudID]],"Value")</f>
        <v>"288","139"</v>
      </c>
      <c r="S1110">
        <f>LOOKUP(LOOKUP(tblEnrolledSubjs[[#This Row],[CSubjID]], tblClassSubjs[CSubjID],tblClassSubjs[ClassID]),tblClasses[ClassID],tblClasses[STermID])</f>
        <v>5</v>
      </c>
      <c r="T1110" t="str">
        <f>LOOKUP(S1110,tblSchoolTerms[STermID],tblSchoolTerms[SemesterID]&amp;" Semester "&amp;tblSchoolTerms[SchoolYear])</f>
        <v>2 Semester S.Y. 2016-2017</v>
      </c>
      <c r="W11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0" t="e">
        <f t="array" ref="Y1110">INDEX(tblEnrolledStuds[EStudID],MATCH(tblEnrolledSubjs[[#This Row],[EStudID]]&amp;S1110,tblEnrolledStuds[AdmissionStatusID]&amp;tblEnrolledStuds[StudID],0))</f>
        <v>#N/A</v>
      </c>
    </row>
    <row r="1111" spans="2:25" x14ac:dyDescent="0.25">
      <c r="B1111">
        <v>1109</v>
      </c>
      <c r="C1111">
        <v>289</v>
      </c>
      <c r="D1111" s="22">
        <v>126</v>
      </c>
      <c r="P1111" t="str">
        <f t="shared" si="21"/>
        <v>(NULL,"289","126"),</v>
      </c>
      <c r="Q1111" t="str">
        <f>TextJoin(tblEnrolledSubjs[[#This Row],[CSubjID]:[EStudID]],"Value")</f>
        <v>"289","126"</v>
      </c>
      <c r="S1111">
        <f>LOOKUP(LOOKUP(tblEnrolledSubjs[[#This Row],[CSubjID]], tblClassSubjs[CSubjID],tblClassSubjs[ClassID]),tblClasses[ClassID],tblClasses[STermID])</f>
        <v>5</v>
      </c>
      <c r="T1111" t="str">
        <f>LOOKUP(S1111,tblSchoolTerms[STermID],tblSchoolTerms[SemesterID]&amp;" Semester "&amp;tblSchoolTerms[SchoolYear])</f>
        <v>2 Semester S.Y. 2016-2017</v>
      </c>
      <c r="W11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1" t="e">
        <f t="array" ref="Y1111">INDEX(tblEnrolledStuds[EStudID],MATCH(tblEnrolledSubjs[[#This Row],[EStudID]]&amp;S1111,tblEnrolledStuds[AdmissionStatusID]&amp;tblEnrolledStuds[StudID],0))</f>
        <v>#N/A</v>
      </c>
    </row>
    <row r="1112" spans="2:25" x14ac:dyDescent="0.25">
      <c r="B1112">
        <v>1110</v>
      </c>
      <c r="C1112">
        <v>289</v>
      </c>
      <c r="D1112" s="22">
        <v>132</v>
      </c>
      <c r="P1112" t="str">
        <f t="shared" si="21"/>
        <v>(NULL,"289","132"),</v>
      </c>
      <c r="Q1112" t="str">
        <f>TextJoin(tblEnrolledSubjs[[#This Row],[CSubjID]:[EStudID]],"Value")</f>
        <v>"289","132"</v>
      </c>
      <c r="S1112">
        <f>LOOKUP(LOOKUP(tblEnrolledSubjs[[#This Row],[CSubjID]], tblClassSubjs[CSubjID],tblClassSubjs[ClassID]),tblClasses[ClassID],tblClasses[STermID])</f>
        <v>5</v>
      </c>
      <c r="T1112" t="str">
        <f>LOOKUP(S1112,tblSchoolTerms[STermID],tblSchoolTerms[SemesterID]&amp;" Semester "&amp;tblSchoolTerms[SchoolYear])</f>
        <v>2 Semester S.Y. 2016-2017</v>
      </c>
      <c r="W11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2" t="e">
        <f t="array" ref="Y1112">INDEX(tblEnrolledStuds[EStudID],MATCH(tblEnrolledSubjs[[#This Row],[EStudID]]&amp;S1112,tblEnrolledStuds[AdmissionStatusID]&amp;tblEnrolledStuds[StudID],0))</f>
        <v>#N/A</v>
      </c>
    </row>
    <row r="1113" spans="2:25" x14ac:dyDescent="0.25">
      <c r="B1113">
        <v>1111</v>
      </c>
      <c r="C1113">
        <v>289</v>
      </c>
      <c r="D1113" s="22">
        <v>134</v>
      </c>
      <c r="P1113" t="str">
        <f t="shared" si="21"/>
        <v>(NULL,"289","134"),</v>
      </c>
      <c r="Q1113" t="str">
        <f>TextJoin(tblEnrolledSubjs[[#This Row],[CSubjID]:[EStudID]],"Value")</f>
        <v>"289","134"</v>
      </c>
      <c r="S1113">
        <f>LOOKUP(LOOKUP(tblEnrolledSubjs[[#This Row],[CSubjID]], tblClassSubjs[CSubjID],tblClassSubjs[ClassID]),tblClasses[ClassID],tblClasses[STermID])</f>
        <v>5</v>
      </c>
      <c r="T1113" t="str">
        <f>LOOKUP(S1113,tblSchoolTerms[STermID],tblSchoolTerms[SemesterID]&amp;" Semester "&amp;tblSchoolTerms[SchoolYear])</f>
        <v>2 Semester S.Y. 2016-2017</v>
      </c>
      <c r="W11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3" t="e">
        <f t="array" ref="Y1113">INDEX(tblEnrolledStuds[EStudID],MATCH(tblEnrolledSubjs[[#This Row],[EStudID]]&amp;S1113,tblEnrolledStuds[AdmissionStatusID]&amp;tblEnrolledStuds[StudID],0))</f>
        <v>#N/A</v>
      </c>
    </row>
    <row r="1114" spans="2:25" x14ac:dyDescent="0.25">
      <c r="B1114">
        <v>1112</v>
      </c>
      <c r="C1114">
        <v>289</v>
      </c>
      <c r="D1114" s="22">
        <v>137</v>
      </c>
      <c r="P1114" t="str">
        <f t="shared" si="21"/>
        <v>(NULL,"289","137"),</v>
      </c>
      <c r="Q1114" t="str">
        <f>TextJoin(tblEnrolledSubjs[[#This Row],[CSubjID]:[EStudID]],"Value")</f>
        <v>"289","137"</v>
      </c>
      <c r="S1114">
        <f>LOOKUP(LOOKUP(tblEnrolledSubjs[[#This Row],[CSubjID]], tblClassSubjs[CSubjID],tblClassSubjs[ClassID]),tblClasses[ClassID],tblClasses[STermID])</f>
        <v>5</v>
      </c>
      <c r="T1114" t="str">
        <f>LOOKUP(S1114,tblSchoolTerms[STermID],tblSchoolTerms[SemesterID]&amp;" Semester "&amp;tblSchoolTerms[SchoolYear])</f>
        <v>2 Semester S.Y. 2016-2017</v>
      </c>
      <c r="W11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14" t="e">
        <f t="array" ref="Y1114">INDEX(tblEnrolledStuds[EStudID],MATCH(tblEnrolledSubjs[[#This Row],[EStudID]]&amp;S1114,tblEnrolledStuds[AdmissionStatusID]&amp;tblEnrolledStuds[StudID],0))</f>
        <v>#N/A</v>
      </c>
    </row>
    <row r="1115" spans="2:25" x14ac:dyDescent="0.25">
      <c r="B1115">
        <v>1113</v>
      </c>
      <c r="C1115">
        <v>289</v>
      </c>
      <c r="D1115" s="22">
        <v>138</v>
      </c>
      <c r="P1115" t="str">
        <f t="shared" si="21"/>
        <v>(NULL,"289","138"),</v>
      </c>
      <c r="Q1115" t="str">
        <f>TextJoin(tblEnrolledSubjs[[#This Row],[CSubjID]:[EStudID]],"Value")</f>
        <v>"289","138"</v>
      </c>
      <c r="S1115">
        <f>LOOKUP(LOOKUP(tblEnrolledSubjs[[#This Row],[CSubjID]], tblClassSubjs[CSubjID],tblClassSubjs[ClassID]),tblClasses[ClassID],tblClasses[STermID])</f>
        <v>5</v>
      </c>
      <c r="T1115" t="str">
        <f>LOOKUP(S1115,tblSchoolTerms[STermID],tblSchoolTerms[SemesterID]&amp;" Semester "&amp;tblSchoolTerms[SchoolYear])</f>
        <v>2 Semester S.Y. 2016-2017</v>
      </c>
      <c r="W11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5" t="e">
        <f t="array" ref="Y1115">INDEX(tblEnrolledStuds[EStudID],MATCH(tblEnrolledSubjs[[#This Row],[EStudID]]&amp;S1115,tblEnrolledStuds[AdmissionStatusID]&amp;tblEnrolledStuds[StudID],0))</f>
        <v>#N/A</v>
      </c>
    </row>
    <row r="1116" spans="2:25" x14ac:dyDescent="0.25">
      <c r="B1116">
        <v>1114</v>
      </c>
      <c r="C1116">
        <v>289</v>
      </c>
      <c r="D1116" s="22">
        <v>139</v>
      </c>
      <c r="P1116" t="str">
        <f t="shared" si="21"/>
        <v>(NULL,"289","139"),</v>
      </c>
      <c r="Q1116" t="str">
        <f>TextJoin(tblEnrolledSubjs[[#This Row],[CSubjID]:[EStudID]],"Value")</f>
        <v>"289","139"</v>
      </c>
      <c r="S1116">
        <f>LOOKUP(LOOKUP(tblEnrolledSubjs[[#This Row],[CSubjID]], tblClassSubjs[CSubjID],tblClassSubjs[ClassID]),tblClasses[ClassID],tblClasses[STermID])</f>
        <v>5</v>
      </c>
      <c r="T1116" t="str">
        <f>LOOKUP(S1116,tblSchoolTerms[STermID],tblSchoolTerms[SemesterID]&amp;" Semester "&amp;tblSchoolTerms[SchoolYear])</f>
        <v>2 Semester S.Y. 2016-2017</v>
      </c>
      <c r="W11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6" t="e">
        <f t="array" ref="Y1116">INDEX(tblEnrolledStuds[EStudID],MATCH(tblEnrolledSubjs[[#This Row],[EStudID]]&amp;S1116,tblEnrolledStuds[AdmissionStatusID]&amp;tblEnrolledStuds[StudID],0))</f>
        <v>#N/A</v>
      </c>
    </row>
    <row r="1117" spans="2:25" x14ac:dyDescent="0.25">
      <c r="B1117">
        <v>1115</v>
      </c>
      <c r="C1117">
        <v>290</v>
      </c>
      <c r="D1117" s="22">
        <v>126</v>
      </c>
      <c r="P1117" t="str">
        <f t="shared" si="21"/>
        <v>(NULL,"290","126"),</v>
      </c>
      <c r="Q1117" t="str">
        <f>TextJoin(tblEnrolledSubjs[[#This Row],[CSubjID]:[EStudID]],"Value")</f>
        <v>"290","126"</v>
      </c>
      <c r="S1117">
        <f>LOOKUP(LOOKUP(tblEnrolledSubjs[[#This Row],[CSubjID]], tblClassSubjs[CSubjID],tblClassSubjs[ClassID]),tblClasses[ClassID],tblClasses[STermID])</f>
        <v>5</v>
      </c>
      <c r="T1117" t="str">
        <f>LOOKUP(S1117,tblSchoolTerms[STermID],tblSchoolTerms[SemesterID]&amp;" Semester "&amp;tblSchoolTerms[SchoolYear])</f>
        <v>2 Semester S.Y. 2016-2017</v>
      </c>
      <c r="W11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7" t="e">
        <f t="array" ref="Y1117">INDEX(tblEnrolledStuds[EStudID],MATCH(tblEnrolledSubjs[[#This Row],[EStudID]]&amp;S1117,tblEnrolledStuds[AdmissionStatusID]&amp;tblEnrolledStuds[StudID],0))</f>
        <v>#N/A</v>
      </c>
    </row>
    <row r="1118" spans="2:25" x14ac:dyDescent="0.25">
      <c r="B1118">
        <v>1116</v>
      </c>
      <c r="C1118">
        <v>290</v>
      </c>
      <c r="D1118" s="22">
        <v>132</v>
      </c>
      <c r="P1118" t="str">
        <f t="shared" si="21"/>
        <v>(NULL,"290","132"),</v>
      </c>
      <c r="Q1118" t="str">
        <f>TextJoin(tblEnrolledSubjs[[#This Row],[CSubjID]:[EStudID]],"Value")</f>
        <v>"290","132"</v>
      </c>
      <c r="S1118">
        <f>LOOKUP(LOOKUP(tblEnrolledSubjs[[#This Row],[CSubjID]], tblClassSubjs[CSubjID],tblClassSubjs[ClassID]),tblClasses[ClassID],tblClasses[STermID])</f>
        <v>5</v>
      </c>
      <c r="T1118" t="str">
        <f>LOOKUP(S1118,tblSchoolTerms[STermID],tblSchoolTerms[SemesterID]&amp;" Semester "&amp;tblSchoolTerms[SchoolYear])</f>
        <v>2 Semester S.Y. 2016-2017</v>
      </c>
      <c r="W11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8" t="e">
        <f t="array" ref="Y1118">INDEX(tblEnrolledStuds[EStudID],MATCH(tblEnrolledSubjs[[#This Row],[EStudID]]&amp;S1118,tblEnrolledStuds[AdmissionStatusID]&amp;tblEnrolledStuds[StudID],0))</f>
        <v>#N/A</v>
      </c>
    </row>
    <row r="1119" spans="2:25" x14ac:dyDescent="0.25">
      <c r="B1119">
        <v>1117</v>
      </c>
      <c r="C1119">
        <v>290</v>
      </c>
      <c r="D1119" s="22">
        <v>134</v>
      </c>
      <c r="P1119" t="str">
        <f t="shared" si="21"/>
        <v>(NULL,"290","134"),</v>
      </c>
      <c r="Q1119" t="str">
        <f>TextJoin(tblEnrolledSubjs[[#This Row],[CSubjID]:[EStudID]],"Value")</f>
        <v>"290","134"</v>
      </c>
      <c r="S1119">
        <f>LOOKUP(LOOKUP(tblEnrolledSubjs[[#This Row],[CSubjID]], tblClassSubjs[CSubjID],tblClassSubjs[ClassID]),tblClasses[ClassID],tblClasses[STermID])</f>
        <v>5</v>
      </c>
      <c r="T1119" t="str">
        <f>LOOKUP(S1119,tblSchoolTerms[STermID],tblSchoolTerms[SemesterID]&amp;" Semester "&amp;tblSchoolTerms[SchoolYear])</f>
        <v>2 Semester S.Y. 2016-2017</v>
      </c>
      <c r="W11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19" t="e">
        <f t="array" ref="Y1119">INDEX(tblEnrolledStuds[EStudID],MATCH(tblEnrolledSubjs[[#This Row],[EStudID]]&amp;S1119,tblEnrolledStuds[AdmissionStatusID]&amp;tblEnrolledStuds[StudID],0))</f>
        <v>#N/A</v>
      </c>
    </row>
    <row r="1120" spans="2:25" x14ac:dyDescent="0.25">
      <c r="B1120">
        <v>1118</v>
      </c>
      <c r="C1120">
        <v>290</v>
      </c>
      <c r="D1120" s="22">
        <v>137</v>
      </c>
      <c r="P1120" t="str">
        <f t="shared" si="21"/>
        <v>(NULL,"290","137"),</v>
      </c>
      <c r="Q1120" t="str">
        <f>TextJoin(tblEnrolledSubjs[[#This Row],[CSubjID]:[EStudID]],"Value")</f>
        <v>"290","137"</v>
      </c>
      <c r="S1120">
        <f>LOOKUP(LOOKUP(tblEnrolledSubjs[[#This Row],[CSubjID]], tblClassSubjs[CSubjID],tblClassSubjs[ClassID]),tblClasses[ClassID],tblClasses[STermID])</f>
        <v>5</v>
      </c>
      <c r="T1120" t="str">
        <f>LOOKUP(S1120,tblSchoolTerms[STermID],tblSchoolTerms[SemesterID]&amp;" Semester "&amp;tblSchoolTerms[SchoolYear])</f>
        <v>2 Semester S.Y. 2016-2017</v>
      </c>
      <c r="W11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20" t="e">
        <f t="array" ref="Y1120">INDEX(tblEnrolledStuds[EStudID],MATCH(tblEnrolledSubjs[[#This Row],[EStudID]]&amp;S1120,tblEnrolledStuds[AdmissionStatusID]&amp;tblEnrolledStuds[StudID],0))</f>
        <v>#N/A</v>
      </c>
    </row>
    <row r="1121" spans="2:25" x14ac:dyDescent="0.25">
      <c r="B1121">
        <v>1119</v>
      </c>
      <c r="C1121">
        <v>290</v>
      </c>
      <c r="D1121" s="22">
        <v>138</v>
      </c>
      <c r="P1121" t="str">
        <f t="shared" si="21"/>
        <v>(NULL,"290","138"),</v>
      </c>
      <c r="Q1121" t="str">
        <f>TextJoin(tblEnrolledSubjs[[#This Row],[CSubjID]:[EStudID]],"Value")</f>
        <v>"290","138"</v>
      </c>
      <c r="S1121">
        <f>LOOKUP(LOOKUP(tblEnrolledSubjs[[#This Row],[CSubjID]], tblClassSubjs[CSubjID],tblClassSubjs[ClassID]),tblClasses[ClassID],tblClasses[STermID])</f>
        <v>5</v>
      </c>
      <c r="T1121" t="str">
        <f>LOOKUP(S1121,tblSchoolTerms[STermID],tblSchoolTerms[SemesterID]&amp;" Semester "&amp;tblSchoolTerms[SchoolYear])</f>
        <v>2 Semester S.Y. 2016-2017</v>
      </c>
      <c r="W11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21" t="e">
        <f t="array" ref="Y1121">INDEX(tblEnrolledStuds[EStudID],MATCH(tblEnrolledSubjs[[#This Row],[EStudID]]&amp;S1121,tblEnrolledStuds[AdmissionStatusID]&amp;tblEnrolledStuds[StudID],0))</f>
        <v>#N/A</v>
      </c>
    </row>
    <row r="1122" spans="2:25" x14ac:dyDescent="0.25">
      <c r="B1122">
        <v>1120</v>
      </c>
      <c r="C1122">
        <v>290</v>
      </c>
      <c r="D1122" s="22">
        <v>139</v>
      </c>
      <c r="I1122">
        <v>5</v>
      </c>
      <c r="P1122" t="str">
        <f t="shared" si="21"/>
        <v>(NULL,"290","139"),</v>
      </c>
      <c r="Q1122" t="str">
        <f>TextJoin(tblEnrolledSubjs[[#This Row],[CSubjID]:[EStudID]],"Value")</f>
        <v>"290","139"</v>
      </c>
      <c r="S1122">
        <f>LOOKUP(LOOKUP(tblEnrolledSubjs[[#This Row],[CSubjID]], tblClassSubjs[CSubjID],tblClassSubjs[ClassID]),tblClasses[ClassID],tblClasses[STermID])</f>
        <v>5</v>
      </c>
      <c r="T1122" t="str">
        <f>LOOKUP(S1122,tblSchoolTerms[STermID],tblSchoolTerms[SemesterID]&amp;" Semester "&amp;tblSchoolTerms[SchoolYear])</f>
        <v>2 Semester S.Y. 2016-2017</v>
      </c>
      <c r="W11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22" t="e">
        <f t="array" ref="Y1122">INDEX(tblEnrolledStuds[EStudID],MATCH(tblEnrolledSubjs[[#This Row],[EStudID]]&amp;S1122,tblEnrolledStuds[AdmissionStatusID]&amp;tblEnrolledStuds[StudID],0))</f>
        <v>#N/A</v>
      </c>
    </row>
    <row r="1123" spans="2:25" x14ac:dyDescent="0.25">
      <c r="B1123">
        <v>1121</v>
      </c>
      <c r="C1123">
        <v>316</v>
      </c>
      <c r="D1123">
        <v>140</v>
      </c>
      <c r="F1123" s="28"/>
      <c r="G1123" s="28"/>
      <c r="H1123" s="28"/>
      <c r="I1123" s="28">
        <v>6</v>
      </c>
      <c r="P1123" t="str">
        <f t="shared" si="21"/>
        <v>(NULL,"316","140"),</v>
      </c>
      <c r="Q1123" t="str">
        <f>TextJoin(tblEnrolledSubjs[[#This Row],[CSubjID]:[EStudID]],"Value")</f>
        <v>"316","140"</v>
      </c>
      <c r="S1123">
        <f>LOOKUP(LOOKUP(tblEnrolledSubjs[[#This Row],[CSubjID]], tblClassSubjs[CSubjID],tblClassSubjs[ClassID]),tblClasses[ClassID],tblClasses[STermID])</f>
        <v>6</v>
      </c>
      <c r="T1123" t="str">
        <f>LOOKUP(S1123,tblSchoolTerms[STermID],tblSchoolTerms[SemesterID]&amp;" Semester "&amp;tblSchoolTerms[SchoolYear])</f>
        <v>1 Semester S.Y. 2016-2017</v>
      </c>
      <c r="W11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23" t="e">
        <f t="array" ref="Y1123">INDEX(tblEnrolledStuds[EStudID],MATCH(tblEnrolledSubjs[[#This Row],[EStudID]]&amp;S1123,tblEnrolledStuds[AdmissionStatusID]&amp;tblEnrolledStuds[StudID],0))</f>
        <v>#N/A</v>
      </c>
    </row>
    <row r="1124" spans="2:25" x14ac:dyDescent="0.25">
      <c r="B1124">
        <v>1122</v>
      </c>
      <c r="C1124">
        <v>316</v>
      </c>
      <c r="D1124">
        <v>141</v>
      </c>
      <c r="P1124" t="str">
        <f t="shared" si="21"/>
        <v>(NULL,"316","141"),</v>
      </c>
      <c r="Q1124" t="str">
        <f>TextJoin(tblEnrolledSubjs[[#This Row],[CSubjID]:[EStudID]],"Value")</f>
        <v>"316","141"</v>
      </c>
      <c r="S1124">
        <f>LOOKUP(LOOKUP(tblEnrolledSubjs[[#This Row],[CSubjID]], tblClassSubjs[CSubjID],tblClassSubjs[ClassID]),tblClasses[ClassID],tblClasses[STermID])</f>
        <v>6</v>
      </c>
      <c r="T1124" t="str">
        <f>LOOKUP(S1124,tblSchoolTerms[STermID],tblSchoolTerms[SemesterID]&amp;" Semester "&amp;tblSchoolTerms[SchoolYear])</f>
        <v>1 Semester S.Y. 2016-2017</v>
      </c>
      <c r="W11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24" t="e">
        <f t="array" ref="Y1124">INDEX(tblEnrolledStuds[EStudID],MATCH(tblEnrolledSubjs[[#This Row],[EStudID]]&amp;S1124,tblEnrolledStuds[AdmissionStatusID]&amp;tblEnrolledStuds[StudID],0))</f>
        <v>#N/A</v>
      </c>
    </row>
    <row r="1125" spans="2:25" x14ac:dyDescent="0.25">
      <c r="B1125">
        <v>1123</v>
      </c>
      <c r="C1125">
        <v>316</v>
      </c>
      <c r="D1125">
        <v>142</v>
      </c>
      <c r="P1125" t="str">
        <f t="shared" si="21"/>
        <v>(NULL,"316","142"),</v>
      </c>
      <c r="Q1125" t="str">
        <f>TextJoin(tblEnrolledSubjs[[#This Row],[CSubjID]:[EStudID]],"Value")</f>
        <v>"316","142"</v>
      </c>
      <c r="S1125">
        <f>LOOKUP(LOOKUP(tblEnrolledSubjs[[#This Row],[CSubjID]], tblClassSubjs[CSubjID],tblClassSubjs[ClassID]),tblClasses[ClassID],tblClasses[STermID])</f>
        <v>6</v>
      </c>
      <c r="T1125" t="str">
        <f>LOOKUP(S1125,tblSchoolTerms[STermID],tblSchoolTerms[SemesterID]&amp;" Semester "&amp;tblSchoolTerms[SchoolYear])</f>
        <v>1 Semester S.Y. 2016-2017</v>
      </c>
      <c r="W11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25" t="e">
        <f t="array" ref="Y1125">INDEX(tblEnrolledStuds[EStudID],MATCH(tblEnrolledSubjs[[#This Row],[EStudID]]&amp;S1125,tblEnrolledStuds[AdmissionStatusID]&amp;tblEnrolledStuds[StudID],0))</f>
        <v>#N/A</v>
      </c>
    </row>
    <row r="1126" spans="2:25" x14ac:dyDescent="0.25">
      <c r="B1126">
        <v>1124</v>
      </c>
      <c r="C1126">
        <v>316</v>
      </c>
      <c r="D1126">
        <v>144</v>
      </c>
      <c r="P1126" t="str">
        <f t="shared" si="21"/>
        <v>(NULL,"316","144"),</v>
      </c>
      <c r="Q1126" t="str">
        <f>TextJoin(tblEnrolledSubjs[[#This Row],[CSubjID]:[EStudID]],"Value")</f>
        <v>"316","144"</v>
      </c>
      <c r="S1126">
        <f>LOOKUP(LOOKUP(tblEnrolledSubjs[[#This Row],[CSubjID]], tblClassSubjs[CSubjID],tblClassSubjs[ClassID]),tblClasses[ClassID],tblClasses[STermID])</f>
        <v>6</v>
      </c>
      <c r="T1126" t="str">
        <f>LOOKUP(S1126,tblSchoolTerms[STermID],tblSchoolTerms[SemesterID]&amp;" Semester "&amp;tblSchoolTerms[SchoolYear])</f>
        <v>1 Semester S.Y. 2016-2017</v>
      </c>
      <c r="W11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26" t="e">
        <f t="array" ref="Y1126">INDEX(tblEnrolledStuds[EStudID],MATCH(tblEnrolledSubjs[[#This Row],[EStudID]]&amp;S1126,tblEnrolledStuds[AdmissionStatusID]&amp;tblEnrolledStuds[StudID],0))</f>
        <v>#N/A</v>
      </c>
    </row>
    <row r="1127" spans="2:25" x14ac:dyDescent="0.25">
      <c r="B1127">
        <v>1125</v>
      </c>
      <c r="C1127">
        <v>316</v>
      </c>
      <c r="D1127">
        <v>145</v>
      </c>
      <c r="P1127" t="str">
        <f t="shared" si="21"/>
        <v>(NULL,"316","145"),</v>
      </c>
      <c r="Q1127" t="str">
        <f>TextJoin(tblEnrolledSubjs[[#This Row],[CSubjID]:[EStudID]],"Value")</f>
        <v>"316","145"</v>
      </c>
      <c r="S1127">
        <f>LOOKUP(LOOKUP(tblEnrolledSubjs[[#This Row],[CSubjID]], tblClassSubjs[CSubjID],tblClassSubjs[ClassID]),tblClasses[ClassID],tblClasses[STermID])</f>
        <v>6</v>
      </c>
      <c r="T1127" t="str">
        <f>LOOKUP(S1127,tblSchoolTerms[STermID],tblSchoolTerms[SemesterID]&amp;" Semester "&amp;tblSchoolTerms[SchoolYear])</f>
        <v>1 Semester S.Y. 2016-2017</v>
      </c>
      <c r="W11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27" t="e">
        <f t="array" ref="Y1127">INDEX(tblEnrolledStuds[EStudID],MATCH(tblEnrolledSubjs[[#This Row],[EStudID]]&amp;S1127,tblEnrolledStuds[AdmissionStatusID]&amp;tblEnrolledStuds[StudID],0))</f>
        <v>#N/A</v>
      </c>
    </row>
    <row r="1128" spans="2:25" x14ac:dyDescent="0.25">
      <c r="B1128">
        <v>1126</v>
      </c>
      <c r="C1128">
        <v>316</v>
      </c>
      <c r="D1128">
        <v>147</v>
      </c>
      <c r="P1128" t="str">
        <f t="shared" si="21"/>
        <v>(NULL,"316","147"),</v>
      </c>
      <c r="Q1128" t="str">
        <f>TextJoin(tblEnrolledSubjs[[#This Row],[CSubjID]:[EStudID]],"Value")</f>
        <v>"316","147"</v>
      </c>
      <c r="S1128">
        <f>LOOKUP(LOOKUP(tblEnrolledSubjs[[#This Row],[CSubjID]], tblClassSubjs[CSubjID],tblClassSubjs[ClassID]),tblClasses[ClassID],tblClasses[STermID])</f>
        <v>6</v>
      </c>
      <c r="T1128" t="str">
        <f>LOOKUP(S1128,tblSchoolTerms[STermID],tblSchoolTerms[SemesterID]&amp;" Semester "&amp;tblSchoolTerms[SchoolYear])</f>
        <v>1 Semester S.Y. 2016-2017</v>
      </c>
      <c r="W11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28" t="e">
        <f t="array" ref="Y1128">INDEX(tblEnrolledStuds[EStudID],MATCH(tblEnrolledSubjs[[#This Row],[EStudID]]&amp;S1128,tblEnrolledStuds[AdmissionStatusID]&amp;tblEnrolledStuds[StudID],0))</f>
        <v>#N/A</v>
      </c>
    </row>
    <row r="1129" spans="2:25" x14ac:dyDescent="0.25">
      <c r="B1129">
        <v>1127</v>
      </c>
      <c r="C1129">
        <v>316</v>
      </c>
      <c r="D1129">
        <v>148</v>
      </c>
      <c r="P1129" t="str">
        <f t="shared" si="21"/>
        <v>(NULL,"316","148"),</v>
      </c>
      <c r="Q1129" t="str">
        <f>TextJoin(tblEnrolledSubjs[[#This Row],[CSubjID]:[EStudID]],"Value")</f>
        <v>"316","148"</v>
      </c>
      <c r="S1129">
        <f>LOOKUP(LOOKUP(tblEnrolledSubjs[[#This Row],[CSubjID]], tblClassSubjs[CSubjID],tblClassSubjs[ClassID]),tblClasses[ClassID],tblClasses[STermID])</f>
        <v>6</v>
      </c>
      <c r="T1129" t="str">
        <f>LOOKUP(S1129,tblSchoolTerms[STermID],tblSchoolTerms[SemesterID]&amp;" Semester "&amp;tblSchoolTerms[SchoolYear])</f>
        <v>1 Semester S.Y. 2016-2017</v>
      </c>
      <c r="W11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29" t="e">
        <f t="array" ref="Y1129">INDEX(tblEnrolledStuds[EStudID],MATCH(tblEnrolledSubjs[[#This Row],[EStudID]]&amp;S1129,tblEnrolledStuds[AdmissionStatusID]&amp;tblEnrolledStuds[StudID],0))</f>
        <v>#N/A</v>
      </c>
    </row>
    <row r="1130" spans="2:25" x14ac:dyDescent="0.25">
      <c r="B1130">
        <v>1128</v>
      </c>
      <c r="C1130">
        <v>316</v>
      </c>
      <c r="D1130">
        <v>150</v>
      </c>
      <c r="P1130" t="str">
        <f t="shared" si="21"/>
        <v>(NULL,"316","150"),</v>
      </c>
      <c r="Q1130" t="str">
        <f>TextJoin(tblEnrolledSubjs[[#This Row],[CSubjID]:[EStudID]],"Value")</f>
        <v>"316","150"</v>
      </c>
      <c r="S1130">
        <f>LOOKUP(LOOKUP(tblEnrolledSubjs[[#This Row],[CSubjID]], tblClassSubjs[CSubjID],tblClassSubjs[ClassID]),tblClasses[ClassID],tblClasses[STermID])</f>
        <v>6</v>
      </c>
      <c r="T1130" t="str">
        <f>LOOKUP(S1130,tblSchoolTerms[STermID],tblSchoolTerms[SemesterID]&amp;" Semester "&amp;tblSchoolTerms[SchoolYear])</f>
        <v>1 Semester S.Y. 2016-2017</v>
      </c>
      <c r="W11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0" t="e">
        <f t="array" ref="Y1130">INDEX(tblEnrolledStuds[EStudID],MATCH(tblEnrolledSubjs[[#This Row],[EStudID]]&amp;S1130,tblEnrolledStuds[AdmissionStatusID]&amp;tblEnrolledStuds[StudID],0))</f>
        <v>#N/A</v>
      </c>
    </row>
    <row r="1131" spans="2:25" x14ac:dyDescent="0.25">
      <c r="B1131">
        <v>1129</v>
      </c>
      <c r="C1131">
        <v>316</v>
      </c>
      <c r="D1131">
        <v>152</v>
      </c>
      <c r="P1131" t="str">
        <f t="shared" si="21"/>
        <v>(NULL,"316","152"),</v>
      </c>
      <c r="Q1131" t="str">
        <f>TextJoin(tblEnrolledSubjs[[#This Row],[CSubjID]:[EStudID]],"Value")</f>
        <v>"316","152"</v>
      </c>
      <c r="S1131">
        <f>LOOKUP(LOOKUP(tblEnrolledSubjs[[#This Row],[CSubjID]], tblClassSubjs[CSubjID],tblClassSubjs[ClassID]),tblClasses[ClassID],tblClasses[STermID])</f>
        <v>6</v>
      </c>
      <c r="T1131" t="str">
        <f>LOOKUP(S1131,tblSchoolTerms[STermID],tblSchoolTerms[SemesterID]&amp;" Semester "&amp;tblSchoolTerms[SchoolYear])</f>
        <v>1 Semester S.Y. 2016-2017</v>
      </c>
      <c r="W11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1" t="e">
        <f t="array" ref="Y1131">INDEX(tblEnrolledStuds[EStudID],MATCH(tblEnrolledSubjs[[#This Row],[EStudID]]&amp;S1131,tblEnrolledStuds[AdmissionStatusID]&amp;tblEnrolledStuds[StudID],0))</f>
        <v>#N/A</v>
      </c>
    </row>
    <row r="1132" spans="2:25" x14ac:dyDescent="0.25">
      <c r="B1132">
        <v>1130</v>
      </c>
      <c r="C1132">
        <v>316</v>
      </c>
      <c r="D1132">
        <v>153</v>
      </c>
      <c r="P1132" t="str">
        <f t="shared" si="21"/>
        <v>(NULL,"316","153"),</v>
      </c>
      <c r="Q1132" t="str">
        <f>TextJoin(tblEnrolledSubjs[[#This Row],[CSubjID]:[EStudID]],"Value")</f>
        <v>"316","153"</v>
      </c>
      <c r="S1132">
        <f>LOOKUP(LOOKUP(tblEnrolledSubjs[[#This Row],[CSubjID]], tblClassSubjs[CSubjID],tblClassSubjs[ClassID]),tblClasses[ClassID],tblClasses[STermID])</f>
        <v>6</v>
      </c>
      <c r="T1132" t="str">
        <f>LOOKUP(S1132,tblSchoolTerms[STermID],tblSchoolTerms[SemesterID]&amp;" Semester "&amp;tblSchoolTerms[SchoolYear])</f>
        <v>1 Semester S.Y. 2016-2017</v>
      </c>
      <c r="W11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2" t="e">
        <f t="array" ref="Y1132">INDEX(tblEnrolledStuds[EStudID],MATCH(tblEnrolledSubjs[[#This Row],[EStudID]]&amp;S1132,tblEnrolledStuds[AdmissionStatusID]&amp;tblEnrolledStuds[StudID],0))</f>
        <v>#N/A</v>
      </c>
    </row>
    <row r="1133" spans="2:25" x14ac:dyDescent="0.25">
      <c r="B1133">
        <v>1131</v>
      </c>
      <c r="C1133">
        <v>316</v>
      </c>
      <c r="D1133">
        <v>146</v>
      </c>
      <c r="P1133" t="str">
        <f t="shared" si="21"/>
        <v>(NULL,"316","146"),</v>
      </c>
      <c r="Q1133" t="str">
        <f>TextJoin(tblEnrolledSubjs[[#This Row],[CSubjID]:[EStudID]],"Value")</f>
        <v>"316","146"</v>
      </c>
      <c r="S1133">
        <f>LOOKUP(LOOKUP(tblEnrolledSubjs[[#This Row],[CSubjID]], tblClassSubjs[CSubjID],tblClassSubjs[ClassID]),tblClasses[ClassID],tblClasses[STermID])</f>
        <v>6</v>
      </c>
      <c r="T1133" t="str">
        <f>LOOKUP(S1133,tblSchoolTerms[STermID],tblSchoolTerms[SemesterID]&amp;" Semester "&amp;tblSchoolTerms[SchoolYear])</f>
        <v>1 Semester S.Y. 2016-2017</v>
      </c>
      <c r="W11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3" t="e">
        <f t="array" ref="Y1133">INDEX(tblEnrolledStuds[EStudID],MATCH(tblEnrolledSubjs[[#This Row],[EStudID]]&amp;S1133,tblEnrolledStuds[AdmissionStatusID]&amp;tblEnrolledStuds[StudID],0))</f>
        <v>#N/A</v>
      </c>
    </row>
    <row r="1134" spans="2:25" x14ac:dyDescent="0.25">
      <c r="B1134">
        <v>1132</v>
      </c>
      <c r="C1134">
        <v>317</v>
      </c>
      <c r="D1134">
        <v>140</v>
      </c>
      <c r="P1134" t="str">
        <f t="shared" si="21"/>
        <v>(NULL,"317","140"),</v>
      </c>
      <c r="Q1134" t="str">
        <f>TextJoin(tblEnrolledSubjs[[#This Row],[CSubjID]:[EStudID]],"Value")</f>
        <v>"317","140"</v>
      </c>
      <c r="S1134">
        <f>LOOKUP(LOOKUP(tblEnrolledSubjs[[#This Row],[CSubjID]], tblClassSubjs[CSubjID],tblClassSubjs[ClassID]),tblClasses[ClassID],tblClasses[STermID])</f>
        <v>6</v>
      </c>
      <c r="T1134" t="str">
        <f>LOOKUP(S1134,tblSchoolTerms[STermID],tblSchoolTerms[SemesterID]&amp;" Semester "&amp;tblSchoolTerms[SchoolYear])</f>
        <v>1 Semester S.Y. 2016-2017</v>
      </c>
      <c r="W11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34" t="e">
        <f t="array" ref="Y1134">INDEX(tblEnrolledStuds[EStudID],MATCH(tblEnrolledSubjs[[#This Row],[EStudID]]&amp;S1134,tblEnrolledStuds[AdmissionStatusID]&amp;tblEnrolledStuds[StudID],0))</f>
        <v>#N/A</v>
      </c>
    </row>
    <row r="1135" spans="2:25" x14ac:dyDescent="0.25">
      <c r="B1135">
        <v>1133</v>
      </c>
      <c r="C1135">
        <v>317</v>
      </c>
      <c r="D1135">
        <v>141</v>
      </c>
      <c r="P1135" t="str">
        <f t="shared" si="21"/>
        <v>(NULL,"317","141"),</v>
      </c>
      <c r="Q1135" t="str">
        <f>TextJoin(tblEnrolledSubjs[[#This Row],[CSubjID]:[EStudID]],"Value")</f>
        <v>"317","141"</v>
      </c>
      <c r="S1135">
        <f>LOOKUP(LOOKUP(tblEnrolledSubjs[[#This Row],[CSubjID]], tblClassSubjs[CSubjID],tblClassSubjs[ClassID]),tblClasses[ClassID],tblClasses[STermID])</f>
        <v>6</v>
      </c>
      <c r="T1135" t="str">
        <f>LOOKUP(S1135,tblSchoolTerms[STermID],tblSchoolTerms[SemesterID]&amp;" Semester "&amp;tblSchoolTerms[SchoolYear])</f>
        <v>1 Semester S.Y. 2016-2017</v>
      </c>
      <c r="W11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5" t="e">
        <f t="array" ref="Y1135">INDEX(tblEnrolledStuds[EStudID],MATCH(tblEnrolledSubjs[[#This Row],[EStudID]]&amp;S1135,tblEnrolledStuds[AdmissionStatusID]&amp;tblEnrolledStuds[StudID],0))</f>
        <v>#N/A</v>
      </c>
    </row>
    <row r="1136" spans="2:25" x14ac:dyDescent="0.25">
      <c r="B1136">
        <v>1134</v>
      </c>
      <c r="C1136">
        <v>317</v>
      </c>
      <c r="D1136">
        <v>142</v>
      </c>
      <c r="P1136" t="str">
        <f t="shared" si="21"/>
        <v>(NULL,"317","142"),</v>
      </c>
      <c r="Q1136" t="str">
        <f>TextJoin(tblEnrolledSubjs[[#This Row],[CSubjID]:[EStudID]],"Value")</f>
        <v>"317","142"</v>
      </c>
      <c r="S1136">
        <f>LOOKUP(LOOKUP(tblEnrolledSubjs[[#This Row],[CSubjID]], tblClassSubjs[CSubjID],tblClassSubjs[ClassID]),tblClasses[ClassID],tblClasses[STermID])</f>
        <v>6</v>
      </c>
      <c r="T1136" t="str">
        <f>LOOKUP(S1136,tblSchoolTerms[STermID],tblSchoolTerms[SemesterID]&amp;" Semester "&amp;tblSchoolTerms[SchoolYear])</f>
        <v>1 Semester S.Y. 2016-2017</v>
      </c>
      <c r="W11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6" t="e">
        <f t="array" ref="Y1136">INDEX(tblEnrolledStuds[EStudID],MATCH(tblEnrolledSubjs[[#This Row],[EStudID]]&amp;S1136,tblEnrolledStuds[AdmissionStatusID]&amp;tblEnrolledStuds[StudID],0))</f>
        <v>#N/A</v>
      </c>
    </row>
    <row r="1137" spans="2:25" x14ac:dyDescent="0.25">
      <c r="B1137">
        <v>1135</v>
      </c>
      <c r="C1137">
        <v>317</v>
      </c>
      <c r="D1137">
        <v>144</v>
      </c>
      <c r="P1137" t="str">
        <f t="shared" si="21"/>
        <v>(NULL,"317","144"),</v>
      </c>
      <c r="Q1137" t="str">
        <f>TextJoin(tblEnrolledSubjs[[#This Row],[CSubjID]:[EStudID]],"Value")</f>
        <v>"317","144"</v>
      </c>
      <c r="S1137">
        <f>LOOKUP(LOOKUP(tblEnrolledSubjs[[#This Row],[CSubjID]], tblClassSubjs[CSubjID],tblClassSubjs[ClassID]),tblClasses[ClassID],tblClasses[STermID])</f>
        <v>6</v>
      </c>
      <c r="T1137" t="str">
        <f>LOOKUP(S1137,tblSchoolTerms[STermID],tblSchoolTerms[SemesterID]&amp;" Semester "&amp;tblSchoolTerms[SchoolYear])</f>
        <v>1 Semester S.Y. 2016-2017</v>
      </c>
      <c r="W11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7" t="e">
        <f t="array" ref="Y1137">INDEX(tblEnrolledStuds[EStudID],MATCH(tblEnrolledSubjs[[#This Row],[EStudID]]&amp;S1137,tblEnrolledStuds[AdmissionStatusID]&amp;tblEnrolledStuds[StudID],0))</f>
        <v>#N/A</v>
      </c>
    </row>
    <row r="1138" spans="2:25" x14ac:dyDescent="0.25">
      <c r="B1138">
        <v>1136</v>
      </c>
      <c r="C1138">
        <v>317</v>
      </c>
      <c r="D1138">
        <v>145</v>
      </c>
      <c r="P1138" t="str">
        <f t="shared" si="21"/>
        <v>(NULL,"317","145"),</v>
      </c>
      <c r="Q1138" t="str">
        <f>TextJoin(tblEnrolledSubjs[[#This Row],[CSubjID]:[EStudID]],"Value")</f>
        <v>"317","145"</v>
      </c>
      <c r="S1138">
        <f>LOOKUP(LOOKUP(tblEnrolledSubjs[[#This Row],[CSubjID]], tblClassSubjs[CSubjID],tblClassSubjs[ClassID]),tblClasses[ClassID],tblClasses[STermID])</f>
        <v>6</v>
      </c>
      <c r="T1138" t="str">
        <f>LOOKUP(S1138,tblSchoolTerms[STermID],tblSchoolTerms[SemesterID]&amp;" Semester "&amp;tblSchoolTerms[SchoolYear])</f>
        <v>1 Semester S.Y. 2016-2017</v>
      </c>
      <c r="W11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38" t="e">
        <f t="array" ref="Y1138">INDEX(tblEnrolledStuds[EStudID],MATCH(tblEnrolledSubjs[[#This Row],[EStudID]]&amp;S1138,tblEnrolledStuds[AdmissionStatusID]&amp;tblEnrolledStuds[StudID],0))</f>
        <v>#N/A</v>
      </c>
    </row>
    <row r="1139" spans="2:25" x14ac:dyDescent="0.25">
      <c r="B1139">
        <v>1137</v>
      </c>
      <c r="C1139">
        <v>317</v>
      </c>
      <c r="D1139">
        <v>147</v>
      </c>
      <c r="P1139" t="str">
        <f t="shared" si="21"/>
        <v>(NULL,"317","147"),</v>
      </c>
      <c r="Q1139" t="str">
        <f>TextJoin(tblEnrolledSubjs[[#This Row],[CSubjID]:[EStudID]],"Value")</f>
        <v>"317","147"</v>
      </c>
      <c r="S1139">
        <f>LOOKUP(LOOKUP(tblEnrolledSubjs[[#This Row],[CSubjID]], tblClassSubjs[CSubjID],tblClassSubjs[ClassID]),tblClasses[ClassID],tblClasses[STermID])</f>
        <v>6</v>
      </c>
      <c r="T1139" t="str">
        <f>LOOKUP(S1139,tblSchoolTerms[STermID],tblSchoolTerms[SemesterID]&amp;" Semester "&amp;tblSchoolTerms[SchoolYear])</f>
        <v>1 Semester S.Y. 2016-2017</v>
      </c>
      <c r="W11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39" t="e">
        <f t="array" ref="Y1139">INDEX(tblEnrolledStuds[EStudID],MATCH(tblEnrolledSubjs[[#This Row],[EStudID]]&amp;S1139,tblEnrolledStuds[AdmissionStatusID]&amp;tblEnrolledStuds[StudID],0))</f>
        <v>#N/A</v>
      </c>
    </row>
    <row r="1140" spans="2:25" x14ac:dyDescent="0.25">
      <c r="B1140">
        <v>1138</v>
      </c>
      <c r="C1140">
        <v>317</v>
      </c>
      <c r="D1140">
        <v>148</v>
      </c>
      <c r="P1140" t="str">
        <f t="shared" si="21"/>
        <v>(NULL,"317","148"),</v>
      </c>
      <c r="Q1140" t="str">
        <f>TextJoin(tblEnrolledSubjs[[#This Row],[CSubjID]:[EStudID]],"Value")</f>
        <v>"317","148"</v>
      </c>
      <c r="S1140">
        <f>LOOKUP(LOOKUP(tblEnrolledSubjs[[#This Row],[CSubjID]], tblClassSubjs[CSubjID],tblClassSubjs[ClassID]),tblClasses[ClassID],tblClasses[STermID])</f>
        <v>6</v>
      </c>
      <c r="T1140" t="str">
        <f>LOOKUP(S1140,tblSchoolTerms[STermID],tblSchoolTerms[SemesterID]&amp;" Semester "&amp;tblSchoolTerms[SchoolYear])</f>
        <v>1 Semester S.Y. 2016-2017</v>
      </c>
      <c r="W11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40" t="e">
        <f t="array" ref="Y1140">INDEX(tblEnrolledStuds[EStudID],MATCH(tblEnrolledSubjs[[#This Row],[EStudID]]&amp;S1140,tblEnrolledStuds[AdmissionStatusID]&amp;tblEnrolledStuds[StudID],0))</f>
        <v>#N/A</v>
      </c>
    </row>
    <row r="1141" spans="2:25" x14ac:dyDescent="0.25">
      <c r="B1141">
        <v>1139</v>
      </c>
      <c r="C1141">
        <v>317</v>
      </c>
      <c r="D1141">
        <v>150</v>
      </c>
      <c r="P1141" t="str">
        <f t="shared" si="21"/>
        <v>(NULL,"317","150"),</v>
      </c>
      <c r="Q1141" t="str">
        <f>TextJoin(tblEnrolledSubjs[[#This Row],[CSubjID]:[EStudID]],"Value")</f>
        <v>"317","150"</v>
      </c>
      <c r="S1141">
        <f>LOOKUP(LOOKUP(tblEnrolledSubjs[[#This Row],[CSubjID]], tblClassSubjs[CSubjID],tblClassSubjs[ClassID]),tblClasses[ClassID],tblClasses[STermID])</f>
        <v>6</v>
      </c>
      <c r="T1141" t="str">
        <f>LOOKUP(S1141,tblSchoolTerms[STermID],tblSchoolTerms[SemesterID]&amp;" Semester "&amp;tblSchoolTerms[SchoolYear])</f>
        <v>1 Semester S.Y. 2016-2017</v>
      </c>
      <c r="W11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1" t="e">
        <f t="array" ref="Y1141">INDEX(tblEnrolledStuds[EStudID],MATCH(tblEnrolledSubjs[[#This Row],[EStudID]]&amp;S1141,tblEnrolledStuds[AdmissionStatusID]&amp;tblEnrolledStuds[StudID],0))</f>
        <v>#N/A</v>
      </c>
    </row>
    <row r="1142" spans="2:25" x14ac:dyDescent="0.25">
      <c r="B1142">
        <v>1140</v>
      </c>
      <c r="C1142">
        <v>317</v>
      </c>
      <c r="D1142">
        <v>152</v>
      </c>
      <c r="P1142" t="str">
        <f t="shared" si="21"/>
        <v>(NULL,"317","152"),</v>
      </c>
      <c r="Q1142" t="str">
        <f>TextJoin(tblEnrolledSubjs[[#This Row],[CSubjID]:[EStudID]],"Value")</f>
        <v>"317","152"</v>
      </c>
      <c r="S1142">
        <f>LOOKUP(LOOKUP(tblEnrolledSubjs[[#This Row],[CSubjID]], tblClassSubjs[CSubjID],tblClassSubjs[ClassID]),tblClasses[ClassID],tblClasses[STermID])</f>
        <v>6</v>
      </c>
      <c r="T1142" t="str">
        <f>LOOKUP(S1142,tblSchoolTerms[STermID],tblSchoolTerms[SemesterID]&amp;" Semester "&amp;tblSchoolTerms[SchoolYear])</f>
        <v>1 Semester S.Y. 2016-2017</v>
      </c>
      <c r="W11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2" t="e">
        <f t="array" ref="Y1142">INDEX(tblEnrolledStuds[EStudID],MATCH(tblEnrolledSubjs[[#This Row],[EStudID]]&amp;S1142,tblEnrolledStuds[AdmissionStatusID]&amp;tblEnrolledStuds[StudID],0))</f>
        <v>#N/A</v>
      </c>
    </row>
    <row r="1143" spans="2:25" x14ac:dyDescent="0.25">
      <c r="B1143">
        <v>1141</v>
      </c>
      <c r="C1143">
        <v>317</v>
      </c>
      <c r="D1143">
        <v>153</v>
      </c>
      <c r="P1143" t="str">
        <f t="shared" si="21"/>
        <v>(NULL,"317","153"),</v>
      </c>
      <c r="Q1143" t="str">
        <f>TextJoin(tblEnrolledSubjs[[#This Row],[CSubjID]:[EStudID]],"Value")</f>
        <v>"317","153"</v>
      </c>
      <c r="S1143">
        <f>LOOKUP(LOOKUP(tblEnrolledSubjs[[#This Row],[CSubjID]], tblClassSubjs[CSubjID],tblClassSubjs[ClassID]),tblClasses[ClassID],tblClasses[STermID])</f>
        <v>6</v>
      </c>
      <c r="T1143" t="str">
        <f>LOOKUP(S1143,tblSchoolTerms[STermID],tblSchoolTerms[SemesterID]&amp;" Semester "&amp;tblSchoolTerms[SchoolYear])</f>
        <v>1 Semester S.Y. 2016-2017</v>
      </c>
      <c r="W11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3" t="e">
        <f t="array" ref="Y1143">INDEX(tblEnrolledStuds[EStudID],MATCH(tblEnrolledSubjs[[#This Row],[EStudID]]&amp;S1143,tblEnrolledStuds[AdmissionStatusID]&amp;tblEnrolledStuds[StudID],0))</f>
        <v>#N/A</v>
      </c>
    </row>
    <row r="1144" spans="2:25" x14ac:dyDescent="0.25">
      <c r="B1144">
        <v>1142</v>
      </c>
      <c r="C1144">
        <v>317</v>
      </c>
      <c r="D1144">
        <v>146</v>
      </c>
      <c r="P1144" t="str">
        <f t="shared" si="21"/>
        <v>(NULL,"317","146"),</v>
      </c>
      <c r="Q1144" t="str">
        <f>TextJoin(tblEnrolledSubjs[[#This Row],[CSubjID]:[EStudID]],"Value")</f>
        <v>"317","146"</v>
      </c>
      <c r="S1144">
        <f>LOOKUP(LOOKUP(tblEnrolledSubjs[[#This Row],[CSubjID]], tblClassSubjs[CSubjID],tblClassSubjs[ClassID]),tblClasses[ClassID],tblClasses[STermID])</f>
        <v>6</v>
      </c>
      <c r="T1144" t="str">
        <f>LOOKUP(S1144,tblSchoolTerms[STermID],tblSchoolTerms[SemesterID]&amp;" Semester "&amp;tblSchoolTerms[SchoolYear])</f>
        <v>1 Semester S.Y. 2016-2017</v>
      </c>
      <c r="W11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4" t="e">
        <f t="array" ref="Y1144">INDEX(tblEnrolledStuds[EStudID],MATCH(tblEnrolledSubjs[[#This Row],[EStudID]]&amp;S1144,tblEnrolledStuds[AdmissionStatusID]&amp;tblEnrolledStuds[StudID],0))</f>
        <v>#N/A</v>
      </c>
    </row>
    <row r="1145" spans="2:25" x14ac:dyDescent="0.25">
      <c r="B1145">
        <v>1143</v>
      </c>
      <c r="C1145">
        <v>319</v>
      </c>
      <c r="D1145">
        <v>140</v>
      </c>
      <c r="P1145" t="str">
        <f t="shared" si="21"/>
        <v>(NULL,"319","140"),</v>
      </c>
      <c r="Q1145" t="str">
        <f>TextJoin(tblEnrolledSubjs[[#This Row],[CSubjID]:[EStudID]],"Value")</f>
        <v>"319","140"</v>
      </c>
      <c r="S1145">
        <f>LOOKUP(LOOKUP(tblEnrolledSubjs[[#This Row],[CSubjID]], tblClassSubjs[CSubjID],tblClassSubjs[ClassID]),tblClasses[ClassID],tblClasses[STermID])</f>
        <v>6</v>
      </c>
      <c r="T1145" t="str">
        <f>LOOKUP(S1145,tblSchoolTerms[STermID],tblSchoolTerms[SemesterID]&amp;" Semester "&amp;tblSchoolTerms[SchoolYear])</f>
        <v>1 Semester S.Y. 2016-2017</v>
      </c>
      <c r="W11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45" t="e">
        <f t="array" ref="Y1145">INDEX(tblEnrolledStuds[EStudID],MATCH(tblEnrolledSubjs[[#This Row],[EStudID]]&amp;S1145,tblEnrolledStuds[AdmissionStatusID]&amp;tblEnrolledStuds[StudID],0))</f>
        <v>#N/A</v>
      </c>
    </row>
    <row r="1146" spans="2:25" x14ac:dyDescent="0.25">
      <c r="B1146">
        <v>1144</v>
      </c>
      <c r="C1146">
        <v>319</v>
      </c>
      <c r="D1146">
        <v>141</v>
      </c>
      <c r="P1146" t="str">
        <f t="shared" si="21"/>
        <v>(NULL,"319","141"),</v>
      </c>
      <c r="Q1146" t="str">
        <f>TextJoin(tblEnrolledSubjs[[#This Row],[CSubjID]:[EStudID]],"Value")</f>
        <v>"319","141"</v>
      </c>
      <c r="S1146">
        <f>LOOKUP(LOOKUP(tblEnrolledSubjs[[#This Row],[CSubjID]], tblClassSubjs[CSubjID],tblClassSubjs[ClassID]),tblClasses[ClassID],tblClasses[STermID])</f>
        <v>6</v>
      </c>
      <c r="T1146" t="str">
        <f>LOOKUP(S1146,tblSchoolTerms[STermID],tblSchoolTerms[SemesterID]&amp;" Semester "&amp;tblSchoolTerms[SchoolYear])</f>
        <v>1 Semester S.Y. 2016-2017</v>
      </c>
      <c r="W11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6" t="e">
        <f t="array" ref="Y1146">INDEX(tblEnrolledStuds[EStudID],MATCH(tblEnrolledSubjs[[#This Row],[EStudID]]&amp;S1146,tblEnrolledStuds[AdmissionStatusID]&amp;tblEnrolledStuds[StudID],0))</f>
        <v>#N/A</v>
      </c>
    </row>
    <row r="1147" spans="2:25" x14ac:dyDescent="0.25">
      <c r="B1147">
        <v>1145</v>
      </c>
      <c r="C1147">
        <v>319</v>
      </c>
      <c r="D1147">
        <v>142</v>
      </c>
      <c r="P1147" t="str">
        <f t="shared" si="21"/>
        <v>(NULL,"319","142"),</v>
      </c>
      <c r="Q1147" t="str">
        <f>TextJoin(tblEnrolledSubjs[[#This Row],[CSubjID]:[EStudID]],"Value")</f>
        <v>"319","142"</v>
      </c>
      <c r="S1147">
        <f>LOOKUP(LOOKUP(tblEnrolledSubjs[[#This Row],[CSubjID]], tblClassSubjs[CSubjID],tblClassSubjs[ClassID]),tblClasses[ClassID],tblClasses[STermID])</f>
        <v>6</v>
      </c>
      <c r="T1147" t="str">
        <f>LOOKUP(S1147,tblSchoolTerms[STermID],tblSchoolTerms[SemesterID]&amp;" Semester "&amp;tblSchoolTerms[SchoolYear])</f>
        <v>1 Semester S.Y. 2016-2017</v>
      </c>
      <c r="W11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7" t="e">
        <f t="array" ref="Y1147">INDEX(tblEnrolledStuds[EStudID],MATCH(tblEnrolledSubjs[[#This Row],[EStudID]]&amp;S1147,tblEnrolledStuds[AdmissionStatusID]&amp;tblEnrolledStuds[StudID],0))</f>
        <v>#N/A</v>
      </c>
    </row>
    <row r="1148" spans="2:25" x14ac:dyDescent="0.25">
      <c r="B1148">
        <v>1146</v>
      </c>
      <c r="C1148">
        <v>319</v>
      </c>
      <c r="D1148">
        <v>144</v>
      </c>
      <c r="P1148" t="str">
        <f t="shared" si="21"/>
        <v>(NULL,"319","144"),</v>
      </c>
      <c r="Q1148" t="str">
        <f>TextJoin(tblEnrolledSubjs[[#This Row],[CSubjID]:[EStudID]],"Value")</f>
        <v>"319","144"</v>
      </c>
      <c r="S1148">
        <f>LOOKUP(LOOKUP(tblEnrolledSubjs[[#This Row],[CSubjID]], tblClassSubjs[CSubjID],tblClassSubjs[ClassID]),tblClasses[ClassID],tblClasses[STermID])</f>
        <v>6</v>
      </c>
      <c r="T1148" t="str">
        <f>LOOKUP(S1148,tblSchoolTerms[STermID],tblSchoolTerms[SemesterID]&amp;" Semester "&amp;tblSchoolTerms[SchoolYear])</f>
        <v>1 Semester S.Y. 2016-2017</v>
      </c>
      <c r="W11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8" t="e">
        <f t="array" ref="Y1148">INDEX(tblEnrolledStuds[EStudID],MATCH(tblEnrolledSubjs[[#This Row],[EStudID]]&amp;S1148,tblEnrolledStuds[AdmissionStatusID]&amp;tblEnrolledStuds[StudID],0))</f>
        <v>#N/A</v>
      </c>
    </row>
    <row r="1149" spans="2:25" x14ac:dyDescent="0.25">
      <c r="B1149">
        <v>1147</v>
      </c>
      <c r="C1149">
        <v>319</v>
      </c>
      <c r="D1149">
        <v>145</v>
      </c>
      <c r="P1149" t="str">
        <f t="shared" si="21"/>
        <v>(NULL,"319","145"),</v>
      </c>
      <c r="Q1149" t="str">
        <f>TextJoin(tblEnrolledSubjs[[#This Row],[CSubjID]:[EStudID]],"Value")</f>
        <v>"319","145"</v>
      </c>
      <c r="S1149">
        <f>LOOKUP(LOOKUP(tblEnrolledSubjs[[#This Row],[CSubjID]], tblClassSubjs[CSubjID],tblClassSubjs[ClassID]),tblClasses[ClassID],tblClasses[STermID])</f>
        <v>6</v>
      </c>
      <c r="T1149" t="str">
        <f>LOOKUP(S1149,tblSchoolTerms[STermID],tblSchoolTerms[SemesterID]&amp;" Semester "&amp;tblSchoolTerms[SchoolYear])</f>
        <v>1 Semester S.Y. 2016-2017</v>
      </c>
      <c r="W11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49" t="e">
        <f t="array" ref="Y1149">INDEX(tblEnrolledStuds[EStudID],MATCH(tblEnrolledSubjs[[#This Row],[EStudID]]&amp;S1149,tblEnrolledStuds[AdmissionStatusID]&amp;tblEnrolledStuds[StudID],0))</f>
        <v>#N/A</v>
      </c>
    </row>
    <row r="1150" spans="2:25" x14ac:dyDescent="0.25">
      <c r="B1150">
        <v>1148</v>
      </c>
      <c r="C1150">
        <v>319</v>
      </c>
      <c r="D1150">
        <v>147</v>
      </c>
      <c r="P1150" t="str">
        <f t="shared" si="21"/>
        <v>(NULL,"319","147"),</v>
      </c>
      <c r="Q1150" t="str">
        <f>TextJoin(tblEnrolledSubjs[[#This Row],[CSubjID]:[EStudID]],"Value")</f>
        <v>"319","147"</v>
      </c>
      <c r="S1150">
        <f>LOOKUP(LOOKUP(tblEnrolledSubjs[[#This Row],[CSubjID]], tblClassSubjs[CSubjID],tblClassSubjs[ClassID]),tblClasses[ClassID],tblClasses[STermID])</f>
        <v>6</v>
      </c>
      <c r="T1150" t="str">
        <f>LOOKUP(S1150,tblSchoolTerms[STermID],tblSchoolTerms[SemesterID]&amp;" Semester "&amp;tblSchoolTerms[SchoolYear])</f>
        <v>1 Semester S.Y. 2016-2017</v>
      </c>
      <c r="W11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50" t="e">
        <f t="array" ref="Y1150">INDEX(tblEnrolledStuds[EStudID],MATCH(tblEnrolledSubjs[[#This Row],[EStudID]]&amp;S1150,tblEnrolledStuds[AdmissionStatusID]&amp;tblEnrolledStuds[StudID],0))</f>
        <v>#N/A</v>
      </c>
    </row>
    <row r="1151" spans="2:25" x14ac:dyDescent="0.25">
      <c r="B1151">
        <v>1149</v>
      </c>
      <c r="C1151">
        <v>319</v>
      </c>
      <c r="D1151">
        <v>148</v>
      </c>
      <c r="P1151" t="str">
        <f t="shared" si="21"/>
        <v>(NULL,"319","148"),</v>
      </c>
      <c r="Q1151" t="str">
        <f>TextJoin(tblEnrolledSubjs[[#This Row],[CSubjID]:[EStudID]],"Value")</f>
        <v>"319","148"</v>
      </c>
      <c r="S1151">
        <f>LOOKUP(LOOKUP(tblEnrolledSubjs[[#This Row],[CSubjID]], tblClassSubjs[CSubjID],tblClassSubjs[ClassID]),tblClasses[ClassID],tblClasses[STermID])</f>
        <v>6</v>
      </c>
      <c r="T1151" t="str">
        <f>LOOKUP(S1151,tblSchoolTerms[STermID],tblSchoolTerms[SemesterID]&amp;" Semester "&amp;tblSchoolTerms[SchoolYear])</f>
        <v>1 Semester S.Y. 2016-2017</v>
      </c>
      <c r="W11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51" t="e">
        <f t="array" ref="Y1151">INDEX(tblEnrolledStuds[EStudID],MATCH(tblEnrolledSubjs[[#This Row],[EStudID]]&amp;S1151,tblEnrolledStuds[AdmissionStatusID]&amp;tblEnrolledStuds[StudID],0))</f>
        <v>#N/A</v>
      </c>
    </row>
    <row r="1152" spans="2:25" x14ac:dyDescent="0.25">
      <c r="B1152">
        <v>1150</v>
      </c>
      <c r="C1152">
        <v>319</v>
      </c>
      <c r="D1152">
        <v>150</v>
      </c>
      <c r="P1152" t="str">
        <f t="shared" si="21"/>
        <v>(NULL,"319","150"),</v>
      </c>
      <c r="Q1152" t="str">
        <f>TextJoin(tblEnrolledSubjs[[#This Row],[CSubjID]:[EStudID]],"Value")</f>
        <v>"319","150"</v>
      </c>
      <c r="S1152">
        <f>LOOKUP(LOOKUP(tblEnrolledSubjs[[#This Row],[CSubjID]], tblClassSubjs[CSubjID],tblClassSubjs[ClassID]),tblClasses[ClassID],tblClasses[STermID])</f>
        <v>6</v>
      </c>
      <c r="T1152" t="str">
        <f>LOOKUP(S1152,tblSchoolTerms[STermID],tblSchoolTerms[SemesterID]&amp;" Semester "&amp;tblSchoolTerms[SchoolYear])</f>
        <v>1 Semester S.Y. 2016-2017</v>
      </c>
      <c r="W11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2" t="e">
        <f t="array" ref="Y1152">INDEX(tblEnrolledStuds[EStudID],MATCH(tblEnrolledSubjs[[#This Row],[EStudID]]&amp;S1152,tblEnrolledStuds[AdmissionStatusID]&amp;tblEnrolledStuds[StudID],0))</f>
        <v>#N/A</v>
      </c>
    </row>
    <row r="1153" spans="2:25" x14ac:dyDescent="0.25">
      <c r="B1153">
        <v>1151</v>
      </c>
      <c r="C1153">
        <v>319</v>
      </c>
      <c r="D1153">
        <v>152</v>
      </c>
      <c r="P1153" t="str">
        <f t="shared" si="21"/>
        <v>(NULL,"319","152"),</v>
      </c>
      <c r="Q1153" t="str">
        <f>TextJoin(tblEnrolledSubjs[[#This Row],[CSubjID]:[EStudID]],"Value")</f>
        <v>"319","152"</v>
      </c>
      <c r="S1153">
        <f>LOOKUP(LOOKUP(tblEnrolledSubjs[[#This Row],[CSubjID]], tblClassSubjs[CSubjID],tblClassSubjs[ClassID]),tblClasses[ClassID],tblClasses[STermID])</f>
        <v>6</v>
      </c>
      <c r="T1153" t="str">
        <f>LOOKUP(S1153,tblSchoolTerms[STermID],tblSchoolTerms[SemesterID]&amp;" Semester "&amp;tblSchoolTerms[SchoolYear])</f>
        <v>1 Semester S.Y. 2016-2017</v>
      </c>
      <c r="W11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3" t="e">
        <f t="array" ref="Y1153">INDEX(tblEnrolledStuds[EStudID],MATCH(tblEnrolledSubjs[[#This Row],[EStudID]]&amp;S1153,tblEnrolledStuds[AdmissionStatusID]&amp;tblEnrolledStuds[StudID],0))</f>
        <v>#N/A</v>
      </c>
    </row>
    <row r="1154" spans="2:25" x14ac:dyDescent="0.25">
      <c r="B1154">
        <v>1152</v>
      </c>
      <c r="C1154">
        <v>319</v>
      </c>
      <c r="D1154">
        <v>153</v>
      </c>
      <c r="P1154" t="str">
        <f t="shared" si="21"/>
        <v>(NULL,"319","153"),</v>
      </c>
      <c r="Q1154" t="str">
        <f>TextJoin(tblEnrolledSubjs[[#This Row],[CSubjID]:[EStudID]],"Value")</f>
        <v>"319","153"</v>
      </c>
      <c r="S1154">
        <f>LOOKUP(LOOKUP(tblEnrolledSubjs[[#This Row],[CSubjID]], tblClassSubjs[CSubjID],tblClassSubjs[ClassID]),tblClasses[ClassID],tblClasses[STermID])</f>
        <v>6</v>
      </c>
      <c r="T1154" t="str">
        <f>LOOKUP(S1154,tblSchoolTerms[STermID],tblSchoolTerms[SemesterID]&amp;" Semester "&amp;tblSchoolTerms[SchoolYear])</f>
        <v>1 Semester S.Y. 2016-2017</v>
      </c>
      <c r="W11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4" t="e">
        <f t="array" ref="Y1154">INDEX(tblEnrolledStuds[EStudID],MATCH(tblEnrolledSubjs[[#This Row],[EStudID]]&amp;S1154,tblEnrolledStuds[AdmissionStatusID]&amp;tblEnrolledStuds[StudID],0))</f>
        <v>#N/A</v>
      </c>
    </row>
    <row r="1155" spans="2:25" x14ac:dyDescent="0.25">
      <c r="B1155">
        <v>1153</v>
      </c>
      <c r="C1155">
        <v>319</v>
      </c>
      <c r="D1155">
        <v>146</v>
      </c>
      <c r="P1155" t="str">
        <f t="shared" si="21"/>
        <v>(NULL,"319","146"),</v>
      </c>
      <c r="Q1155" t="str">
        <f>TextJoin(tblEnrolledSubjs[[#This Row],[CSubjID]:[EStudID]],"Value")</f>
        <v>"319","146"</v>
      </c>
      <c r="S1155">
        <f>LOOKUP(LOOKUP(tblEnrolledSubjs[[#This Row],[CSubjID]], tblClassSubjs[CSubjID],tblClassSubjs[ClassID]),tblClasses[ClassID],tblClasses[STermID])</f>
        <v>6</v>
      </c>
      <c r="T1155" t="str">
        <f>LOOKUP(S1155,tblSchoolTerms[STermID],tblSchoolTerms[SemesterID]&amp;" Semester "&amp;tblSchoolTerms[SchoolYear])</f>
        <v>1 Semester S.Y. 2016-2017</v>
      </c>
      <c r="W11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5" t="e">
        <f t="array" ref="Y1155">INDEX(tblEnrolledStuds[EStudID],MATCH(tblEnrolledSubjs[[#This Row],[EStudID]]&amp;S1155,tblEnrolledStuds[AdmissionStatusID]&amp;tblEnrolledStuds[StudID],0))</f>
        <v>#N/A</v>
      </c>
    </row>
    <row r="1156" spans="2:25" x14ac:dyDescent="0.25">
      <c r="B1156">
        <v>1154</v>
      </c>
      <c r="C1156">
        <v>322</v>
      </c>
      <c r="D1156">
        <v>140</v>
      </c>
      <c r="P1156" t="str">
        <f t="shared" ref="P1156:P1219" si="22">"(NULL,"&amp;Q1156&amp;")"&amp;IF(P1157&lt;&gt;"",",",";")</f>
        <v>(NULL,"322","140"),</v>
      </c>
      <c r="Q1156" t="str">
        <f>TextJoin(tblEnrolledSubjs[[#This Row],[CSubjID]:[EStudID]],"Value")</f>
        <v>"322","140"</v>
      </c>
      <c r="S1156">
        <f>LOOKUP(LOOKUP(tblEnrolledSubjs[[#This Row],[CSubjID]], tblClassSubjs[CSubjID],tblClassSubjs[ClassID]),tblClasses[ClassID],tblClasses[STermID])</f>
        <v>6</v>
      </c>
      <c r="T1156" t="str">
        <f>LOOKUP(S1156,tblSchoolTerms[STermID],tblSchoolTerms[SemesterID]&amp;" Semester "&amp;tblSchoolTerms[SchoolYear])</f>
        <v>1 Semester S.Y. 2016-2017</v>
      </c>
      <c r="W11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56" t="e">
        <f t="array" ref="Y1156">INDEX(tblEnrolledStuds[EStudID],MATCH(tblEnrolledSubjs[[#This Row],[EStudID]]&amp;S1156,tblEnrolledStuds[AdmissionStatusID]&amp;tblEnrolledStuds[StudID],0))</f>
        <v>#N/A</v>
      </c>
    </row>
    <row r="1157" spans="2:25" x14ac:dyDescent="0.25">
      <c r="B1157">
        <v>1155</v>
      </c>
      <c r="C1157">
        <v>322</v>
      </c>
      <c r="D1157">
        <v>141</v>
      </c>
      <c r="P1157" t="str">
        <f t="shared" si="22"/>
        <v>(NULL,"322","141"),</v>
      </c>
      <c r="Q1157" t="str">
        <f>TextJoin(tblEnrolledSubjs[[#This Row],[CSubjID]:[EStudID]],"Value")</f>
        <v>"322","141"</v>
      </c>
      <c r="S1157">
        <f>LOOKUP(LOOKUP(tblEnrolledSubjs[[#This Row],[CSubjID]], tblClassSubjs[CSubjID],tblClassSubjs[ClassID]),tblClasses[ClassID],tblClasses[STermID])</f>
        <v>6</v>
      </c>
      <c r="T1157" t="str">
        <f>LOOKUP(S1157,tblSchoolTerms[STermID],tblSchoolTerms[SemesterID]&amp;" Semester "&amp;tblSchoolTerms[SchoolYear])</f>
        <v>1 Semester S.Y. 2016-2017</v>
      </c>
      <c r="W11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7" t="e">
        <f t="array" ref="Y1157">INDEX(tblEnrolledStuds[EStudID],MATCH(tblEnrolledSubjs[[#This Row],[EStudID]]&amp;S1157,tblEnrolledStuds[AdmissionStatusID]&amp;tblEnrolledStuds[StudID],0))</f>
        <v>#N/A</v>
      </c>
    </row>
    <row r="1158" spans="2:25" x14ac:dyDescent="0.25">
      <c r="B1158">
        <v>1156</v>
      </c>
      <c r="C1158">
        <v>322</v>
      </c>
      <c r="D1158">
        <v>142</v>
      </c>
      <c r="P1158" t="str">
        <f t="shared" si="22"/>
        <v>(NULL,"322","142"),</v>
      </c>
      <c r="Q1158" t="str">
        <f>TextJoin(tblEnrolledSubjs[[#This Row],[CSubjID]:[EStudID]],"Value")</f>
        <v>"322","142"</v>
      </c>
      <c r="S1158">
        <f>LOOKUP(LOOKUP(tblEnrolledSubjs[[#This Row],[CSubjID]], tblClassSubjs[CSubjID],tblClassSubjs[ClassID]),tblClasses[ClassID],tblClasses[STermID])</f>
        <v>6</v>
      </c>
      <c r="T1158" t="str">
        <f>LOOKUP(S1158,tblSchoolTerms[STermID],tblSchoolTerms[SemesterID]&amp;" Semester "&amp;tblSchoolTerms[SchoolYear])</f>
        <v>1 Semester S.Y. 2016-2017</v>
      </c>
      <c r="W11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8" t="e">
        <f t="array" ref="Y1158">INDEX(tblEnrolledStuds[EStudID],MATCH(tblEnrolledSubjs[[#This Row],[EStudID]]&amp;S1158,tblEnrolledStuds[AdmissionStatusID]&amp;tblEnrolledStuds[StudID],0))</f>
        <v>#N/A</v>
      </c>
    </row>
    <row r="1159" spans="2:25" x14ac:dyDescent="0.25">
      <c r="B1159">
        <v>1157</v>
      </c>
      <c r="C1159">
        <v>322</v>
      </c>
      <c r="D1159">
        <v>144</v>
      </c>
      <c r="P1159" t="str">
        <f t="shared" si="22"/>
        <v>(NULL,"322","144"),</v>
      </c>
      <c r="Q1159" t="str">
        <f>TextJoin(tblEnrolledSubjs[[#This Row],[CSubjID]:[EStudID]],"Value")</f>
        <v>"322","144"</v>
      </c>
      <c r="S1159">
        <f>LOOKUP(LOOKUP(tblEnrolledSubjs[[#This Row],[CSubjID]], tblClassSubjs[CSubjID],tblClassSubjs[ClassID]),tblClasses[ClassID],tblClasses[STermID])</f>
        <v>6</v>
      </c>
      <c r="T1159" t="str">
        <f>LOOKUP(S1159,tblSchoolTerms[STermID],tblSchoolTerms[SemesterID]&amp;" Semester "&amp;tblSchoolTerms[SchoolYear])</f>
        <v>1 Semester S.Y. 2016-2017</v>
      </c>
      <c r="W11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59" t="e">
        <f t="array" ref="Y1159">INDEX(tblEnrolledStuds[EStudID],MATCH(tblEnrolledSubjs[[#This Row],[EStudID]]&amp;S1159,tblEnrolledStuds[AdmissionStatusID]&amp;tblEnrolledStuds[StudID],0))</f>
        <v>#N/A</v>
      </c>
    </row>
    <row r="1160" spans="2:25" x14ac:dyDescent="0.25">
      <c r="B1160">
        <v>1158</v>
      </c>
      <c r="C1160">
        <v>322</v>
      </c>
      <c r="D1160">
        <v>145</v>
      </c>
      <c r="P1160" t="str">
        <f t="shared" si="22"/>
        <v>(NULL,"322","145"),</v>
      </c>
      <c r="Q1160" t="str">
        <f>TextJoin(tblEnrolledSubjs[[#This Row],[CSubjID]:[EStudID]],"Value")</f>
        <v>"322","145"</v>
      </c>
      <c r="S1160">
        <f>LOOKUP(LOOKUP(tblEnrolledSubjs[[#This Row],[CSubjID]], tblClassSubjs[CSubjID],tblClassSubjs[ClassID]),tblClasses[ClassID],tblClasses[STermID])</f>
        <v>6</v>
      </c>
      <c r="T1160" t="str">
        <f>LOOKUP(S1160,tblSchoolTerms[STermID],tblSchoolTerms[SemesterID]&amp;" Semester "&amp;tblSchoolTerms[SchoolYear])</f>
        <v>1 Semester S.Y. 2016-2017</v>
      </c>
      <c r="W11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0" t="e">
        <f t="array" ref="Y1160">INDEX(tblEnrolledStuds[EStudID],MATCH(tblEnrolledSubjs[[#This Row],[EStudID]]&amp;S1160,tblEnrolledStuds[AdmissionStatusID]&amp;tblEnrolledStuds[StudID],0))</f>
        <v>#N/A</v>
      </c>
    </row>
    <row r="1161" spans="2:25" x14ac:dyDescent="0.25">
      <c r="B1161">
        <v>1159</v>
      </c>
      <c r="C1161">
        <v>322</v>
      </c>
      <c r="D1161">
        <v>147</v>
      </c>
      <c r="P1161" t="str">
        <f t="shared" si="22"/>
        <v>(NULL,"322","147"),</v>
      </c>
      <c r="Q1161" t="str">
        <f>TextJoin(tblEnrolledSubjs[[#This Row],[CSubjID]:[EStudID]],"Value")</f>
        <v>"322","147"</v>
      </c>
      <c r="S1161">
        <f>LOOKUP(LOOKUP(tblEnrolledSubjs[[#This Row],[CSubjID]], tblClassSubjs[CSubjID],tblClassSubjs[ClassID]),tblClasses[ClassID],tblClasses[STermID])</f>
        <v>6</v>
      </c>
      <c r="T1161" t="str">
        <f>LOOKUP(S1161,tblSchoolTerms[STermID],tblSchoolTerms[SemesterID]&amp;" Semester "&amp;tblSchoolTerms[SchoolYear])</f>
        <v>1 Semester S.Y. 2016-2017</v>
      </c>
      <c r="W11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61" t="e">
        <f t="array" ref="Y1161">INDEX(tblEnrolledStuds[EStudID],MATCH(tblEnrolledSubjs[[#This Row],[EStudID]]&amp;S1161,tblEnrolledStuds[AdmissionStatusID]&amp;tblEnrolledStuds[StudID],0))</f>
        <v>#N/A</v>
      </c>
    </row>
    <row r="1162" spans="2:25" x14ac:dyDescent="0.25">
      <c r="B1162">
        <v>1160</v>
      </c>
      <c r="C1162">
        <v>322</v>
      </c>
      <c r="D1162">
        <v>148</v>
      </c>
      <c r="P1162" t="str">
        <f t="shared" si="22"/>
        <v>(NULL,"322","148"),</v>
      </c>
      <c r="Q1162" t="str">
        <f>TextJoin(tblEnrolledSubjs[[#This Row],[CSubjID]:[EStudID]],"Value")</f>
        <v>"322","148"</v>
      </c>
      <c r="S1162">
        <f>LOOKUP(LOOKUP(tblEnrolledSubjs[[#This Row],[CSubjID]], tblClassSubjs[CSubjID],tblClassSubjs[ClassID]),tblClasses[ClassID],tblClasses[STermID])</f>
        <v>6</v>
      </c>
      <c r="T1162" t="str">
        <f>LOOKUP(S1162,tblSchoolTerms[STermID],tblSchoolTerms[SemesterID]&amp;" Semester "&amp;tblSchoolTerms[SchoolYear])</f>
        <v>1 Semester S.Y. 2016-2017</v>
      </c>
      <c r="W11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62" t="e">
        <f t="array" ref="Y1162">INDEX(tblEnrolledStuds[EStudID],MATCH(tblEnrolledSubjs[[#This Row],[EStudID]]&amp;S1162,tblEnrolledStuds[AdmissionStatusID]&amp;tblEnrolledStuds[StudID],0))</f>
        <v>#N/A</v>
      </c>
    </row>
    <row r="1163" spans="2:25" x14ac:dyDescent="0.25">
      <c r="B1163">
        <v>1161</v>
      </c>
      <c r="C1163">
        <v>322</v>
      </c>
      <c r="D1163">
        <v>150</v>
      </c>
      <c r="P1163" t="str">
        <f t="shared" si="22"/>
        <v>(NULL,"322","150"),</v>
      </c>
      <c r="Q1163" t="str">
        <f>TextJoin(tblEnrolledSubjs[[#This Row],[CSubjID]:[EStudID]],"Value")</f>
        <v>"322","150"</v>
      </c>
      <c r="S1163">
        <f>LOOKUP(LOOKUP(tblEnrolledSubjs[[#This Row],[CSubjID]], tblClassSubjs[CSubjID],tblClassSubjs[ClassID]),tblClasses[ClassID],tblClasses[STermID])</f>
        <v>6</v>
      </c>
      <c r="T1163" t="str">
        <f>LOOKUP(S1163,tblSchoolTerms[STermID],tblSchoolTerms[SemesterID]&amp;" Semester "&amp;tblSchoolTerms[SchoolYear])</f>
        <v>1 Semester S.Y. 2016-2017</v>
      </c>
      <c r="W11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3" t="e">
        <f t="array" ref="Y1163">INDEX(tblEnrolledStuds[EStudID],MATCH(tblEnrolledSubjs[[#This Row],[EStudID]]&amp;S1163,tblEnrolledStuds[AdmissionStatusID]&amp;tblEnrolledStuds[StudID],0))</f>
        <v>#N/A</v>
      </c>
    </row>
    <row r="1164" spans="2:25" x14ac:dyDescent="0.25">
      <c r="B1164">
        <v>1162</v>
      </c>
      <c r="C1164">
        <v>322</v>
      </c>
      <c r="D1164">
        <v>152</v>
      </c>
      <c r="P1164" t="str">
        <f t="shared" si="22"/>
        <v>(NULL,"322","152"),</v>
      </c>
      <c r="Q1164" t="str">
        <f>TextJoin(tblEnrolledSubjs[[#This Row],[CSubjID]:[EStudID]],"Value")</f>
        <v>"322","152"</v>
      </c>
      <c r="S1164">
        <f>LOOKUP(LOOKUP(tblEnrolledSubjs[[#This Row],[CSubjID]], tblClassSubjs[CSubjID],tblClassSubjs[ClassID]),tblClasses[ClassID],tblClasses[STermID])</f>
        <v>6</v>
      </c>
      <c r="T1164" t="str">
        <f>LOOKUP(S1164,tblSchoolTerms[STermID],tblSchoolTerms[SemesterID]&amp;" Semester "&amp;tblSchoolTerms[SchoolYear])</f>
        <v>1 Semester S.Y. 2016-2017</v>
      </c>
      <c r="W11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4" t="e">
        <f t="array" ref="Y1164">INDEX(tblEnrolledStuds[EStudID],MATCH(tblEnrolledSubjs[[#This Row],[EStudID]]&amp;S1164,tblEnrolledStuds[AdmissionStatusID]&amp;tblEnrolledStuds[StudID],0))</f>
        <v>#N/A</v>
      </c>
    </row>
    <row r="1165" spans="2:25" x14ac:dyDescent="0.25">
      <c r="B1165">
        <v>1163</v>
      </c>
      <c r="C1165">
        <v>322</v>
      </c>
      <c r="D1165">
        <v>153</v>
      </c>
      <c r="P1165" t="str">
        <f t="shared" si="22"/>
        <v>(NULL,"322","153"),</v>
      </c>
      <c r="Q1165" t="str">
        <f>TextJoin(tblEnrolledSubjs[[#This Row],[CSubjID]:[EStudID]],"Value")</f>
        <v>"322","153"</v>
      </c>
      <c r="S1165">
        <f>LOOKUP(LOOKUP(tblEnrolledSubjs[[#This Row],[CSubjID]], tblClassSubjs[CSubjID],tblClassSubjs[ClassID]),tblClasses[ClassID],tblClasses[STermID])</f>
        <v>6</v>
      </c>
      <c r="T1165" t="str">
        <f>LOOKUP(S1165,tblSchoolTerms[STermID],tblSchoolTerms[SemesterID]&amp;" Semester "&amp;tblSchoolTerms[SchoolYear])</f>
        <v>1 Semester S.Y. 2016-2017</v>
      </c>
      <c r="W11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5" t="e">
        <f t="array" ref="Y1165">INDEX(tblEnrolledStuds[EStudID],MATCH(tblEnrolledSubjs[[#This Row],[EStudID]]&amp;S1165,tblEnrolledStuds[AdmissionStatusID]&amp;tblEnrolledStuds[StudID],0))</f>
        <v>#N/A</v>
      </c>
    </row>
    <row r="1166" spans="2:25" x14ac:dyDescent="0.25">
      <c r="B1166">
        <v>1164</v>
      </c>
      <c r="C1166">
        <v>322</v>
      </c>
      <c r="D1166">
        <v>146</v>
      </c>
      <c r="P1166" t="str">
        <f t="shared" si="22"/>
        <v>(NULL,"322","146"),</v>
      </c>
      <c r="Q1166" t="str">
        <f>TextJoin(tblEnrolledSubjs[[#This Row],[CSubjID]:[EStudID]],"Value")</f>
        <v>"322","146"</v>
      </c>
      <c r="S1166">
        <f>LOOKUP(LOOKUP(tblEnrolledSubjs[[#This Row],[CSubjID]], tblClassSubjs[CSubjID],tblClassSubjs[ClassID]),tblClasses[ClassID],tblClasses[STermID])</f>
        <v>6</v>
      </c>
      <c r="T1166" t="str">
        <f>LOOKUP(S1166,tblSchoolTerms[STermID],tblSchoolTerms[SemesterID]&amp;" Semester "&amp;tblSchoolTerms[SchoolYear])</f>
        <v>1 Semester S.Y. 2016-2017</v>
      </c>
      <c r="W11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6" t="e">
        <f t="array" ref="Y1166">INDEX(tblEnrolledStuds[EStudID],MATCH(tblEnrolledSubjs[[#This Row],[EStudID]]&amp;S1166,tblEnrolledStuds[AdmissionStatusID]&amp;tblEnrolledStuds[StudID],0))</f>
        <v>#N/A</v>
      </c>
    </row>
    <row r="1167" spans="2:25" x14ac:dyDescent="0.25">
      <c r="B1167">
        <v>1165</v>
      </c>
      <c r="C1167">
        <v>323</v>
      </c>
      <c r="D1167">
        <v>140</v>
      </c>
      <c r="P1167" t="str">
        <f t="shared" si="22"/>
        <v>(NULL,"323","140"),</v>
      </c>
      <c r="Q1167" t="str">
        <f>TextJoin(tblEnrolledSubjs[[#This Row],[CSubjID]:[EStudID]],"Value")</f>
        <v>"323","140"</v>
      </c>
      <c r="S1167">
        <f>LOOKUP(LOOKUP(tblEnrolledSubjs[[#This Row],[CSubjID]], tblClassSubjs[CSubjID],tblClassSubjs[ClassID]),tblClasses[ClassID],tblClasses[STermID])</f>
        <v>6</v>
      </c>
      <c r="T1167" t="str">
        <f>LOOKUP(S1167,tblSchoolTerms[STermID],tblSchoolTerms[SemesterID]&amp;" Semester "&amp;tblSchoolTerms[SchoolYear])</f>
        <v>1 Semester S.Y. 2016-2017</v>
      </c>
      <c r="W11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67" t="e">
        <f t="array" ref="Y1167">INDEX(tblEnrolledStuds[EStudID],MATCH(tblEnrolledSubjs[[#This Row],[EStudID]]&amp;S1167,tblEnrolledStuds[AdmissionStatusID]&amp;tblEnrolledStuds[StudID],0))</f>
        <v>#N/A</v>
      </c>
    </row>
    <row r="1168" spans="2:25" x14ac:dyDescent="0.25">
      <c r="B1168">
        <v>1166</v>
      </c>
      <c r="C1168">
        <v>323</v>
      </c>
      <c r="D1168">
        <v>141</v>
      </c>
      <c r="P1168" t="str">
        <f t="shared" si="22"/>
        <v>(NULL,"323","141"),</v>
      </c>
      <c r="Q1168" t="str">
        <f>TextJoin(tblEnrolledSubjs[[#This Row],[CSubjID]:[EStudID]],"Value")</f>
        <v>"323","141"</v>
      </c>
      <c r="S1168">
        <f>LOOKUP(LOOKUP(tblEnrolledSubjs[[#This Row],[CSubjID]], tblClassSubjs[CSubjID],tblClassSubjs[ClassID]),tblClasses[ClassID],tblClasses[STermID])</f>
        <v>6</v>
      </c>
      <c r="T1168" t="str">
        <f>LOOKUP(S1168,tblSchoolTerms[STermID],tblSchoolTerms[SemesterID]&amp;" Semester "&amp;tblSchoolTerms[SchoolYear])</f>
        <v>1 Semester S.Y. 2016-2017</v>
      </c>
      <c r="W11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8" t="e">
        <f t="array" ref="Y1168">INDEX(tblEnrolledStuds[EStudID],MATCH(tblEnrolledSubjs[[#This Row],[EStudID]]&amp;S1168,tblEnrolledStuds[AdmissionStatusID]&amp;tblEnrolledStuds[StudID],0))</f>
        <v>#N/A</v>
      </c>
    </row>
    <row r="1169" spans="2:25" x14ac:dyDescent="0.25">
      <c r="B1169">
        <v>1167</v>
      </c>
      <c r="C1169">
        <v>323</v>
      </c>
      <c r="D1169">
        <v>142</v>
      </c>
      <c r="P1169" t="str">
        <f t="shared" si="22"/>
        <v>(NULL,"323","142"),</v>
      </c>
      <c r="Q1169" t="str">
        <f>TextJoin(tblEnrolledSubjs[[#This Row],[CSubjID]:[EStudID]],"Value")</f>
        <v>"323","142"</v>
      </c>
      <c r="S1169">
        <f>LOOKUP(LOOKUP(tblEnrolledSubjs[[#This Row],[CSubjID]], tblClassSubjs[CSubjID],tblClassSubjs[ClassID]),tblClasses[ClassID],tblClasses[STermID])</f>
        <v>6</v>
      </c>
      <c r="T1169" t="str">
        <f>LOOKUP(S1169,tblSchoolTerms[STermID],tblSchoolTerms[SemesterID]&amp;" Semester "&amp;tblSchoolTerms[SchoolYear])</f>
        <v>1 Semester S.Y. 2016-2017</v>
      </c>
      <c r="W11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69" t="e">
        <f t="array" ref="Y1169">INDEX(tblEnrolledStuds[EStudID],MATCH(tblEnrolledSubjs[[#This Row],[EStudID]]&amp;S1169,tblEnrolledStuds[AdmissionStatusID]&amp;tblEnrolledStuds[StudID],0))</f>
        <v>#N/A</v>
      </c>
    </row>
    <row r="1170" spans="2:25" x14ac:dyDescent="0.25">
      <c r="B1170">
        <v>1168</v>
      </c>
      <c r="C1170">
        <v>323</v>
      </c>
      <c r="D1170">
        <v>144</v>
      </c>
      <c r="P1170" t="str">
        <f t="shared" si="22"/>
        <v>(NULL,"323","144"),</v>
      </c>
      <c r="Q1170" t="str">
        <f>TextJoin(tblEnrolledSubjs[[#This Row],[CSubjID]:[EStudID]],"Value")</f>
        <v>"323","144"</v>
      </c>
      <c r="S1170">
        <f>LOOKUP(LOOKUP(tblEnrolledSubjs[[#This Row],[CSubjID]], tblClassSubjs[CSubjID],tblClassSubjs[ClassID]),tblClasses[ClassID],tblClasses[STermID])</f>
        <v>6</v>
      </c>
      <c r="T1170" t="str">
        <f>LOOKUP(S1170,tblSchoolTerms[STermID],tblSchoolTerms[SemesterID]&amp;" Semester "&amp;tblSchoolTerms[SchoolYear])</f>
        <v>1 Semester S.Y. 2016-2017</v>
      </c>
      <c r="W11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0" t="e">
        <f t="array" ref="Y1170">INDEX(tblEnrolledStuds[EStudID],MATCH(tblEnrolledSubjs[[#This Row],[EStudID]]&amp;S1170,tblEnrolledStuds[AdmissionStatusID]&amp;tblEnrolledStuds[StudID],0))</f>
        <v>#N/A</v>
      </c>
    </row>
    <row r="1171" spans="2:25" x14ac:dyDescent="0.25">
      <c r="B1171">
        <v>1169</v>
      </c>
      <c r="C1171">
        <v>323</v>
      </c>
      <c r="D1171">
        <v>145</v>
      </c>
      <c r="P1171" t="str">
        <f t="shared" si="22"/>
        <v>(NULL,"323","145"),</v>
      </c>
      <c r="Q1171" t="str">
        <f>TextJoin(tblEnrolledSubjs[[#This Row],[CSubjID]:[EStudID]],"Value")</f>
        <v>"323","145"</v>
      </c>
      <c r="S1171">
        <f>LOOKUP(LOOKUP(tblEnrolledSubjs[[#This Row],[CSubjID]], tblClassSubjs[CSubjID],tblClassSubjs[ClassID]),tblClasses[ClassID],tblClasses[STermID])</f>
        <v>6</v>
      </c>
      <c r="T1171" t="str">
        <f>LOOKUP(S1171,tblSchoolTerms[STermID],tblSchoolTerms[SemesterID]&amp;" Semester "&amp;tblSchoolTerms[SchoolYear])</f>
        <v>1 Semester S.Y. 2016-2017</v>
      </c>
      <c r="W11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1" t="e">
        <f t="array" ref="Y1171">INDEX(tblEnrolledStuds[EStudID],MATCH(tblEnrolledSubjs[[#This Row],[EStudID]]&amp;S1171,tblEnrolledStuds[AdmissionStatusID]&amp;tblEnrolledStuds[StudID],0))</f>
        <v>#N/A</v>
      </c>
    </row>
    <row r="1172" spans="2:25" x14ac:dyDescent="0.25">
      <c r="B1172">
        <v>1170</v>
      </c>
      <c r="C1172">
        <v>323</v>
      </c>
      <c r="D1172">
        <v>147</v>
      </c>
      <c r="P1172" t="str">
        <f t="shared" si="22"/>
        <v>(NULL,"323","147"),</v>
      </c>
      <c r="Q1172" t="str">
        <f>TextJoin(tblEnrolledSubjs[[#This Row],[CSubjID]:[EStudID]],"Value")</f>
        <v>"323","147"</v>
      </c>
      <c r="S1172">
        <f>LOOKUP(LOOKUP(tblEnrolledSubjs[[#This Row],[CSubjID]], tblClassSubjs[CSubjID],tblClassSubjs[ClassID]),tblClasses[ClassID],tblClasses[STermID])</f>
        <v>6</v>
      </c>
      <c r="T1172" t="str">
        <f>LOOKUP(S1172,tblSchoolTerms[STermID],tblSchoolTerms[SemesterID]&amp;" Semester "&amp;tblSchoolTerms[SchoolYear])</f>
        <v>1 Semester S.Y. 2016-2017</v>
      </c>
      <c r="W11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72" t="e">
        <f t="array" ref="Y1172">INDEX(tblEnrolledStuds[EStudID],MATCH(tblEnrolledSubjs[[#This Row],[EStudID]]&amp;S1172,tblEnrolledStuds[AdmissionStatusID]&amp;tblEnrolledStuds[StudID],0))</f>
        <v>#N/A</v>
      </c>
    </row>
    <row r="1173" spans="2:25" x14ac:dyDescent="0.25">
      <c r="B1173">
        <v>1171</v>
      </c>
      <c r="C1173">
        <v>323</v>
      </c>
      <c r="D1173">
        <v>148</v>
      </c>
      <c r="P1173" t="str">
        <f t="shared" si="22"/>
        <v>(NULL,"323","148"),</v>
      </c>
      <c r="Q1173" t="str">
        <f>TextJoin(tblEnrolledSubjs[[#This Row],[CSubjID]:[EStudID]],"Value")</f>
        <v>"323","148"</v>
      </c>
      <c r="S1173">
        <f>LOOKUP(LOOKUP(tblEnrolledSubjs[[#This Row],[CSubjID]], tblClassSubjs[CSubjID],tblClassSubjs[ClassID]),tblClasses[ClassID],tblClasses[STermID])</f>
        <v>6</v>
      </c>
      <c r="T1173" t="str">
        <f>LOOKUP(S1173,tblSchoolTerms[STermID],tblSchoolTerms[SemesterID]&amp;" Semester "&amp;tblSchoolTerms[SchoolYear])</f>
        <v>1 Semester S.Y. 2016-2017</v>
      </c>
      <c r="W11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73" t="e">
        <f t="array" ref="Y1173">INDEX(tblEnrolledStuds[EStudID],MATCH(tblEnrolledSubjs[[#This Row],[EStudID]]&amp;S1173,tblEnrolledStuds[AdmissionStatusID]&amp;tblEnrolledStuds[StudID],0))</f>
        <v>#N/A</v>
      </c>
    </row>
    <row r="1174" spans="2:25" x14ac:dyDescent="0.25">
      <c r="B1174">
        <v>1172</v>
      </c>
      <c r="C1174">
        <v>323</v>
      </c>
      <c r="D1174">
        <v>150</v>
      </c>
      <c r="P1174" t="str">
        <f t="shared" si="22"/>
        <v>(NULL,"323","150"),</v>
      </c>
      <c r="Q1174" t="str">
        <f>TextJoin(tblEnrolledSubjs[[#This Row],[CSubjID]:[EStudID]],"Value")</f>
        <v>"323","150"</v>
      </c>
      <c r="S1174">
        <f>LOOKUP(LOOKUP(tblEnrolledSubjs[[#This Row],[CSubjID]], tblClassSubjs[CSubjID],tblClassSubjs[ClassID]),tblClasses[ClassID],tblClasses[STermID])</f>
        <v>6</v>
      </c>
      <c r="T1174" t="str">
        <f>LOOKUP(S1174,tblSchoolTerms[STermID],tblSchoolTerms[SemesterID]&amp;" Semester "&amp;tblSchoolTerms[SchoolYear])</f>
        <v>1 Semester S.Y. 2016-2017</v>
      </c>
      <c r="W11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4" t="e">
        <f t="array" ref="Y1174">INDEX(tblEnrolledStuds[EStudID],MATCH(tblEnrolledSubjs[[#This Row],[EStudID]]&amp;S1174,tblEnrolledStuds[AdmissionStatusID]&amp;tblEnrolledStuds[StudID],0))</f>
        <v>#N/A</v>
      </c>
    </row>
    <row r="1175" spans="2:25" x14ac:dyDescent="0.25">
      <c r="B1175">
        <v>1173</v>
      </c>
      <c r="C1175">
        <v>323</v>
      </c>
      <c r="D1175">
        <v>152</v>
      </c>
      <c r="P1175" t="str">
        <f t="shared" si="22"/>
        <v>(NULL,"323","152"),</v>
      </c>
      <c r="Q1175" t="str">
        <f>TextJoin(tblEnrolledSubjs[[#This Row],[CSubjID]:[EStudID]],"Value")</f>
        <v>"323","152"</v>
      </c>
      <c r="S1175">
        <f>LOOKUP(LOOKUP(tblEnrolledSubjs[[#This Row],[CSubjID]], tblClassSubjs[CSubjID],tblClassSubjs[ClassID]),tblClasses[ClassID],tblClasses[STermID])</f>
        <v>6</v>
      </c>
      <c r="T1175" t="str">
        <f>LOOKUP(S1175,tblSchoolTerms[STermID],tblSchoolTerms[SemesterID]&amp;" Semester "&amp;tblSchoolTerms[SchoolYear])</f>
        <v>1 Semester S.Y. 2016-2017</v>
      </c>
      <c r="W11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5" t="e">
        <f t="array" ref="Y1175">INDEX(tblEnrolledStuds[EStudID],MATCH(tblEnrolledSubjs[[#This Row],[EStudID]]&amp;S1175,tblEnrolledStuds[AdmissionStatusID]&amp;tblEnrolledStuds[StudID],0))</f>
        <v>#N/A</v>
      </c>
    </row>
    <row r="1176" spans="2:25" x14ac:dyDescent="0.25">
      <c r="B1176">
        <v>1174</v>
      </c>
      <c r="C1176">
        <v>323</v>
      </c>
      <c r="D1176">
        <v>153</v>
      </c>
      <c r="P1176" t="str">
        <f t="shared" si="22"/>
        <v>(NULL,"323","153"),</v>
      </c>
      <c r="Q1176" t="str">
        <f>TextJoin(tblEnrolledSubjs[[#This Row],[CSubjID]:[EStudID]],"Value")</f>
        <v>"323","153"</v>
      </c>
      <c r="S1176">
        <f>LOOKUP(LOOKUP(tblEnrolledSubjs[[#This Row],[CSubjID]], tblClassSubjs[CSubjID],tblClassSubjs[ClassID]),tblClasses[ClassID],tblClasses[STermID])</f>
        <v>6</v>
      </c>
      <c r="T1176" t="str">
        <f>LOOKUP(S1176,tblSchoolTerms[STermID],tblSchoolTerms[SemesterID]&amp;" Semester "&amp;tblSchoolTerms[SchoolYear])</f>
        <v>1 Semester S.Y. 2016-2017</v>
      </c>
      <c r="W11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6" t="e">
        <f t="array" ref="Y1176">INDEX(tblEnrolledStuds[EStudID],MATCH(tblEnrolledSubjs[[#This Row],[EStudID]]&amp;S1176,tblEnrolledStuds[AdmissionStatusID]&amp;tblEnrolledStuds[StudID],0))</f>
        <v>#N/A</v>
      </c>
    </row>
    <row r="1177" spans="2:25" x14ac:dyDescent="0.25">
      <c r="B1177">
        <v>1175</v>
      </c>
      <c r="C1177">
        <v>323</v>
      </c>
      <c r="D1177">
        <v>146</v>
      </c>
      <c r="P1177" t="str">
        <f t="shared" si="22"/>
        <v>(NULL,"323","146"),</v>
      </c>
      <c r="Q1177" t="str">
        <f>TextJoin(tblEnrolledSubjs[[#This Row],[CSubjID]:[EStudID]],"Value")</f>
        <v>"323","146"</v>
      </c>
      <c r="S1177">
        <f>LOOKUP(LOOKUP(tblEnrolledSubjs[[#This Row],[CSubjID]], tblClassSubjs[CSubjID],tblClassSubjs[ClassID]),tblClasses[ClassID],tblClasses[STermID])</f>
        <v>6</v>
      </c>
      <c r="T1177" t="str">
        <f>LOOKUP(S1177,tblSchoolTerms[STermID],tblSchoolTerms[SemesterID]&amp;" Semester "&amp;tblSchoolTerms[SchoolYear])</f>
        <v>1 Semester S.Y. 2016-2017</v>
      </c>
      <c r="W11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7" t="e">
        <f t="array" ref="Y1177">INDEX(tblEnrolledStuds[EStudID],MATCH(tblEnrolledSubjs[[#This Row],[EStudID]]&amp;S1177,tblEnrolledStuds[AdmissionStatusID]&amp;tblEnrolledStuds[StudID],0))</f>
        <v>#N/A</v>
      </c>
    </row>
    <row r="1178" spans="2:25" x14ac:dyDescent="0.25">
      <c r="B1178">
        <v>1176</v>
      </c>
      <c r="C1178">
        <v>324</v>
      </c>
      <c r="D1178">
        <v>140</v>
      </c>
      <c r="P1178" t="str">
        <f t="shared" si="22"/>
        <v>(NULL,"324","140"),</v>
      </c>
      <c r="Q1178" t="str">
        <f>TextJoin(tblEnrolledSubjs[[#This Row],[CSubjID]:[EStudID]],"Value")</f>
        <v>"324","140"</v>
      </c>
      <c r="S1178">
        <f>LOOKUP(LOOKUP(tblEnrolledSubjs[[#This Row],[CSubjID]], tblClassSubjs[CSubjID],tblClassSubjs[ClassID]),tblClasses[ClassID],tblClasses[STermID])</f>
        <v>6</v>
      </c>
      <c r="T1178" t="str">
        <f>LOOKUP(S1178,tblSchoolTerms[STermID],tblSchoolTerms[SemesterID]&amp;" Semester "&amp;tblSchoolTerms[SchoolYear])</f>
        <v>1 Semester S.Y. 2016-2017</v>
      </c>
      <c r="W11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78" t="e">
        <f t="array" ref="Y1178">INDEX(tblEnrolledStuds[EStudID],MATCH(tblEnrolledSubjs[[#This Row],[EStudID]]&amp;S1178,tblEnrolledStuds[AdmissionStatusID]&amp;tblEnrolledStuds[StudID],0))</f>
        <v>#N/A</v>
      </c>
    </row>
    <row r="1179" spans="2:25" x14ac:dyDescent="0.25">
      <c r="B1179">
        <v>1177</v>
      </c>
      <c r="C1179">
        <v>324</v>
      </c>
      <c r="D1179">
        <v>141</v>
      </c>
      <c r="P1179" t="str">
        <f t="shared" si="22"/>
        <v>(NULL,"324","141"),</v>
      </c>
      <c r="Q1179" t="str">
        <f>TextJoin(tblEnrolledSubjs[[#This Row],[CSubjID]:[EStudID]],"Value")</f>
        <v>"324","141"</v>
      </c>
      <c r="S1179">
        <f>LOOKUP(LOOKUP(tblEnrolledSubjs[[#This Row],[CSubjID]], tblClassSubjs[CSubjID],tblClassSubjs[ClassID]),tblClasses[ClassID],tblClasses[STermID])</f>
        <v>6</v>
      </c>
      <c r="T1179" t="str">
        <f>LOOKUP(S1179,tblSchoolTerms[STermID],tblSchoolTerms[SemesterID]&amp;" Semester "&amp;tblSchoolTerms[SchoolYear])</f>
        <v>1 Semester S.Y. 2016-2017</v>
      </c>
      <c r="W11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79" t="e">
        <f t="array" ref="Y1179">INDEX(tblEnrolledStuds[EStudID],MATCH(tblEnrolledSubjs[[#This Row],[EStudID]]&amp;S1179,tblEnrolledStuds[AdmissionStatusID]&amp;tblEnrolledStuds[StudID],0))</f>
        <v>#N/A</v>
      </c>
    </row>
    <row r="1180" spans="2:25" x14ac:dyDescent="0.25">
      <c r="B1180">
        <v>1178</v>
      </c>
      <c r="C1180">
        <v>324</v>
      </c>
      <c r="D1180">
        <v>142</v>
      </c>
      <c r="G1180" s="4">
        <v>12</v>
      </c>
      <c r="H1180" s="4" t="s">
        <v>61</v>
      </c>
      <c r="I1180" s="4" t="s">
        <v>62</v>
      </c>
      <c r="J1180" s="4" t="s">
        <v>399</v>
      </c>
      <c r="P1180" t="str">
        <f t="shared" si="22"/>
        <v>(NULL,"324","142"),</v>
      </c>
      <c r="Q1180" t="str">
        <f>TextJoin(tblEnrolledSubjs[[#This Row],[CSubjID]:[EStudID]],"Value")</f>
        <v>"324","142"</v>
      </c>
      <c r="S1180">
        <f>LOOKUP(LOOKUP(tblEnrolledSubjs[[#This Row],[CSubjID]], tblClassSubjs[CSubjID],tblClassSubjs[ClassID]),tblClasses[ClassID],tblClasses[STermID])</f>
        <v>6</v>
      </c>
      <c r="T1180" t="str">
        <f>LOOKUP(S1180,tblSchoolTerms[STermID],tblSchoolTerms[SemesterID]&amp;" Semester "&amp;tblSchoolTerms[SchoolYear])</f>
        <v>1 Semester S.Y. 2016-2017</v>
      </c>
      <c r="W11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0" t="e">
        <f t="array" ref="Y1180">INDEX(tblEnrolledStuds[EStudID],MATCH(tblEnrolledSubjs[[#This Row],[EStudID]]&amp;S1180,tblEnrolledStuds[AdmissionStatusID]&amp;tblEnrolledStuds[StudID],0))</f>
        <v>#N/A</v>
      </c>
    </row>
    <row r="1181" spans="2:25" x14ac:dyDescent="0.25">
      <c r="B1181">
        <v>1179</v>
      </c>
      <c r="C1181">
        <v>324</v>
      </c>
      <c r="D1181">
        <v>144</v>
      </c>
      <c r="G1181">
        <v>37</v>
      </c>
      <c r="H1181" t="s">
        <v>121</v>
      </c>
      <c r="I1181" t="s">
        <v>122</v>
      </c>
      <c r="J1181" t="s">
        <v>399</v>
      </c>
      <c r="P1181" t="str">
        <f t="shared" si="22"/>
        <v>(NULL,"324","144"),</v>
      </c>
      <c r="Q1181" t="str">
        <f>TextJoin(tblEnrolledSubjs[[#This Row],[CSubjID]:[EStudID]],"Value")</f>
        <v>"324","144"</v>
      </c>
      <c r="S1181">
        <f>LOOKUP(LOOKUP(tblEnrolledSubjs[[#This Row],[CSubjID]], tblClassSubjs[CSubjID],tblClassSubjs[ClassID]),tblClasses[ClassID],tblClasses[STermID])</f>
        <v>6</v>
      </c>
      <c r="T1181" t="str">
        <f>LOOKUP(S1181,tblSchoolTerms[STermID],tblSchoolTerms[SemesterID]&amp;" Semester "&amp;tblSchoolTerms[SchoolYear])</f>
        <v>1 Semester S.Y. 2016-2017</v>
      </c>
      <c r="W11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1" t="e">
        <f t="array" ref="Y1181">INDEX(tblEnrolledStuds[EStudID],MATCH(tblEnrolledSubjs[[#This Row],[EStudID]]&amp;S1181,tblEnrolledStuds[AdmissionStatusID]&amp;tblEnrolledStuds[StudID],0))</f>
        <v>#N/A</v>
      </c>
    </row>
    <row r="1182" spans="2:25" x14ac:dyDescent="0.25">
      <c r="B1182">
        <v>1180</v>
      </c>
      <c r="C1182">
        <v>324</v>
      </c>
      <c r="D1182">
        <v>145</v>
      </c>
      <c r="G1182">
        <v>47</v>
      </c>
      <c r="H1182" t="s">
        <v>143</v>
      </c>
      <c r="I1182" t="s">
        <v>144</v>
      </c>
      <c r="J1182" t="s">
        <v>399</v>
      </c>
      <c r="P1182" t="str">
        <f t="shared" si="22"/>
        <v>(NULL,"324","145"),</v>
      </c>
      <c r="Q1182" t="str">
        <f>TextJoin(tblEnrolledSubjs[[#This Row],[CSubjID]:[EStudID]],"Value")</f>
        <v>"324","145"</v>
      </c>
      <c r="S1182">
        <f>LOOKUP(LOOKUP(tblEnrolledSubjs[[#This Row],[CSubjID]], tblClassSubjs[CSubjID],tblClassSubjs[ClassID]),tblClasses[ClassID],tblClasses[STermID])</f>
        <v>6</v>
      </c>
      <c r="T1182" t="str">
        <f>LOOKUP(S1182,tblSchoolTerms[STermID],tblSchoolTerms[SemesterID]&amp;" Semester "&amp;tblSchoolTerms[SchoolYear])</f>
        <v>1 Semester S.Y. 2016-2017</v>
      </c>
      <c r="W11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2" t="e">
        <f t="array" ref="Y1182">INDEX(tblEnrolledStuds[EStudID],MATCH(tblEnrolledSubjs[[#This Row],[EStudID]]&amp;S1182,tblEnrolledStuds[AdmissionStatusID]&amp;tblEnrolledStuds[StudID],0))</f>
        <v>#N/A</v>
      </c>
    </row>
    <row r="1183" spans="2:25" x14ac:dyDescent="0.25">
      <c r="B1183">
        <v>1181</v>
      </c>
      <c r="C1183">
        <v>324</v>
      </c>
      <c r="D1183">
        <v>147</v>
      </c>
      <c r="G1183">
        <v>67</v>
      </c>
      <c r="H1183" t="s">
        <v>183</v>
      </c>
      <c r="I1183" t="s">
        <v>184</v>
      </c>
      <c r="J1183" t="s">
        <v>399</v>
      </c>
      <c r="P1183" t="str">
        <f t="shared" si="22"/>
        <v>(NULL,"324","147"),</v>
      </c>
      <c r="Q1183" t="str">
        <f>TextJoin(tblEnrolledSubjs[[#This Row],[CSubjID]:[EStudID]],"Value")</f>
        <v>"324","147"</v>
      </c>
      <c r="S1183">
        <f>LOOKUP(LOOKUP(tblEnrolledSubjs[[#This Row],[CSubjID]], tblClassSubjs[CSubjID],tblClassSubjs[ClassID]),tblClasses[ClassID],tblClasses[STermID])</f>
        <v>6</v>
      </c>
      <c r="T1183" t="str">
        <f>LOOKUP(S1183,tblSchoolTerms[STermID],tblSchoolTerms[SemesterID]&amp;" Semester "&amp;tblSchoolTerms[SchoolYear])</f>
        <v>1 Semester S.Y. 2016-2017</v>
      </c>
      <c r="W11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83" t="e">
        <f t="array" ref="Y1183">INDEX(tblEnrolledStuds[EStudID],MATCH(tblEnrolledSubjs[[#This Row],[EStudID]]&amp;S1183,tblEnrolledStuds[AdmissionStatusID]&amp;tblEnrolledStuds[StudID],0))</f>
        <v>#N/A</v>
      </c>
    </row>
    <row r="1184" spans="2:25" x14ac:dyDescent="0.25">
      <c r="B1184">
        <v>1182</v>
      </c>
      <c r="C1184">
        <v>324</v>
      </c>
      <c r="D1184">
        <v>148</v>
      </c>
      <c r="G1184">
        <v>70</v>
      </c>
      <c r="H1184" t="s">
        <v>189</v>
      </c>
      <c r="I1184" t="s">
        <v>190</v>
      </c>
      <c r="J1184" t="s">
        <v>399</v>
      </c>
      <c r="P1184" t="str">
        <f t="shared" si="22"/>
        <v>(NULL,"324","148"),</v>
      </c>
      <c r="Q1184" t="str">
        <f>TextJoin(tblEnrolledSubjs[[#This Row],[CSubjID]:[EStudID]],"Value")</f>
        <v>"324","148"</v>
      </c>
      <c r="S1184">
        <f>LOOKUP(LOOKUP(tblEnrolledSubjs[[#This Row],[CSubjID]], tblClassSubjs[CSubjID],tblClassSubjs[ClassID]),tblClasses[ClassID],tblClasses[STermID])</f>
        <v>6</v>
      </c>
      <c r="T1184" t="str">
        <f>LOOKUP(S1184,tblSchoolTerms[STermID],tblSchoolTerms[SemesterID]&amp;" Semester "&amp;tblSchoolTerms[SchoolYear])</f>
        <v>1 Semester S.Y. 2016-2017</v>
      </c>
      <c r="W11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84" t="e">
        <f t="array" ref="Y1184">INDEX(tblEnrolledStuds[EStudID],MATCH(tblEnrolledSubjs[[#This Row],[EStudID]]&amp;S1184,tblEnrolledStuds[AdmissionStatusID]&amp;tblEnrolledStuds[StudID],0))</f>
        <v>#N/A</v>
      </c>
    </row>
    <row r="1185" spans="2:25" x14ac:dyDescent="0.25">
      <c r="B1185">
        <v>1183</v>
      </c>
      <c r="C1185">
        <v>324</v>
      </c>
      <c r="D1185">
        <v>150</v>
      </c>
      <c r="G1185">
        <v>71</v>
      </c>
      <c r="H1185" t="s">
        <v>191</v>
      </c>
      <c r="I1185" t="s">
        <v>192</v>
      </c>
      <c r="J1185" t="s">
        <v>399</v>
      </c>
      <c r="P1185" t="str">
        <f t="shared" si="22"/>
        <v>(NULL,"324","150"),</v>
      </c>
      <c r="Q1185" t="str">
        <f>TextJoin(tblEnrolledSubjs[[#This Row],[CSubjID]:[EStudID]],"Value")</f>
        <v>"324","150"</v>
      </c>
      <c r="S1185">
        <f>LOOKUP(LOOKUP(tblEnrolledSubjs[[#This Row],[CSubjID]], tblClassSubjs[CSubjID],tblClassSubjs[ClassID]),tblClasses[ClassID],tblClasses[STermID])</f>
        <v>6</v>
      </c>
      <c r="T1185" t="str">
        <f>LOOKUP(S1185,tblSchoolTerms[STermID],tblSchoolTerms[SemesterID]&amp;" Semester "&amp;tblSchoolTerms[SchoolYear])</f>
        <v>1 Semester S.Y. 2016-2017</v>
      </c>
      <c r="W11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5" t="e">
        <f t="array" ref="Y1185">INDEX(tblEnrolledStuds[EStudID],MATCH(tblEnrolledSubjs[[#This Row],[EStudID]]&amp;S1185,tblEnrolledStuds[AdmissionStatusID]&amp;tblEnrolledStuds[StudID],0))</f>
        <v>#N/A</v>
      </c>
    </row>
    <row r="1186" spans="2:25" x14ac:dyDescent="0.25">
      <c r="B1186">
        <v>1184</v>
      </c>
      <c r="C1186">
        <v>324</v>
      </c>
      <c r="D1186">
        <v>152</v>
      </c>
      <c r="G1186">
        <v>1</v>
      </c>
      <c r="H1186" t="s">
        <v>36</v>
      </c>
      <c r="I1186" t="s">
        <v>37</v>
      </c>
      <c r="J1186" t="s">
        <v>336</v>
      </c>
      <c r="P1186" t="str">
        <f t="shared" si="22"/>
        <v>(NULL,"324","152"),</v>
      </c>
      <c r="Q1186" t="str">
        <f>TextJoin(tblEnrolledSubjs[[#This Row],[CSubjID]:[EStudID]],"Value")</f>
        <v>"324","152"</v>
      </c>
      <c r="S1186">
        <f>LOOKUP(LOOKUP(tblEnrolledSubjs[[#This Row],[CSubjID]], tblClassSubjs[CSubjID],tblClassSubjs[ClassID]),tblClasses[ClassID],tblClasses[STermID])</f>
        <v>6</v>
      </c>
      <c r="T1186" t="str">
        <f>LOOKUP(S1186,tblSchoolTerms[STermID],tblSchoolTerms[SemesterID]&amp;" Semester "&amp;tblSchoolTerms[SchoolYear])</f>
        <v>1 Semester S.Y. 2016-2017</v>
      </c>
      <c r="W11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6" t="e">
        <f t="array" ref="Y1186">INDEX(tblEnrolledStuds[EStudID],MATCH(tblEnrolledSubjs[[#This Row],[EStudID]]&amp;S1186,tblEnrolledStuds[AdmissionStatusID]&amp;tblEnrolledStuds[StudID],0))</f>
        <v>#N/A</v>
      </c>
    </row>
    <row r="1187" spans="2:25" x14ac:dyDescent="0.25">
      <c r="B1187">
        <v>1185</v>
      </c>
      <c r="C1187">
        <v>324</v>
      </c>
      <c r="D1187">
        <v>153</v>
      </c>
      <c r="G1187">
        <v>3</v>
      </c>
      <c r="H1187" t="s">
        <v>41</v>
      </c>
      <c r="I1187" t="s">
        <v>42</v>
      </c>
      <c r="J1187" t="s">
        <v>336</v>
      </c>
      <c r="P1187" t="str">
        <f t="shared" si="22"/>
        <v>(NULL,"324","153"),</v>
      </c>
      <c r="Q1187" t="str">
        <f>TextJoin(tblEnrolledSubjs[[#This Row],[CSubjID]:[EStudID]],"Value")</f>
        <v>"324","153"</v>
      </c>
      <c r="S1187">
        <f>LOOKUP(LOOKUP(tblEnrolledSubjs[[#This Row],[CSubjID]], tblClassSubjs[CSubjID],tblClassSubjs[ClassID]),tblClasses[ClassID],tblClasses[STermID])</f>
        <v>6</v>
      </c>
      <c r="T1187" t="str">
        <f>LOOKUP(S1187,tblSchoolTerms[STermID],tblSchoolTerms[SemesterID]&amp;" Semester "&amp;tblSchoolTerms[SchoolYear])</f>
        <v>1 Semester S.Y. 2016-2017</v>
      </c>
      <c r="W11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7" t="e">
        <f t="array" ref="Y1187">INDEX(tblEnrolledStuds[EStudID],MATCH(tblEnrolledSubjs[[#This Row],[EStudID]]&amp;S1187,tblEnrolledStuds[AdmissionStatusID]&amp;tblEnrolledStuds[StudID],0))</f>
        <v>#N/A</v>
      </c>
    </row>
    <row r="1188" spans="2:25" x14ac:dyDescent="0.25">
      <c r="B1188">
        <v>1186</v>
      </c>
      <c r="C1188">
        <v>324</v>
      </c>
      <c r="D1188">
        <v>146</v>
      </c>
      <c r="G1188">
        <v>7</v>
      </c>
      <c r="H1188" t="s">
        <v>50</v>
      </c>
      <c r="I1188" t="s">
        <v>51</v>
      </c>
      <c r="J1188" t="s">
        <v>336</v>
      </c>
      <c r="P1188" t="str">
        <f t="shared" si="22"/>
        <v>(NULL,"324","146"),</v>
      </c>
      <c r="Q1188" t="str">
        <f>TextJoin(tblEnrolledSubjs[[#This Row],[CSubjID]:[EStudID]],"Value")</f>
        <v>"324","146"</v>
      </c>
      <c r="S1188">
        <f>LOOKUP(LOOKUP(tblEnrolledSubjs[[#This Row],[CSubjID]], tblClassSubjs[CSubjID],tblClassSubjs[ClassID]),tblClasses[ClassID],tblClasses[STermID])</f>
        <v>6</v>
      </c>
      <c r="T1188" t="str">
        <f>LOOKUP(S1188,tblSchoolTerms[STermID],tblSchoolTerms[SemesterID]&amp;" Semester "&amp;tblSchoolTerms[SchoolYear])</f>
        <v>1 Semester S.Y. 2016-2017</v>
      </c>
      <c r="W11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88" t="e">
        <f t="array" ref="Y1188">INDEX(tblEnrolledStuds[EStudID],MATCH(tblEnrolledSubjs[[#This Row],[EStudID]]&amp;S1188,tblEnrolledStuds[AdmissionStatusID]&amp;tblEnrolledStuds[StudID],0))</f>
        <v>#N/A</v>
      </c>
    </row>
    <row r="1189" spans="2:25" x14ac:dyDescent="0.25">
      <c r="B1189">
        <v>1187</v>
      </c>
      <c r="C1189">
        <v>325</v>
      </c>
      <c r="D1189">
        <v>140</v>
      </c>
      <c r="G1189">
        <v>16</v>
      </c>
      <c r="H1189" t="s">
        <v>73</v>
      </c>
      <c r="I1189" t="s">
        <v>74</v>
      </c>
      <c r="J1189" t="s">
        <v>336</v>
      </c>
      <c r="P1189" t="str">
        <f t="shared" si="22"/>
        <v>(NULL,"325","140"),</v>
      </c>
      <c r="Q1189" t="str">
        <f>TextJoin(tblEnrolledSubjs[[#This Row],[CSubjID]:[EStudID]],"Value")</f>
        <v>"325","140"</v>
      </c>
      <c r="S1189">
        <f>LOOKUP(LOOKUP(tblEnrolledSubjs[[#This Row],[CSubjID]], tblClassSubjs[CSubjID],tblClassSubjs[ClassID]),tblClasses[ClassID],tblClasses[STermID])</f>
        <v>6</v>
      </c>
      <c r="T1189" t="str">
        <f>LOOKUP(S1189,tblSchoolTerms[STermID],tblSchoolTerms[SemesterID]&amp;" Semester "&amp;tblSchoolTerms[SchoolYear])</f>
        <v>1 Semester S.Y. 2016-2017</v>
      </c>
      <c r="W11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89" t="e">
        <f t="array" ref="Y1189">INDEX(tblEnrolledStuds[EStudID],MATCH(tblEnrolledSubjs[[#This Row],[EStudID]]&amp;S1189,tblEnrolledStuds[AdmissionStatusID]&amp;tblEnrolledStuds[StudID],0))</f>
        <v>#N/A</v>
      </c>
    </row>
    <row r="1190" spans="2:25" x14ac:dyDescent="0.25">
      <c r="B1190">
        <v>1188</v>
      </c>
      <c r="C1190">
        <v>325</v>
      </c>
      <c r="D1190">
        <v>141</v>
      </c>
      <c r="G1190">
        <v>19</v>
      </c>
      <c r="H1190" t="s">
        <v>82</v>
      </c>
      <c r="I1190" t="s">
        <v>83</v>
      </c>
      <c r="J1190" t="s">
        <v>336</v>
      </c>
      <c r="P1190" t="str">
        <f t="shared" si="22"/>
        <v>(NULL,"325","141"),</v>
      </c>
      <c r="Q1190" t="str">
        <f>TextJoin(tblEnrolledSubjs[[#This Row],[CSubjID]:[EStudID]],"Value")</f>
        <v>"325","141"</v>
      </c>
      <c r="S1190">
        <f>LOOKUP(LOOKUP(tblEnrolledSubjs[[#This Row],[CSubjID]], tblClassSubjs[CSubjID],tblClassSubjs[ClassID]),tblClasses[ClassID],tblClasses[STermID])</f>
        <v>6</v>
      </c>
      <c r="T1190" t="str">
        <f>LOOKUP(S1190,tblSchoolTerms[STermID],tblSchoolTerms[SemesterID]&amp;" Semester "&amp;tblSchoolTerms[SchoolYear])</f>
        <v>1 Semester S.Y. 2016-2017</v>
      </c>
      <c r="W11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0" t="e">
        <f t="array" ref="Y1190">INDEX(tblEnrolledStuds[EStudID],MATCH(tblEnrolledSubjs[[#This Row],[EStudID]]&amp;S1190,tblEnrolledStuds[AdmissionStatusID]&amp;tblEnrolledStuds[StudID],0))</f>
        <v>#N/A</v>
      </c>
    </row>
    <row r="1191" spans="2:25" x14ac:dyDescent="0.25">
      <c r="B1191">
        <v>1189</v>
      </c>
      <c r="C1191">
        <v>325</v>
      </c>
      <c r="D1191">
        <v>142</v>
      </c>
      <c r="G1191">
        <v>32</v>
      </c>
      <c r="H1191" t="s">
        <v>110</v>
      </c>
      <c r="I1191" t="s">
        <v>111</v>
      </c>
      <c r="J1191" t="s">
        <v>336</v>
      </c>
      <c r="P1191" t="str">
        <f t="shared" si="22"/>
        <v>(NULL,"325","142"),</v>
      </c>
      <c r="Q1191" t="str">
        <f>TextJoin(tblEnrolledSubjs[[#This Row],[CSubjID]:[EStudID]],"Value")</f>
        <v>"325","142"</v>
      </c>
      <c r="S1191">
        <f>LOOKUP(LOOKUP(tblEnrolledSubjs[[#This Row],[CSubjID]], tblClassSubjs[CSubjID],tblClassSubjs[ClassID]),tblClasses[ClassID],tblClasses[STermID])</f>
        <v>6</v>
      </c>
      <c r="T1191" t="str">
        <f>LOOKUP(S1191,tblSchoolTerms[STermID],tblSchoolTerms[SemesterID]&amp;" Semester "&amp;tblSchoolTerms[SchoolYear])</f>
        <v>1 Semester S.Y. 2016-2017</v>
      </c>
      <c r="W11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1" t="e">
        <f t="array" ref="Y1191">INDEX(tblEnrolledStuds[EStudID],MATCH(tblEnrolledSubjs[[#This Row],[EStudID]]&amp;S1191,tblEnrolledStuds[AdmissionStatusID]&amp;tblEnrolledStuds[StudID],0))</f>
        <v>#N/A</v>
      </c>
    </row>
    <row r="1192" spans="2:25" x14ac:dyDescent="0.25">
      <c r="B1192">
        <v>1190</v>
      </c>
      <c r="C1192">
        <v>325</v>
      </c>
      <c r="D1192">
        <v>144</v>
      </c>
      <c r="G1192">
        <v>35</v>
      </c>
      <c r="H1192" t="s">
        <v>117</v>
      </c>
      <c r="I1192" t="s">
        <v>118</v>
      </c>
      <c r="J1192" t="s">
        <v>336</v>
      </c>
      <c r="P1192" t="str">
        <f t="shared" si="22"/>
        <v>(NULL,"325","144"),</v>
      </c>
      <c r="Q1192" t="str">
        <f>TextJoin(tblEnrolledSubjs[[#This Row],[CSubjID]:[EStudID]],"Value")</f>
        <v>"325","144"</v>
      </c>
      <c r="S1192">
        <f>LOOKUP(LOOKUP(tblEnrolledSubjs[[#This Row],[CSubjID]], tblClassSubjs[CSubjID],tblClassSubjs[ClassID]),tblClasses[ClassID],tblClasses[STermID])</f>
        <v>6</v>
      </c>
      <c r="T1192" t="str">
        <f>LOOKUP(S1192,tblSchoolTerms[STermID],tblSchoolTerms[SemesterID]&amp;" Semester "&amp;tblSchoolTerms[SchoolYear])</f>
        <v>1 Semester S.Y. 2016-2017</v>
      </c>
      <c r="W11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2" t="e">
        <f t="array" ref="Y1192">INDEX(tblEnrolledStuds[EStudID],MATCH(tblEnrolledSubjs[[#This Row],[EStudID]]&amp;S1192,tblEnrolledStuds[AdmissionStatusID]&amp;tblEnrolledStuds[StudID],0))</f>
        <v>#N/A</v>
      </c>
    </row>
    <row r="1193" spans="2:25" x14ac:dyDescent="0.25">
      <c r="B1193">
        <v>1191</v>
      </c>
      <c r="C1193">
        <v>325</v>
      </c>
      <c r="D1193">
        <v>145</v>
      </c>
      <c r="G1193">
        <v>40</v>
      </c>
      <c r="H1193" t="s">
        <v>128</v>
      </c>
      <c r="I1193" t="s">
        <v>129</v>
      </c>
      <c r="J1193" t="s">
        <v>336</v>
      </c>
      <c r="P1193" t="str">
        <f t="shared" si="22"/>
        <v>(NULL,"325","145"),</v>
      </c>
      <c r="Q1193" t="str">
        <f>TextJoin(tblEnrolledSubjs[[#This Row],[CSubjID]:[EStudID]],"Value")</f>
        <v>"325","145"</v>
      </c>
      <c r="S1193">
        <f>LOOKUP(LOOKUP(tblEnrolledSubjs[[#This Row],[CSubjID]], tblClassSubjs[CSubjID],tblClassSubjs[ClassID]),tblClasses[ClassID],tblClasses[STermID])</f>
        <v>6</v>
      </c>
      <c r="T1193" t="str">
        <f>LOOKUP(S1193,tblSchoolTerms[STermID],tblSchoolTerms[SemesterID]&amp;" Semester "&amp;tblSchoolTerms[SchoolYear])</f>
        <v>1 Semester S.Y. 2016-2017</v>
      </c>
      <c r="W11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3" t="e">
        <f t="array" ref="Y1193">INDEX(tblEnrolledStuds[EStudID],MATCH(tblEnrolledSubjs[[#This Row],[EStudID]]&amp;S1193,tblEnrolledStuds[AdmissionStatusID]&amp;tblEnrolledStuds[StudID],0))</f>
        <v>#N/A</v>
      </c>
    </row>
    <row r="1194" spans="2:25" x14ac:dyDescent="0.25">
      <c r="B1194">
        <v>1192</v>
      </c>
      <c r="C1194">
        <v>325</v>
      </c>
      <c r="D1194">
        <v>147</v>
      </c>
      <c r="G1194">
        <v>51</v>
      </c>
      <c r="H1194" t="s">
        <v>151</v>
      </c>
      <c r="I1194" t="s">
        <v>152</v>
      </c>
      <c r="J1194" t="s">
        <v>336</v>
      </c>
      <c r="P1194" t="str">
        <f t="shared" si="22"/>
        <v>(NULL,"325","147"),</v>
      </c>
      <c r="Q1194" t="str">
        <f>TextJoin(tblEnrolledSubjs[[#This Row],[CSubjID]:[EStudID]],"Value")</f>
        <v>"325","147"</v>
      </c>
      <c r="S1194">
        <f>LOOKUP(LOOKUP(tblEnrolledSubjs[[#This Row],[CSubjID]], tblClassSubjs[CSubjID],tblClassSubjs[ClassID]),tblClasses[ClassID],tblClasses[STermID])</f>
        <v>6</v>
      </c>
      <c r="T1194" t="str">
        <f>LOOKUP(S1194,tblSchoolTerms[STermID],tblSchoolTerms[SemesterID]&amp;" Semester "&amp;tblSchoolTerms[SchoolYear])</f>
        <v>1 Semester S.Y. 2016-2017</v>
      </c>
      <c r="W11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94" t="e">
        <f t="array" ref="Y1194">INDEX(tblEnrolledStuds[EStudID],MATCH(tblEnrolledSubjs[[#This Row],[EStudID]]&amp;S1194,tblEnrolledStuds[AdmissionStatusID]&amp;tblEnrolledStuds[StudID],0))</f>
        <v>#N/A</v>
      </c>
    </row>
    <row r="1195" spans="2:25" x14ac:dyDescent="0.25">
      <c r="B1195">
        <v>1193</v>
      </c>
      <c r="C1195">
        <v>325</v>
      </c>
      <c r="D1195">
        <v>148</v>
      </c>
      <c r="G1195">
        <v>54</v>
      </c>
      <c r="H1195" t="s">
        <v>157</v>
      </c>
      <c r="I1195" t="s">
        <v>158</v>
      </c>
      <c r="J1195" t="s">
        <v>336</v>
      </c>
      <c r="P1195" t="str">
        <f t="shared" si="22"/>
        <v>(NULL,"325","148"),</v>
      </c>
      <c r="Q1195" t="str">
        <f>TextJoin(tblEnrolledSubjs[[#This Row],[CSubjID]:[EStudID]],"Value")</f>
        <v>"325","148"</v>
      </c>
      <c r="S1195">
        <f>LOOKUP(LOOKUP(tblEnrolledSubjs[[#This Row],[CSubjID]], tblClassSubjs[CSubjID],tblClassSubjs[ClassID]),tblClasses[ClassID],tblClasses[STermID])</f>
        <v>6</v>
      </c>
      <c r="T1195" t="str">
        <f>LOOKUP(S1195,tblSchoolTerms[STermID],tblSchoolTerms[SemesterID]&amp;" Semester "&amp;tblSchoolTerms[SchoolYear])</f>
        <v>1 Semester S.Y. 2016-2017</v>
      </c>
      <c r="W11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195" t="e">
        <f t="array" ref="Y1195">INDEX(tblEnrolledStuds[EStudID],MATCH(tblEnrolledSubjs[[#This Row],[EStudID]]&amp;S1195,tblEnrolledStuds[AdmissionStatusID]&amp;tblEnrolledStuds[StudID],0))</f>
        <v>#N/A</v>
      </c>
    </row>
    <row r="1196" spans="2:25" x14ac:dyDescent="0.25">
      <c r="B1196">
        <v>1194</v>
      </c>
      <c r="C1196">
        <v>325</v>
      </c>
      <c r="D1196">
        <v>150</v>
      </c>
      <c r="G1196">
        <v>20</v>
      </c>
      <c r="H1196" t="s">
        <v>85</v>
      </c>
      <c r="I1196" t="s">
        <v>86</v>
      </c>
      <c r="J1196" t="s">
        <v>336</v>
      </c>
      <c r="P1196" t="str">
        <f t="shared" si="22"/>
        <v>(NULL,"325","150"),</v>
      </c>
      <c r="Q1196" t="str">
        <f>TextJoin(tblEnrolledSubjs[[#This Row],[CSubjID]:[EStudID]],"Value")</f>
        <v>"325","150"</v>
      </c>
      <c r="S1196">
        <f>LOOKUP(LOOKUP(tblEnrolledSubjs[[#This Row],[CSubjID]], tblClassSubjs[CSubjID],tblClassSubjs[ClassID]),tblClasses[ClassID],tblClasses[STermID])</f>
        <v>6</v>
      </c>
      <c r="T1196" t="str">
        <f>LOOKUP(S1196,tblSchoolTerms[STermID],tblSchoolTerms[SemesterID]&amp;" Semester "&amp;tblSchoolTerms[SchoolYear])</f>
        <v>1 Semester S.Y. 2016-2017</v>
      </c>
      <c r="W11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6" t="e">
        <f t="array" ref="Y1196">INDEX(tblEnrolledStuds[EStudID],MATCH(tblEnrolledSubjs[[#This Row],[EStudID]]&amp;S1196,tblEnrolledStuds[AdmissionStatusID]&amp;tblEnrolledStuds[StudID],0))</f>
        <v>#N/A</v>
      </c>
    </row>
    <row r="1197" spans="2:25" x14ac:dyDescent="0.25">
      <c r="B1197">
        <v>1195</v>
      </c>
      <c r="C1197">
        <v>325</v>
      </c>
      <c r="D1197">
        <v>152</v>
      </c>
      <c r="P1197" t="str">
        <f t="shared" si="22"/>
        <v>(NULL,"325","152"),</v>
      </c>
      <c r="Q1197" t="str">
        <f>TextJoin(tblEnrolledSubjs[[#This Row],[CSubjID]:[EStudID]],"Value")</f>
        <v>"325","152"</v>
      </c>
      <c r="S1197">
        <f>LOOKUP(LOOKUP(tblEnrolledSubjs[[#This Row],[CSubjID]], tblClassSubjs[CSubjID],tblClassSubjs[ClassID]),tblClasses[ClassID],tblClasses[STermID])</f>
        <v>6</v>
      </c>
      <c r="T1197" t="str">
        <f>LOOKUP(S1197,tblSchoolTerms[STermID],tblSchoolTerms[SemesterID]&amp;" Semester "&amp;tblSchoolTerms[SchoolYear])</f>
        <v>1 Semester S.Y. 2016-2017</v>
      </c>
      <c r="W11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7" t="e">
        <f t="array" ref="Y1197">INDEX(tblEnrolledStuds[EStudID],MATCH(tblEnrolledSubjs[[#This Row],[EStudID]]&amp;S1197,tblEnrolledStuds[AdmissionStatusID]&amp;tblEnrolledStuds[StudID],0))</f>
        <v>#N/A</v>
      </c>
    </row>
    <row r="1198" spans="2:25" x14ac:dyDescent="0.25">
      <c r="B1198">
        <v>1196</v>
      </c>
      <c r="C1198">
        <v>325</v>
      </c>
      <c r="D1198">
        <v>153</v>
      </c>
      <c r="P1198" t="str">
        <f t="shared" si="22"/>
        <v>(NULL,"325","153"),</v>
      </c>
      <c r="Q1198" t="str">
        <f>TextJoin(tblEnrolledSubjs[[#This Row],[CSubjID]:[EStudID]],"Value")</f>
        <v>"325","153"</v>
      </c>
      <c r="S1198">
        <f>LOOKUP(LOOKUP(tblEnrolledSubjs[[#This Row],[CSubjID]], tblClassSubjs[CSubjID],tblClassSubjs[ClassID]),tblClasses[ClassID],tblClasses[STermID])</f>
        <v>6</v>
      </c>
      <c r="T1198" t="str">
        <f>LOOKUP(S1198,tblSchoolTerms[STermID],tblSchoolTerms[SemesterID]&amp;" Semester "&amp;tblSchoolTerms[SchoolYear])</f>
        <v>1 Semester S.Y. 2016-2017</v>
      </c>
      <c r="W11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8" t="e">
        <f t="array" ref="Y1198">INDEX(tblEnrolledStuds[EStudID],MATCH(tblEnrolledSubjs[[#This Row],[EStudID]]&amp;S1198,tblEnrolledStuds[AdmissionStatusID]&amp;tblEnrolledStuds[StudID],0))</f>
        <v>#N/A</v>
      </c>
    </row>
    <row r="1199" spans="2:25" x14ac:dyDescent="0.25">
      <c r="B1199">
        <v>1197</v>
      </c>
      <c r="C1199">
        <v>325</v>
      </c>
      <c r="D1199">
        <v>146</v>
      </c>
      <c r="P1199" t="str">
        <f t="shared" si="22"/>
        <v>(NULL,"325","146"),</v>
      </c>
      <c r="Q1199" t="str">
        <f>TextJoin(tblEnrolledSubjs[[#This Row],[CSubjID]:[EStudID]],"Value")</f>
        <v>"325","146"</v>
      </c>
      <c r="S1199">
        <f>LOOKUP(LOOKUP(tblEnrolledSubjs[[#This Row],[CSubjID]], tblClassSubjs[CSubjID],tblClassSubjs[ClassID]),tblClasses[ClassID],tblClasses[STermID])</f>
        <v>6</v>
      </c>
      <c r="T1199" t="str">
        <f>LOOKUP(S1199,tblSchoolTerms[STermID],tblSchoolTerms[SemesterID]&amp;" Semester "&amp;tblSchoolTerms[SchoolYear])</f>
        <v>1 Semester S.Y. 2016-2017</v>
      </c>
      <c r="W11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199" t="e">
        <f t="array" ref="Y1199">INDEX(tblEnrolledStuds[EStudID],MATCH(tblEnrolledSubjs[[#This Row],[EStudID]]&amp;S1199,tblEnrolledStuds[AdmissionStatusID]&amp;tblEnrolledStuds[StudID],0))</f>
        <v>#N/A</v>
      </c>
    </row>
    <row r="1200" spans="2:25" x14ac:dyDescent="0.25">
      <c r="B1200">
        <v>1198</v>
      </c>
      <c r="C1200">
        <v>326</v>
      </c>
      <c r="D1200">
        <v>140</v>
      </c>
      <c r="P1200" t="str">
        <f t="shared" si="22"/>
        <v>(NULL,"326","140"),</v>
      </c>
      <c r="Q1200" t="str">
        <f>TextJoin(tblEnrolledSubjs[[#This Row],[CSubjID]:[EStudID]],"Value")</f>
        <v>"326","140"</v>
      </c>
      <c r="S1200">
        <f>LOOKUP(LOOKUP(tblEnrolledSubjs[[#This Row],[CSubjID]], tblClassSubjs[CSubjID],tblClassSubjs[ClassID]),tblClasses[ClassID],tblClasses[STermID])</f>
        <v>6</v>
      </c>
      <c r="T1200" t="str">
        <f>LOOKUP(S1200,tblSchoolTerms[STermID],tblSchoolTerms[SemesterID]&amp;" Semester "&amp;tblSchoolTerms[SchoolYear])</f>
        <v>1 Semester S.Y. 2016-2017</v>
      </c>
      <c r="W12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00" t="e">
        <f t="array" ref="Y1200">INDEX(tblEnrolledStuds[EStudID],MATCH(tblEnrolledSubjs[[#This Row],[EStudID]]&amp;S1200,tblEnrolledStuds[AdmissionStatusID]&amp;tblEnrolledStuds[StudID],0))</f>
        <v>#N/A</v>
      </c>
    </row>
    <row r="1201" spans="2:25" x14ac:dyDescent="0.25">
      <c r="B1201">
        <v>1199</v>
      </c>
      <c r="C1201">
        <v>326</v>
      </c>
      <c r="D1201">
        <v>141</v>
      </c>
      <c r="P1201" t="str">
        <f t="shared" si="22"/>
        <v>(NULL,"326","141"),</v>
      </c>
      <c r="Q1201" t="str">
        <f>TextJoin(tblEnrolledSubjs[[#This Row],[CSubjID]:[EStudID]],"Value")</f>
        <v>"326","141"</v>
      </c>
      <c r="S1201">
        <f>LOOKUP(LOOKUP(tblEnrolledSubjs[[#This Row],[CSubjID]], tblClassSubjs[CSubjID],tblClassSubjs[ClassID]),tblClasses[ClassID],tblClasses[STermID])</f>
        <v>6</v>
      </c>
      <c r="T1201" t="str">
        <f>LOOKUP(S1201,tblSchoolTerms[STermID],tblSchoolTerms[SemesterID]&amp;" Semester "&amp;tblSchoolTerms[SchoolYear])</f>
        <v>1 Semester S.Y. 2016-2017</v>
      </c>
      <c r="W12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1" t="e">
        <f t="array" ref="Y1201">INDEX(tblEnrolledStuds[EStudID],MATCH(tblEnrolledSubjs[[#This Row],[EStudID]]&amp;S1201,tblEnrolledStuds[AdmissionStatusID]&amp;tblEnrolledStuds[StudID],0))</f>
        <v>#N/A</v>
      </c>
    </row>
    <row r="1202" spans="2:25" x14ac:dyDescent="0.25">
      <c r="B1202">
        <v>1200</v>
      </c>
      <c r="C1202">
        <v>326</v>
      </c>
      <c r="D1202">
        <v>142</v>
      </c>
      <c r="P1202" t="str">
        <f t="shared" si="22"/>
        <v>(NULL,"326","142"),</v>
      </c>
      <c r="Q1202" t="str">
        <f>TextJoin(tblEnrolledSubjs[[#This Row],[CSubjID]:[EStudID]],"Value")</f>
        <v>"326","142"</v>
      </c>
      <c r="S1202">
        <f>LOOKUP(LOOKUP(tblEnrolledSubjs[[#This Row],[CSubjID]], tblClassSubjs[CSubjID],tblClassSubjs[ClassID]),tblClasses[ClassID],tblClasses[STermID])</f>
        <v>6</v>
      </c>
      <c r="T1202" t="str">
        <f>LOOKUP(S1202,tblSchoolTerms[STermID],tblSchoolTerms[SemesterID]&amp;" Semester "&amp;tblSchoolTerms[SchoolYear])</f>
        <v>1 Semester S.Y. 2016-2017</v>
      </c>
      <c r="W12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2" t="e">
        <f t="array" ref="Y1202">INDEX(tblEnrolledStuds[EStudID],MATCH(tblEnrolledSubjs[[#This Row],[EStudID]]&amp;S1202,tblEnrolledStuds[AdmissionStatusID]&amp;tblEnrolledStuds[StudID],0))</f>
        <v>#N/A</v>
      </c>
    </row>
    <row r="1203" spans="2:25" x14ac:dyDescent="0.25">
      <c r="B1203">
        <v>1201</v>
      </c>
      <c r="C1203">
        <v>326</v>
      </c>
      <c r="D1203">
        <v>144</v>
      </c>
      <c r="P1203" t="str">
        <f t="shared" si="22"/>
        <v>(NULL,"326","144"),</v>
      </c>
      <c r="Q1203" t="str">
        <f>TextJoin(tblEnrolledSubjs[[#This Row],[CSubjID]:[EStudID]],"Value")</f>
        <v>"326","144"</v>
      </c>
      <c r="S1203">
        <f>LOOKUP(LOOKUP(tblEnrolledSubjs[[#This Row],[CSubjID]], tblClassSubjs[CSubjID],tblClassSubjs[ClassID]),tblClasses[ClassID],tblClasses[STermID])</f>
        <v>6</v>
      </c>
      <c r="T1203" t="str">
        <f>LOOKUP(S1203,tblSchoolTerms[STermID],tblSchoolTerms[SemesterID]&amp;" Semester "&amp;tblSchoolTerms[SchoolYear])</f>
        <v>1 Semester S.Y. 2016-2017</v>
      </c>
      <c r="W12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3" t="e">
        <f t="array" ref="Y1203">INDEX(tblEnrolledStuds[EStudID],MATCH(tblEnrolledSubjs[[#This Row],[EStudID]]&amp;S1203,tblEnrolledStuds[AdmissionStatusID]&amp;tblEnrolledStuds[StudID],0))</f>
        <v>#N/A</v>
      </c>
    </row>
    <row r="1204" spans="2:25" x14ac:dyDescent="0.25">
      <c r="B1204">
        <v>1202</v>
      </c>
      <c r="C1204">
        <v>326</v>
      </c>
      <c r="D1204">
        <v>145</v>
      </c>
      <c r="P1204" t="str">
        <f t="shared" si="22"/>
        <v>(NULL,"326","145"),</v>
      </c>
      <c r="Q1204" t="str">
        <f>TextJoin(tblEnrolledSubjs[[#This Row],[CSubjID]:[EStudID]],"Value")</f>
        <v>"326","145"</v>
      </c>
      <c r="S1204">
        <f>LOOKUP(LOOKUP(tblEnrolledSubjs[[#This Row],[CSubjID]], tblClassSubjs[CSubjID],tblClassSubjs[ClassID]),tblClasses[ClassID],tblClasses[STermID])</f>
        <v>6</v>
      </c>
      <c r="T1204" t="str">
        <f>LOOKUP(S1204,tblSchoolTerms[STermID],tblSchoolTerms[SemesterID]&amp;" Semester "&amp;tblSchoolTerms[SchoolYear])</f>
        <v>1 Semester S.Y. 2016-2017</v>
      </c>
      <c r="W12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4" t="e">
        <f t="array" ref="Y1204">INDEX(tblEnrolledStuds[EStudID],MATCH(tblEnrolledSubjs[[#This Row],[EStudID]]&amp;S1204,tblEnrolledStuds[AdmissionStatusID]&amp;tblEnrolledStuds[StudID],0))</f>
        <v>#N/A</v>
      </c>
    </row>
    <row r="1205" spans="2:25" x14ac:dyDescent="0.25">
      <c r="B1205">
        <v>1203</v>
      </c>
      <c r="C1205">
        <v>326</v>
      </c>
      <c r="D1205">
        <v>147</v>
      </c>
      <c r="P1205" t="str">
        <f t="shared" si="22"/>
        <v>(NULL,"326","147"),</v>
      </c>
      <c r="Q1205" t="str">
        <f>TextJoin(tblEnrolledSubjs[[#This Row],[CSubjID]:[EStudID]],"Value")</f>
        <v>"326","147"</v>
      </c>
      <c r="S1205">
        <f>LOOKUP(LOOKUP(tblEnrolledSubjs[[#This Row],[CSubjID]], tblClassSubjs[CSubjID],tblClassSubjs[ClassID]),tblClasses[ClassID],tblClasses[STermID])</f>
        <v>6</v>
      </c>
      <c r="T1205" t="str">
        <f>LOOKUP(S1205,tblSchoolTerms[STermID],tblSchoolTerms[SemesterID]&amp;" Semester "&amp;tblSchoolTerms[SchoolYear])</f>
        <v>1 Semester S.Y. 2016-2017</v>
      </c>
      <c r="W12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05" t="e">
        <f t="array" ref="Y1205">INDEX(tblEnrolledStuds[EStudID],MATCH(tblEnrolledSubjs[[#This Row],[EStudID]]&amp;S1205,tblEnrolledStuds[AdmissionStatusID]&amp;tblEnrolledStuds[StudID],0))</f>
        <v>#N/A</v>
      </c>
    </row>
    <row r="1206" spans="2:25" x14ac:dyDescent="0.25">
      <c r="B1206">
        <v>1204</v>
      </c>
      <c r="C1206">
        <v>326</v>
      </c>
      <c r="D1206">
        <v>148</v>
      </c>
      <c r="P1206" t="str">
        <f t="shared" si="22"/>
        <v>(NULL,"326","148"),</v>
      </c>
      <c r="Q1206" t="str">
        <f>TextJoin(tblEnrolledSubjs[[#This Row],[CSubjID]:[EStudID]],"Value")</f>
        <v>"326","148"</v>
      </c>
      <c r="S1206">
        <f>LOOKUP(LOOKUP(tblEnrolledSubjs[[#This Row],[CSubjID]], tblClassSubjs[CSubjID],tblClassSubjs[ClassID]),tblClasses[ClassID],tblClasses[STermID])</f>
        <v>6</v>
      </c>
      <c r="T1206" t="str">
        <f>LOOKUP(S1206,tblSchoolTerms[STermID],tblSchoolTerms[SemesterID]&amp;" Semester "&amp;tblSchoolTerms[SchoolYear])</f>
        <v>1 Semester S.Y. 2016-2017</v>
      </c>
      <c r="W12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06" t="e">
        <f t="array" ref="Y1206">INDEX(tblEnrolledStuds[EStudID],MATCH(tblEnrolledSubjs[[#This Row],[EStudID]]&amp;S1206,tblEnrolledStuds[AdmissionStatusID]&amp;tblEnrolledStuds[StudID],0))</f>
        <v>#N/A</v>
      </c>
    </row>
    <row r="1207" spans="2:25" x14ac:dyDescent="0.25">
      <c r="B1207">
        <v>1205</v>
      </c>
      <c r="C1207">
        <v>326</v>
      </c>
      <c r="D1207">
        <v>150</v>
      </c>
      <c r="P1207" t="str">
        <f t="shared" si="22"/>
        <v>(NULL,"326","150"),</v>
      </c>
      <c r="Q1207" t="str">
        <f>TextJoin(tblEnrolledSubjs[[#This Row],[CSubjID]:[EStudID]],"Value")</f>
        <v>"326","150"</v>
      </c>
      <c r="S1207">
        <f>LOOKUP(LOOKUP(tblEnrolledSubjs[[#This Row],[CSubjID]], tblClassSubjs[CSubjID],tblClassSubjs[ClassID]),tblClasses[ClassID],tblClasses[STermID])</f>
        <v>6</v>
      </c>
      <c r="T1207" t="str">
        <f>LOOKUP(S1207,tblSchoolTerms[STermID],tblSchoolTerms[SemesterID]&amp;" Semester "&amp;tblSchoolTerms[SchoolYear])</f>
        <v>1 Semester S.Y. 2016-2017</v>
      </c>
      <c r="W12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7" t="e">
        <f t="array" ref="Y1207">INDEX(tblEnrolledStuds[EStudID],MATCH(tblEnrolledSubjs[[#This Row],[EStudID]]&amp;S1207,tblEnrolledStuds[AdmissionStatusID]&amp;tblEnrolledStuds[StudID],0))</f>
        <v>#N/A</v>
      </c>
    </row>
    <row r="1208" spans="2:25" x14ac:dyDescent="0.25">
      <c r="B1208">
        <v>1206</v>
      </c>
      <c r="C1208">
        <v>326</v>
      </c>
      <c r="D1208">
        <v>152</v>
      </c>
      <c r="P1208" t="str">
        <f t="shared" si="22"/>
        <v>(NULL,"326","152"),</v>
      </c>
      <c r="Q1208" t="str">
        <f>TextJoin(tblEnrolledSubjs[[#This Row],[CSubjID]:[EStudID]],"Value")</f>
        <v>"326","152"</v>
      </c>
      <c r="S1208">
        <f>LOOKUP(LOOKUP(tblEnrolledSubjs[[#This Row],[CSubjID]], tblClassSubjs[CSubjID],tblClassSubjs[ClassID]),tblClasses[ClassID],tblClasses[STermID])</f>
        <v>6</v>
      </c>
      <c r="T1208" t="str">
        <f>LOOKUP(S1208,tblSchoolTerms[STermID],tblSchoolTerms[SemesterID]&amp;" Semester "&amp;tblSchoolTerms[SchoolYear])</f>
        <v>1 Semester S.Y. 2016-2017</v>
      </c>
      <c r="W12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8" t="e">
        <f t="array" ref="Y1208">INDEX(tblEnrolledStuds[EStudID],MATCH(tblEnrolledSubjs[[#This Row],[EStudID]]&amp;S1208,tblEnrolledStuds[AdmissionStatusID]&amp;tblEnrolledStuds[StudID],0))</f>
        <v>#N/A</v>
      </c>
    </row>
    <row r="1209" spans="2:25" x14ac:dyDescent="0.25">
      <c r="B1209">
        <v>1207</v>
      </c>
      <c r="C1209">
        <v>326</v>
      </c>
      <c r="D1209">
        <v>153</v>
      </c>
      <c r="P1209" t="str">
        <f t="shared" si="22"/>
        <v>(NULL,"326","153"),</v>
      </c>
      <c r="Q1209" t="str">
        <f>TextJoin(tblEnrolledSubjs[[#This Row],[CSubjID]:[EStudID]],"Value")</f>
        <v>"326","153"</v>
      </c>
      <c r="S1209">
        <f>LOOKUP(LOOKUP(tblEnrolledSubjs[[#This Row],[CSubjID]], tblClassSubjs[CSubjID],tblClassSubjs[ClassID]),tblClasses[ClassID],tblClasses[STermID])</f>
        <v>6</v>
      </c>
      <c r="T1209" t="str">
        <f>LOOKUP(S1209,tblSchoolTerms[STermID],tblSchoolTerms[SemesterID]&amp;" Semester "&amp;tblSchoolTerms[SchoolYear])</f>
        <v>1 Semester S.Y. 2016-2017</v>
      </c>
      <c r="W12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09" t="e">
        <f t="array" ref="Y1209">INDEX(tblEnrolledStuds[EStudID],MATCH(tblEnrolledSubjs[[#This Row],[EStudID]]&amp;S1209,tblEnrolledStuds[AdmissionStatusID]&amp;tblEnrolledStuds[StudID],0))</f>
        <v>#N/A</v>
      </c>
    </row>
    <row r="1210" spans="2:25" x14ac:dyDescent="0.25">
      <c r="B1210">
        <v>1208</v>
      </c>
      <c r="C1210">
        <v>326</v>
      </c>
      <c r="D1210">
        <v>146</v>
      </c>
      <c r="P1210" t="str">
        <f t="shared" si="22"/>
        <v>(NULL,"326","146"),</v>
      </c>
      <c r="Q1210" t="str">
        <f>TextJoin(tblEnrolledSubjs[[#This Row],[CSubjID]:[EStudID]],"Value")</f>
        <v>"326","146"</v>
      </c>
      <c r="S1210">
        <f>LOOKUP(LOOKUP(tblEnrolledSubjs[[#This Row],[CSubjID]], tblClassSubjs[CSubjID],tblClassSubjs[ClassID]),tblClasses[ClassID],tblClasses[STermID])</f>
        <v>6</v>
      </c>
      <c r="T1210" t="str">
        <f>LOOKUP(S1210,tblSchoolTerms[STermID],tblSchoolTerms[SemesterID]&amp;" Semester "&amp;tblSchoolTerms[SchoolYear])</f>
        <v>1 Semester S.Y. 2016-2017</v>
      </c>
      <c r="W12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0" t="e">
        <f t="array" ref="Y1210">INDEX(tblEnrolledStuds[EStudID],MATCH(tblEnrolledSubjs[[#This Row],[EStudID]]&amp;S1210,tblEnrolledStuds[AdmissionStatusID]&amp;tblEnrolledStuds[StudID],0))</f>
        <v>#N/A</v>
      </c>
    </row>
    <row r="1211" spans="2:25" x14ac:dyDescent="0.25">
      <c r="B1211">
        <v>1209</v>
      </c>
      <c r="C1211">
        <v>327</v>
      </c>
      <c r="D1211">
        <v>140</v>
      </c>
      <c r="P1211" t="str">
        <f t="shared" si="22"/>
        <v>(NULL,"327","140"),</v>
      </c>
      <c r="Q1211" t="str">
        <f>TextJoin(tblEnrolledSubjs[[#This Row],[CSubjID]:[EStudID]],"Value")</f>
        <v>"327","140"</v>
      </c>
      <c r="S1211">
        <f>LOOKUP(LOOKUP(tblEnrolledSubjs[[#This Row],[CSubjID]], tblClassSubjs[CSubjID],tblClassSubjs[ClassID]),tblClasses[ClassID],tblClasses[STermID])</f>
        <v>6</v>
      </c>
      <c r="T1211" t="str">
        <f>LOOKUP(S1211,tblSchoolTerms[STermID],tblSchoolTerms[SemesterID]&amp;" Semester "&amp;tblSchoolTerms[SchoolYear])</f>
        <v>1 Semester S.Y. 2016-2017</v>
      </c>
      <c r="W12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11" t="e">
        <f t="array" ref="Y1211">INDEX(tblEnrolledStuds[EStudID],MATCH(tblEnrolledSubjs[[#This Row],[EStudID]]&amp;S1211,tblEnrolledStuds[AdmissionStatusID]&amp;tblEnrolledStuds[StudID],0))</f>
        <v>#N/A</v>
      </c>
    </row>
    <row r="1212" spans="2:25" x14ac:dyDescent="0.25">
      <c r="B1212">
        <v>1210</v>
      </c>
      <c r="C1212">
        <v>327</v>
      </c>
      <c r="D1212">
        <v>141</v>
      </c>
      <c r="P1212" t="str">
        <f t="shared" si="22"/>
        <v>(NULL,"327","141"),</v>
      </c>
      <c r="Q1212" t="str">
        <f>TextJoin(tblEnrolledSubjs[[#This Row],[CSubjID]:[EStudID]],"Value")</f>
        <v>"327","141"</v>
      </c>
      <c r="S1212">
        <f>LOOKUP(LOOKUP(tblEnrolledSubjs[[#This Row],[CSubjID]], tblClassSubjs[CSubjID],tblClassSubjs[ClassID]),tblClasses[ClassID],tblClasses[STermID])</f>
        <v>6</v>
      </c>
      <c r="T1212" t="str">
        <f>LOOKUP(S1212,tblSchoolTerms[STermID],tblSchoolTerms[SemesterID]&amp;" Semester "&amp;tblSchoolTerms[SchoolYear])</f>
        <v>1 Semester S.Y. 2016-2017</v>
      </c>
      <c r="W12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2" t="e">
        <f t="array" ref="Y1212">INDEX(tblEnrolledStuds[EStudID],MATCH(tblEnrolledSubjs[[#This Row],[EStudID]]&amp;S1212,tblEnrolledStuds[AdmissionStatusID]&amp;tblEnrolledStuds[StudID],0))</f>
        <v>#N/A</v>
      </c>
    </row>
    <row r="1213" spans="2:25" x14ac:dyDescent="0.25">
      <c r="B1213">
        <v>1211</v>
      </c>
      <c r="C1213">
        <v>327</v>
      </c>
      <c r="D1213">
        <v>142</v>
      </c>
      <c r="P1213" t="str">
        <f t="shared" si="22"/>
        <v>(NULL,"327","142"),</v>
      </c>
      <c r="Q1213" t="str">
        <f>TextJoin(tblEnrolledSubjs[[#This Row],[CSubjID]:[EStudID]],"Value")</f>
        <v>"327","142"</v>
      </c>
      <c r="S1213">
        <f>LOOKUP(LOOKUP(tblEnrolledSubjs[[#This Row],[CSubjID]], tblClassSubjs[CSubjID],tblClassSubjs[ClassID]),tblClasses[ClassID],tblClasses[STermID])</f>
        <v>6</v>
      </c>
      <c r="T1213" t="str">
        <f>LOOKUP(S1213,tblSchoolTerms[STermID],tblSchoolTerms[SemesterID]&amp;" Semester "&amp;tblSchoolTerms[SchoolYear])</f>
        <v>1 Semester S.Y. 2016-2017</v>
      </c>
      <c r="W12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3" t="e">
        <f t="array" ref="Y1213">INDEX(tblEnrolledStuds[EStudID],MATCH(tblEnrolledSubjs[[#This Row],[EStudID]]&amp;S1213,tblEnrolledStuds[AdmissionStatusID]&amp;tblEnrolledStuds[StudID],0))</f>
        <v>#N/A</v>
      </c>
    </row>
    <row r="1214" spans="2:25" x14ac:dyDescent="0.25">
      <c r="B1214">
        <v>1212</v>
      </c>
      <c r="C1214">
        <v>327</v>
      </c>
      <c r="D1214">
        <v>144</v>
      </c>
      <c r="P1214" t="str">
        <f t="shared" si="22"/>
        <v>(NULL,"327","144"),</v>
      </c>
      <c r="Q1214" t="str">
        <f>TextJoin(tblEnrolledSubjs[[#This Row],[CSubjID]:[EStudID]],"Value")</f>
        <v>"327","144"</v>
      </c>
      <c r="S1214">
        <f>LOOKUP(LOOKUP(tblEnrolledSubjs[[#This Row],[CSubjID]], tblClassSubjs[CSubjID],tblClassSubjs[ClassID]),tblClasses[ClassID],tblClasses[STermID])</f>
        <v>6</v>
      </c>
      <c r="T1214" t="str">
        <f>LOOKUP(S1214,tblSchoolTerms[STermID],tblSchoolTerms[SemesterID]&amp;" Semester "&amp;tblSchoolTerms[SchoolYear])</f>
        <v>1 Semester S.Y. 2016-2017</v>
      </c>
      <c r="W12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4" t="e">
        <f t="array" ref="Y1214">INDEX(tblEnrolledStuds[EStudID],MATCH(tblEnrolledSubjs[[#This Row],[EStudID]]&amp;S1214,tblEnrolledStuds[AdmissionStatusID]&amp;tblEnrolledStuds[StudID],0))</f>
        <v>#N/A</v>
      </c>
    </row>
    <row r="1215" spans="2:25" x14ac:dyDescent="0.25">
      <c r="B1215">
        <v>1213</v>
      </c>
      <c r="C1215">
        <v>327</v>
      </c>
      <c r="D1215">
        <v>145</v>
      </c>
      <c r="P1215" t="str">
        <f t="shared" si="22"/>
        <v>(NULL,"327","145"),</v>
      </c>
      <c r="Q1215" t="str">
        <f>TextJoin(tblEnrolledSubjs[[#This Row],[CSubjID]:[EStudID]],"Value")</f>
        <v>"327","145"</v>
      </c>
      <c r="S1215">
        <f>LOOKUP(LOOKUP(tblEnrolledSubjs[[#This Row],[CSubjID]], tblClassSubjs[CSubjID],tblClassSubjs[ClassID]),tblClasses[ClassID],tblClasses[STermID])</f>
        <v>6</v>
      </c>
      <c r="T1215" t="str">
        <f>LOOKUP(S1215,tblSchoolTerms[STermID],tblSchoolTerms[SemesterID]&amp;" Semester "&amp;tblSchoolTerms[SchoolYear])</f>
        <v>1 Semester S.Y. 2016-2017</v>
      </c>
      <c r="W12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5" t="e">
        <f t="array" ref="Y1215">INDEX(tblEnrolledStuds[EStudID],MATCH(tblEnrolledSubjs[[#This Row],[EStudID]]&amp;S1215,tblEnrolledStuds[AdmissionStatusID]&amp;tblEnrolledStuds[StudID],0))</f>
        <v>#N/A</v>
      </c>
    </row>
    <row r="1216" spans="2:25" x14ac:dyDescent="0.25">
      <c r="B1216">
        <v>1214</v>
      </c>
      <c r="C1216">
        <v>327</v>
      </c>
      <c r="D1216">
        <v>147</v>
      </c>
      <c r="P1216" t="str">
        <f t="shared" si="22"/>
        <v>(NULL,"327","147"),</v>
      </c>
      <c r="Q1216" t="str">
        <f>TextJoin(tblEnrolledSubjs[[#This Row],[CSubjID]:[EStudID]],"Value")</f>
        <v>"327","147"</v>
      </c>
      <c r="S1216">
        <f>LOOKUP(LOOKUP(tblEnrolledSubjs[[#This Row],[CSubjID]], tblClassSubjs[CSubjID],tblClassSubjs[ClassID]),tblClasses[ClassID],tblClasses[STermID])</f>
        <v>6</v>
      </c>
      <c r="T1216" t="str">
        <f>LOOKUP(S1216,tblSchoolTerms[STermID],tblSchoolTerms[SemesterID]&amp;" Semester "&amp;tblSchoolTerms[SchoolYear])</f>
        <v>1 Semester S.Y. 2016-2017</v>
      </c>
      <c r="W12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16" t="e">
        <f t="array" ref="Y1216">INDEX(tblEnrolledStuds[EStudID],MATCH(tblEnrolledSubjs[[#This Row],[EStudID]]&amp;S1216,tblEnrolledStuds[AdmissionStatusID]&amp;tblEnrolledStuds[StudID],0))</f>
        <v>#N/A</v>
      </c>
    </row>
    <row r="1217" spans="2:25" x14ac:dyDescent="0.25">
      <c r="B1217">
        <v>1215</v>
      </c>
      <c r="C1217">
        <v>327</v>
      </c>
      <c r="D1217">
        <v>148</v>
      </c>
      <c r="P1217" t="str">
        <f t="shared" si="22"/>
        <v>(NULL,"327","148"),</v>
      </c>
      <c r="Q1217" t="str">
        <f>TextJoin(tblEnrolledSubjs[[#This Row],[CSubjID]:[EStudID]],"Value")</f>
        <v>"327","148"</v>
      </c>
      <c r="S1217">
        <f>LOOKUP(LOOKUP(tblEnrolledSubjs[[#This Row],[CSubjID]], tblClassSubjs[CSubjID],tblClassSubjs[ClassID]),tblClasses[ClassID],tblClasses[STermID])</f>
        <v>6</v>
      </c>
      <c r="T1217" t="str">
        <f>LOOKUP(S1217,tblSchoolTerms[STermID],tblSchoolTerms[SemesterID]&amp;" Semester "&amp;tblSchoolTerms[SchoolYear])</f>
        <v>1 Semester S.Y. 2016-2017</v>
      </c>
      <c r="W12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17" t="e">
        <f t="array" ref="Y1217">INDEX(tblEnrolledStuds[EStudID],MATCH(tblEnrolledSubjs[[#This Row],[EStudID]]&amp;S1217,tblEnrolledStuds[AdmissionStatusID]&amp;tblEnrolledStuds[StudID],0))</f>
        <v>#N/A</v>
      </c>
    </row>
    <row r="1218" spans="2:25" x14ac:dyDescent="0.25">
      <c r="B1218">
        <v>1216</v>
      </c>
      <c r="C1218">
        <v>327</v>
      </c>
      <c r="D1218">
        <v>150</v>
      </c>
      <c r="P1218" t="str">
        <f t="shared" si="22"/>
        <v>(NULL,"327","150"),</v>
      </c>
      <c r="Q1218" t="str">
        <f>TextJoin(tblEnrolledSubjs[[#This Row],[CSubjID]:[EStudID]],"Value")</f>
        <v>"327","150"</v>
      </c>
      <c r="S1218">
        <f>LOOKUP(LOOKUP(tblEnrolledSubjs[[#This Row],[CSubjID]], tblClassSubjs[CSubjID],tblClassSubjs[ClassID]),tblClasses[ClassID],tblClasses[STermID])</f>
        <v>6</v>
      </c>
      <c r="T1218" t="str">
        <f>LOOKUP(S1218,tblSchoolTerms[STermID],tblSchoolTerms[SemesterID]&amp;" Semester "&amp;tblSchoolTerms[SchoolYear])</f>
        <v>1 Semester S.Y. 2016-2017</v>
      </c>
      <c r="W12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8" t="e">
        <f t="array" ref="Y1218">INDEX(tblEnrolledStuds[EStudID],MATCH(tblEnrolledSubjs[[#This Row],[EStudID]]&amp;S1218,tblEnrolledStuds[AdmissionStatusID]&amp;tblEnrolledStuds[StudID],0))</f>
        <v>#N/A</v>
      </c>
    </row>
    <row r="1219" spans="2:25" x14ac:dyDescent="0.25">
      <c r="B1219">
        <v>1217</v>
      </c>
      <c r="C1219">
        <v>327</v>
      </c>
      <c r="D1219">
        <v>152</v>
      </c>
      <c r="P1219" t="str">
        <f t="shared" si="22"/>
        <v>(NULL,"327","152"),</v>
      </c>
      <c r="Q1219" t="str">
        <f>TextJoin(tblEnrolledSubjs[[#This Row],[CSubjID]:[EStudID]],"Value")</f>
        <v>"327","152"</v>
      </c>
      <c r="S1219">
        <f>LOOKUP(LOOKUP(tblEnrolledSubjs[[#This Row],[CSubjID]], tblClassSubjs[CSubjID],tblClassSubjs[ClassID]),tblClasses[ClassID],tblClasses[STermID])</f>
        <v>6</v>
      </c>
      <c r="T1219" t="str">
        <f>LOOKUP(S1219,tblSchoolTerms[STermID],tblSchoolTerms[SemesterID]&amp;" Semester "&amp;tblSchoolTerms[SchoolYear])</f>
        <v>1 Semester S.Y. 2016-2017</v>
      </c>
      <c r="W12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19" t="e">
        <f t="array" ref="Y1219">INDEX(tblEnrolledStuds[EStudID],MATCH(tblEnrolledSubjs[[#This Row],[EStudID]]&amp;S1219,tblEnrolledStuds[AdmissionStatusID]&amp;tblEnrolledStuds[StudID],0))</f>
        <v>#N/A</v>
      </c>
    </row>
    <row r="1220" spans="2:25" x14ac:dyDescent="0.25">
      <c r="B1220">
        <v>1218</v>
      </c>
      <c r="C1220">
        <v>327</v>
      </c>
      <c r="D1220">
        <v>153</v>
      </c>
      <c r="P1220" t="str">
        <f t="shared" ref="P1220:P1283" si="23">"(NULL,"&amp;Q1220&amp;")"&amp;IF(P1221&lt;&gt;"",",",";")</f>
        <v>(NULL,"327","153"),</v>
      </c>
      <c r="Q1220" t="str">
        <f>TextJoin(tblEnrolledSubjs[[#This Row],[CSubjID]:[EStudID]],"Value")</f>
        <v>"327","153"</v>
      </c>
      <c r="S1220">
        <f>LOOKUP(LOOKUP(tblEnrolledSubjs[[#This Row],[CSubjID]], tblClassSubjs[CSubjID],tblClassSubjs[ClassID]),tblClasses[ClassID],tblClasses[STermID])</f>
        <v>6</v>
      </c>
      <c r="T1220" t="str">
        <f>LOOKUP(S1220,tblSchoolTerms[STermID],tblSchoolTerms[SemesterID]&amp;" Semester "&amp;tblSchoolTerms[SchoolYear])</f>
        <v>1 Semester S.Y. 2016-2017</v>
      </c>
      <c r="W12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0" t="e">
        <f t="array" ref="Y1220">INDEX(tblEnrolledStuds[EStudID],MATCH(tblEnrolledSubjs[[#This Row],[EStudID]]&amp;S1220,tblEnrolledStuds[AdmissionStatusID]&amp;tblEnrolledStuds[StudID],0))</f>
        <v>#N/A</v>
      </c>
    </row>
    <row r="1221" spans="2:25" x14ac:dyDescent="0.25">
      <c r="B1221">
        <v>1219</v>
      </c>
      <c r="C1221">
        <v>327</v>
      </c>
      <c r="D1221">
        <v>146</v>
      </c>
      <c r="P1221" t="str">
        <f t="shared" si="23"/>
        <v>(NULL,"327","146"),</v>
      </c>
      <c r="Q1221" t="str">
        <f>TextJoin(tblEnrolledSubjs[[#This Row],[CSubjID]:[EStudID]],"Value")</f>
        <v>"327","146"</v>
      </c>
      <c r="S1221">
        <f>LOOKUP(LOOKUP(tblEnrolledSubjs[[#This Row],[CSubjID]], tblClassSubjs[CSubjID],tblClassSubjs[ClassID]),tblClasses[ClassID],tblClasses[STermID])</f>
        <v>6</v>
      </c>
      <c r="T1221" t="str">
        <f>LOOKUP(S1221,tblSchoolTerms[STermID],tblSchoolTerms[SemesterID]&amp;" Semester "&amp;tblSchoolTerms[SchoolYear])</f>
        <v>1 Semester S.Y. 2016-2017</v>
      </c>
      <c r="W12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1" t="e">
        <f t="array" ref="Y1221">INDEX(tblEnrolledStuds[EStudID],MATCH(tblEnrolledSubjs[[#This Row],[EStudID]]&amp;S1221,tblEnrolledStuds[AdmissionStatusID]&amp;tblEnrolledStuds[StudID],0))</f>
        <v>#N/A</v>
      </c>
    </row>
    <row r="1222" spans="2:25" x14ac:dyDescent="0.25">
      <c r="B1222">
        <v>1220</v>
      </c>
      <c r="C1222">
        <v>328</v>
      </c>
      <c r="D1222">
        <v>140</v>
      </c>
      <c r="P1222" t="str">
        <f t="shared" si="23"/>
        <v>(NULL,"328","140"),</v>
      </c>
      <c r="Q1222" t="str">
        <f>TextJoin(tblEnrolledSubjs[[#This Row],[CSubjID]:[EStudID]],"Value")</f>
        <v>"328","140"</v>
      </c>
      <c r="S1222">
        <f>LOOKUP(LOOKUP(tblEnrolledSubjs[[#This Row],[CSubjID]], tblClassSubjs[CSubjID],tblClassSubjs[ClassID]),tblClasses[ClassID],tblClasses[STermID])</f>
        <v>6</v>
      </c>
      <c r="T1222" t="str">
        <f>LOOKUP(S1222,tblSchoolTerms[STermID],tblSchoolTerms[SemesterID]&amp;" Semester "&amp;tblSchoolTerms[SchoolYear])</f>
        <v>1 Semester S.Y. 2016-2017</v>
      </c>
      <c r="W12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22" t="e">
        <f t="array" ref="Y1222">INDEX(tblEnrolledStuds[EStudID],MATCH(tblEnrolledSubjs[[#This Row],[EStudID]]&amp;S1222,tblEnrolledStuds[AdmissionStatusID]&amp;tblEnrolledStuds[StudID],0))</f>
        <v>#N/A</v>
      </c>
    </row>
    <row r="1223" spans="2:25" x14ac:dyDescent="0.25">
      <c r="B1223">
        <v>1221</v>
      </c>
      <c r="C1223">
        <v>328</v>
      </c>
      <c r="D1223">
        <v>141</v>
      </c>
      <c r="P1223" t="str">
        <f t="shared" si="23"/>
        <v>(NULL,"328","141"),</v>
      </c>
      <c r="Q1223" t="str">
        <f>TextJoin(tblEnrolledSubjs[[#This Row],[CSubjID]:[EStudID]],"Value")</f>
        <v>"328","141"</v>
      </c>
      <c r="S1223">
        <f>LOOKUP(LOOKUP(tblEnrolledSubjs[[#This Row],[CSubjID]], tblClassSubjs[CSubjID],tblClassSubjs[ClassID]),tblClasses[ClassID],tblClasses[STermID])</f>
        <v>6</v>
      </c>
      <c r="T1223" t="str">
        <f>LOOKUP(S1223,tblSchoolTerms[STermID],tblSchoolTerms[SemesterID]&amp;" Semester "&amp;tblSchoolTerms[SchoolYear])</f>
        <v>1 Semester S.Y. 2016-2017</v>
      </c>
      <c r="W12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3" t="e">
        <f t="array" ref="Y1223">INDEX(tblEnrolledStuds[EStudID],MATCH(tblEnrolledSubjs[[#This Row],[EStudID]]&amp;S1223,tblEnrolledStuds[AdmissionStatusID]&amp;tblEnrolledStuds[StudID],0))</f>
        <v>#N/A</v>
      </c>
    </row>
    <row r="1224" spans="2:25" x14ac:dyDescent="0.25">
      <c r="B1224">
        <v>1222</v>
      </c>
      <c r="C1224">
        <v>328</v>
      </c>
      <c r="D1224">
        <v>142</v>
      </c>
      <c r="P1224" t="str">
        <f t="shared" si="23"/>
        <v>(NULL,"328","142"),</v>
      </c>
      <c r="Q1224" t="str">
        <f>TextJoin(tblEnrolledSubjs[[#This Row],[CSubjID]:[EStudID]],"Value")</f>
        <v>"328","142"</v>
      </c>
      <c r="S1224">
        <f>LOOKUP(LOOKUP(tblEnrolledSubjs[[#This Row],[CSubjID]], tblClassSubjs[CSubjID],tblClassSubjs[ClassID]),tblClasses[ClassID],tblClasses[STermID])</f>
        <v>6</v>
      </c>
      <c r="T1224" t="str">
        <f>LOOKUP(S1224,tblSchoolTerms[STermID],tblSchoolTerms[SemesterID]&amp;" Semester "&amp;tblSchoolTerms[SchoolYear])</f>
        <v>1 Semester S.Y. 2016-2017</v>
      </c>
      <c r="W12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4" t="e">
        <f t="array" ref="Y1224">INDEX(tblEnrolledStuds[EStudID],MATCH(tblEnrolledSubjs[[#This Row],[EStudID]]&amp;S1224,tblEnrolledStuds[AdmissionStatusID]&amp;tblEnrolledStuds[StudID],0))</f>
        <v>#N/A</v>
      </c>
    </row>
    <row r="1225" spans="2:25" x14ac:dyDescent="0.25">
      <c r="B1225">
        <v>1223</v>
      </c>
      <c r="C1225">
        <v>328</v>
      </c>
      <c r="D1225">
        <v>144</v>
      </c>
      <c r="P1225" t="str">
        <f t="shared" si="23"/>
        <v>(NULL,"328","144"),</v>
      </c>
      <c r="Q1225" t="str">
        <f>TextJoin(tblEnrolledSubjs[[#This Row],[CSubjID]:[EStudID]],"Value")</f>
        <v>"328","144"</v>
      </c>
      <c r="S1225">
        <f>LOOKUP(LOOKUP(tblEnrolledSubjs[[#This Row],[CSubjID]], tblClassSubjs[CSubjID],tblClassSubjs[ClassID]),tblClasses[ClassID],tblClasses[STermID])</f>
        <v>6</v>
      </c>
      <c r="T1225" t="str">
        <f>LOOKUP(S1225,tblSchoolTerms[STermID],tblSchoolTerms[SemesterID]&amp;" Semester "&amp;tblSchoolTerms[SchoolYear])</f>
        <v>1 Semester S.Y. 2016-2017</v>
      </c>
      <c r="W12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5" t="e">
        <f t="array" ref="Y1225">INDEX(tblEnrolledStuds[EStudID],MATCH(tblEnrolledSubjs[[#This Row],[EStudID]]&amp;S1225,tblEnrolledStuds[AdmissionStatusID]&amp;tblEnrolledStuds[StudID],0))</f>
        <v>#N/A</v>
      </c>
    </row>
    <row r="1226" spans="2:25" x14ac:dyDescent="0.25">
      <c r="B1226">
        <v>1224</v>
      </c>
      <c r="C1226">
        <v>328</v>
      </c>
      <c r="D1226">
        <v>145</v>
      </c>
      <c r="P1226" t="str">
        <f t="shared" si="23"/>
        <v>(NULL,"328","145"),</v>
      </c>
      <c r="Q1226" t="str">
        <f>TextJoin(tblEnrolledSubjs[[#This Row],[CSubjID]:[EStudID]],"Value")</f>
        <v>"328","145"</v>
      </c>
      <c r="S1226">
        <f>LOOKUP(LOOKUP(tblEnrolledSubjs[[#This Row],[CSubjID]], tblClassSubjs[CSubjID],tblClassSubjs[ClassID]),tblClasses[ClassID],tblClasses[STermID])</f>
        <v>6</v>
      </c>
      <c r="T1226" t="str">
        <f>LOOKUP(S1226,tblSchoolTerms[STermID],tblSchoolTerms[SemesterID]&amp;" Semester "&amp;tblSchoolTerms[SchoolYear])</f>
        <v>1 Semester S.Y. 2016-2017</v>
      </c>
      <c r="W12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6" t="e">
        <f t="array" ref="Y1226">INDEX(tblEnrolledStuds[EStudID],MATCH(tblEnrolledSubjs[[#This Row],[EStudID]]&amp;S1226,tblEnrolledStuds[AdmissionStatusID]&amp;tblEnrolledStuds[StudID],0))</f>
        <v>#N/A</v>
      </c>
    </row>
    <row r="1227" spans="2:25" x14ac:dyDescent="0.25">
      <c r="B1227">
        <v>1225</v>
      </c>
      <c r="C1227">
        <v>328</v>
      </c>
      <c r="D1227">
        <v>147</v>
      </c>
      <c r="P1227" t="str">
        <f t="shared" si="23"/>
        <v>(NULL,"328","147"),</v>
      </c>
      <c r="Q1227" t="str">
        <f>TextJoin(tblEnrolledSubjs[[#This Row],[CSubjID]:[EStudID]],"Value")</f>
        <v>"328","147"</v>
      </c>
      <c r="S1227">
        <f>LOOKUP(LOOKUP(tblEnrolledSubjs[[#This Row],[CSubjID]], tblClassSubjs[CSubjID],tblClassSubjs[ClassID]),tblClasses[ClassID],tblClasses[STermID])</f>
        <v>6</v>
      </c>
      <c r="T1227" t="str">
        <f>LOOKUP(S1227,tblSchoolTerms[STermID],tblSchoolTerms[SemesterID]&amp;" Semester "&amp;tblSchoolTerms[SchoolYear])</f>
        <v>1 Semester S.Y. 2016-2017</v>
      </c>
      <c r="W12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27" t="e">
        <f t="array" ref="Y1227">INDEX(tblEnrolledStuds[EStudID],MATCH(tblEnrolledSubjs[[#This Row],[EStudID]]&amp;S1227,tblEnrolledStuds[AdmissionStatusID]&amp;tblEnrolledStuds[StudID],0))</f>
        <v>#N/A</v>
      </c>
    </row>
    <row r="1228" spans="2:25" x14ac:dyDescent="0.25">
      <c r="B1228">
        <v>1226</v>
      </c>
      <c r="C1228">
        <v>328</v>
      </c>
      <c r="D1228">
        <v>148</v>
      </c>
      <c r="P1228" t="str">
        <f t="shared" si="23"/>
        <v>(NULL,"328","148"),</v>
      </c>
      <c r="Q1228" t="str">
        <f>TextJoin(tblEnrolledSubjs[[#This Row],[CSubjID]:[EStudID]],"Value")</f>
        <v>"328","148"</v>
      </c>
      <c r="S1228">
        <f>LOOKUP(LOOKUP(tblEnrolledSubjs[[#This Row],[CSubjID]], tblClassSubjs[CSubjID],tblClassSubjs[ClassID]),tblClasses[ClassID],tblClasses[STermID])</f>
        <v>6</v>
      </c>
      <c r="T1228" t="str">
        <f>LOOKUP(S1228,tblSchoolTerms[STermID],tblSchoolTerms[SemesterID]&amp;" Semester "&amp;tblSchoolTerms[SchoolYear])</f>
        <v>1 Semester S.Y. 2016-2017</v>
      </c>
      <c r="W12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28" t="e">
        <f t="array" ref="Y1228">INDEX(tblEnrolledStuds[EStudID],MATCH(tblEnrolledSubjs[[#This Row],[EStudID]]&amp;S1228,tblEnrolledStuds[AdmissionStatusID]&amp;tblEnrolledStuds[StudID],0))</f>
        <v>#N/A</v>
      </c>
    </row>
    <row r="1229" spans="2:25" x14ac:dyDescent="0.25">
      <c r="B1229">
        <v>1227</v>
      </c>
      <c r="C1229">
        <v>328</v>
      </c>
      <c r="D1229">
        <v>150</v>
      </c>
      <c r="P1229" t="str">
        <f t="shared" si="23"/>
        <v>(NULL,"328","150"),</v>
      </c>
      <c r="Q1229" t="str">
        <f>TextJoin(tblEnrolledSubjs[[#This Row],[CSubjID]:[EStudID]],"Value")</f>
        <v>"328","150"</v>
      </c>
      <c r="S1229">
        <f>LOOKUP(LOOKUP(tblEnrolledSubjs[[#This Row],[CSubjID]], tblClassSubjs[CSubjID],tblClassSubjs[ClassID]),tblClasses[ClassID],tblClasses[STermID])</f>
        <v>6</v>
      </c>
      <c r="T1229" t="str">
        <f>LOOKUP(S1229,tblSchoolTerms[STermID],tblSchoolTerms[SemesterID]&amp;" Semester "&amp;tblSchoolTerms[SchoolYear])</f>
        <v>1 Semester S.Y. 2016-2017</v>
      </c>
      <c r="W12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29" t="e">
        <f t="array" ref="Y1229">INDEX(tblEnrolledStuds[EStudID],MATCH(tblEnrolledSubjs[[#This Row],[EStudID]]&amp;S1229,tblEnrolledStuds[AdmissionStatusID]&amp;tblEnrolledStuds[StudID],0))</f>
        <v>#N/A</v>
      </c>
    </row>
    <row r="1230" spans="2:25" x14ac:dyDescent="0.25">
      <c r="B1230">
        <v>1228</v>
      </c>
      <c r="C1230">
        <v>328</v>
      </c>
      <c r="D1230">
        <v>152</v>
      </c>
      <c r="P1230" t="str">
        <f t="shared" si="23"/>
        <v>(NULL,"328","152"),</v>
      </c>
      <c r="Q1230" t="str">
        <f>TextJoin(tblEnrolledSubjs[[#This Row],[CSubjID]:[EStudID]],"Value")</f>
        <v>"328","152"</v>
      </c>
      <c r="S1230">
        <f>LOOKUP(LOOKUP(tblEnrolledSubjs[[#This Row],[CSubjID]], tblClassSubjs[CSubjID],tblClassSubjs[ClassID]),tblClasses[ClassID],tblClasses[STermID])</f>
        <v>6</v>
      </c>
      <c r="T1230" t="str">
        <f>LOOKUP(S1230,tblSchoolTerms[STermID],tblSchoolTerms[SemesterID]&amp;" Semester "&amp;tblSchoolTerms[SchoolYear])</f>
        <v>1 Semester S.Y. 2016-2017</v>
      </c>
      <c r="W12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0" t="e">
        <f t="array" ref="Y1230">INDEX(tblEnrolledStuds[EStudID],MATCH(tblEnrolledSubjs[[#This Row],[EStudID]]&amp;S1230,tblEnrolledStuds[AdmissionStatusID]&amp;tblEnrolledStuds[StudID],0))</f>
        <v>#N/A</v>
      </c>
    </row>
    <row r="1231" spans="2:25" x14ac:dyDescent="0.25">
      <c r="B1231">
        <v>1229</v>
      </c>
      <c r="C1231">
        <v>328</v>
      </c>
      <c r="D1231">
        <v>153</v>
      </c>
      <c r="P1231" t="str">
        <f t="shared" si="23"/>
        <v>(NULL,"328","153"),</v>
      </c>
      <c r="Q1231" t="str">
        <f>TextJoin(tblEnrolledSubjs[[#This Row],[CSubjID]:[EStudID]],"Value")</f>
        <v>"328","153"</v>
      </c>
      <c r="S1231">
        <f>LOOKUP(LOOKUP(tblEnrolledSubjs[[#This Row],[CSubjID]], tblClassSubjs[CSubjID],tblClassSubjs[ClassID]),tblClasses[ClassID],tblClasses[STermID])</f>
        <v>6</v>
      </c>
      <c r="T1231" t="str">
        <f>LOOKUP(S1231,tblSchoolTerms[STermID],tblSchoolTerms[SemesterID]&amp;" Semester "&amp;tblSchoolTerms[SchoolYear])</f>
        <v>1 Semester S.Y. 2016-2017</v>
      </c>
      <c r="W12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1" t="e">
        <f t="array" ref="Y1231">INDEX(tblEnrolledStuds[EStudID],MATCH(tblEnrolledSubjs[[#This Row],[EStudID]]&amp;S1231,tblEnrolledStuds[AdmissionStatusID]&amp;tblEnrolledStuds[StudID],0))</f>
        <v>#N/A</v>
      </c>
    </row>
    <row r="1232" spans="2:25" x14ac:dyDescent="0.25">
      <c r="B1232">
        <v>1230</v>
      </c>
      <c r="C1232">
        <v>328</v>
      </c>
      <c r="D1232">
        <v>146</v>
      </c>
      <c r="P1232" t="str">
        <f t="shared" si="23"/>
        <v>(NULL,"328","146"),</v>
      </c>
      <c r="Q1232" t="str">
        <f>TextJoin(tblEnrolledSubjs[[#This Row],[CSubjID]:[EStudID]],"Value")</f>
        <v>"328","146"</v>
      </c>
      <c r="S1232">
        <f>LOOKUP(LOOKUP(tblEnrolledSubjs[[#This Row],[CSubjID]], tblClassSubjs[CSubjID],tblClassSubjs[ClassID]),tblClasses[ClassID],tblClasses[STermID])</f>
        <v>6</v>
      </c>
      <c r="T1232" t="str">
        <f>LOOKUP(S1232,tblSchoolTerms[STermID],tblSchoolTerms[SemesterID]&amp;" Semester "&amp;tblSchoolTerms[SchoolYear])</f>
        <v>1 Semester S.Y. 2016-2017</v>
      </c>
      <c r="W12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2" t="e">
        <f t="array" ref="Y1232">INDEX(tblEnrolledStuds[EStudID],MATCH(tblEnrolledSubjs[[#This Row],[EStudID]]&amp;S1232,tblEnrolledStuds[AdmissionStatusID]&amp;tblEnrolledStuds[StudID],0))</f>
        <v>#N/A</v>
      </c>
    </row>
    <row r="1233" spans="2:25" x14ac:dyDescent="0.25">
      <c r="B1233">
        <v>1231</v>
      </c>
      <c r="C1233">
        <v>342</v>
      </c>
      <c r="D1233" s="22">
        <v>143</v>
      </c>
      <c r="F1233" s="28"/>
      <c r="P1233" t="str">
        <f t="shared" si="23"/>
        <v>(NULL,"342","143"),</v>
      </c>
      <c r="Q1233" t="str">
        <f>TextJoin(tblEnrolledSubjs[[#This Row],[CSubjID]:[EStudID]],"Value")</f>
        <v>"342","143"</v>
      </c>
      <c r="S1233">
        <f>LOOKUP(LOOKUP(tblEnrolledSubjs[[#This Row],[CSubjID]], tblClassSubjs[CSubjID],tblClassSubjs[ClassID]),tblClasses[ClassID],tblClasses[STermID])</f>
        <v>6</v>
      </c>
      <c r="T1233" t="str">
        <f>LOOKUP(S1233,tblSchoolTerms[STermID],tblSchoolTerms[SemesterID]&amp;" Semester "&amp;tblSchoolTerms[SchoolYear])</f>
        <v>1 Semester S.Y. 2016-2017</v>
      </c>
      <c r="W12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3" t="e">
        <f t="array" ref="Y1233">INDEX(tblEnrolledStuds[EStudID],MATCH(tblEnrolledSubjs[[#This Row],[EStudID]]&amp;S1233,tblEnrolledStuds[AdmissionStatusID]&amp;tblEnrolledStuds[StudID],0))</f>
        <v>#N/A</v>
      </c>
    </row>
    <row r="1234" spans="2:25" x14ac:dyDescent="0.25">
      <c r="B1234">
        <v>1232</v>
      </c>
      <c r="C1234">
        <v>342</v>
      </c>
      <c r="D1234" s="22">
        <v>149</v>
      </c>
      <c r="P1234" t="str">
        <f t="shared" si="23"/>
        <v>(NULL,"342","149"),</v>
      </c>
      <c r="Q1234" t="str">
        <f>TextJoin(tblEnrolledSubjs[[#This Row],[CSubjID]:[EStudID]],"Value")</f>
        <v>"342","149"</v>
      </c>
      <c r="S1234">
        <f>LOOKUP(LOOKUP(tblEnrolledSubjs[[#This Row],[CSubjID]], tblClassSubjs[CSubjID],tblClassSubjs[ClassID]),tblClasses[ClassID],tblClasses[STermID])</f>
        <v>6</v>
      </c>
      <c r="T1234" t="str">
        <f>LOOKUP(S1234,tblSchoolTerms[STermID],tblSchoolTerms[SemesterID]&amp;" Semester "&amp;tblSchoolTerms[SchoolYear])</f>
        <v>1 Semester S.Y. 2016-2017</v>
      </c>
      <c r="W12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4" t="e">
        <f t="array" ref="Y1234">INDEX(tblEnrolledStuds[EStudID],MATCH(tblEnrolledSubjs[[#This Row],[EStudID]]&amp;S1234,tblEnrolledStuds[AdmissionStatusID]&amp;tblEnrolledStuds[StudID],0))</f>
        <v>#N/A</v>
      </c>
    </row>
    <row r="1235" spans="2:25" x14ac:dyDescent="0.25">
      <c r="B1235">
        <v>1233</v>
      </c>
      <c r="C1235">
        <v>342</v>
      </c>
      <c r="D1235" s="22">
        <v>151</v>
      </c>
      <c r="P1235" t="str">
        <f t="shared" si="23"/>
        <v>(NULL,"342","151"),</v>
      </c>
      <c r="Q1235" t="str">
        <f>TextJoin(tblEnrolledSubjs[[#This Row],[CSubjID]:[EStudID]],"Value")</f>
        <v>"342","151"</v>
      </c>
      <c r="S1235">
        <f>LOOKUP(LOOKUP(tblEnrolledSubjs[[#This Row],[CSubjID]], tblClassSubjs[CSubjID],tblClassSubjs[ClassID]),tblClasses[ClassID],tblClasses[STermID])</f>
        <v>6</v>
      </c>
      <c r="T1235" t="str">
        <f>LOOKUP(S1235,tblSchoolTerms[STermID],tblSchoolTerms[SemesterID]&amp;" Semester "&amp;tblSchoolTerms[SchoolYear])</f>
        <v>1 Semester S.Y. 2016-2017</v>
      </c>
      <c r="W12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35" t="e">
        <f t="array" ref="Y1235">INDEX(tblEnrolledStuds[EStudID],MATCH(tblEnrolledSubjs[[#This Row],[EStudID]]&amp;S1235,tblEnrolledStuds[AdmissionStatusID]&amp;tblEnrolledStuds[StudID],0))</f>
        <v>#N/A</v>
      </c>
    </row>
    <row r="1236" spans="2:25" x14ac:dyDescent="0.25">
      <c r="B1236">
        <v>1234</v>
      </c>
      <c r="C1236">
        <v>342</v>
      </c>
      <c r="D1236" s="22">
        <v>154</v>
      </c>
      <c r="P1236" t="str">
        <f t="shared" si="23"/>
        <v>(NULL,"342","154"),</v>
      </c>
      <c r="Q1236" t="str">
        <f>TextJoin(tblEnrolledSubjs[[#This Row],[CSubjID]:[EStudID]],"Value")</f>
        <v>"342","154"</v>
      </c>
      <c r="S1236">
        <f>LOOKUP(LOOKUP(tblEnrolledSubjs[[#This Row],[CSubjID]], tblClassSubjs[CSubjID],tblClassSubjs[ClassID]),tblClasses[ClassID],tblClasses[STermID])</f>
        <v>6</v>
      </c>
      <c r="T1236" t="str">
        <f>LOOKUP(S1236,tblSchoolTerms[STermID],tblSchoolTerms[SemesterID]&amp;" Semester "&amp;tblSchoolTerms[SchoolYear])</f>
        <v>1 Semester S.Y. 2016-2017</v>
      </c>
      <c r="W12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36" t="e">
        <f t="array" ref="Y1236">INDEX(tblEnrolledStuds[EStudID],MATCH(tblEnrolledSubjs[[#This Row],[EStudID]]&amp;S1236,tblEnrolledStuds[AdmissionStatusID]&amp;tblEnrolledStuds[StudID],0))</f>
        <v>#N/A</v>
      </c>
    </row>
    <row r="1237" spans="2:25" x14ac:dyDescent="0.25">
      <c r="B1237">
        <v>1235</v>
      </c>
      <c r="C1237">
        <v>342</v>
      </c>
      <c r="D1237" s="22">
        <v>155</v>
      </c>
      <c r="P1237" t="str">
        <f t="shared" si="23"/>
        <v>(NULL,"342","155"),</v>
      </c>
      <c r="Q1237" t="str">
        <f>TextJoin(tblEnrolledSubjs[[#This Row],[CSubjID]:[EStudID]],"Value")</f>
        <v>"342","155"</v>
      </c>
      <c r="S1237">
        <f>LOOKUP(LOOKUP(tblEnrolledSubjs[[#This Row],[CSubjID]], tblClassSubjs[CSubjID],tblClassSubjs[ClassID]),tblClasses[ClassID],tblClasses[STermID])</f>
        <v>6</v>
      </c>
      <c r="T1237" t="str">
        <f>LOOKUP(S1237,tblSchoolTerms[STermID],tblSchoolTerms[SemesterID]&amp;" Semester "&amp;tblSchoolTerms[SchoolYear])</f>
        <v>1 Semester S.Y. 2016-2017</v>
      </c>
      <c r="W12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7" t="e">
        <f t="array" ref="Y1237">INDEX(tblEnrolledStuds[EStudID],MATCH(tblEnrolledSubjs[[#This Row],[EStudID]]&amp;S1237,tblEnrolledStuds[AdmissionStatusID]&amp;tblEnrolledStuds[StudID],0))</f>
        <v>#N/A</v>
      </c>
    </row>
    <row r="1238" spans="2:25" x14ac:dyDescent="0.25">
      <c r="B1238">
        <v>1236</v>
      </c>
      <c r="C1238">
        <v>342</v>
      </c>
      <c r="D1238" s="22">
        <v>156</v>
      </c>
      <c r="P1238" t="str">
        <f t="shared" si="23"/>
        <v>(NULL,"342","156"),</v>
      </c>
      <c r="Q1238" t="str">
        <f>TextJoin(tblEnrolledSubjs[[#This Row],[CSubjID]:[EStudID]],"Value")</f>
        <v>"342","156"</v>
      </c>
      <c r="S1238">
        <f>LOOKUP(LOOKUP(tblEnrolledSubjs[[#This Row],[CSubjID]], tblClassSubjs[CSubjID],tblClassSubjs[ClassID]),tblClasses[ClassID],tblClasses[STermID])</f>
        <v>6</v>
      </c>
      <c r="T1238" t="str">
        <f>LOOKUP(S1238,tblSchoolTerms[STermID],tblSchoolTerms[SemesterID]&amp;" Semester "&amp;tblSchoolTerms[SchoolYear])</f>
        <v>1 Semester S.Y. 2016-2017</v>
      </c>
      <c r="W12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8" t="e">
        <f t="array" ref="Y1238">INDEX(tblEnrolledStuds[EStudID],MATCH(tblEnrolledSubjs[[#This Row],[EStudID]]&amp;S1238,tblEnrolledStuds[AdmissionStatusID]&amp;tblEnrolledStuds[StudID],0))</f>
        <v>#N/A</v>
      </c>
    </row>
    <row r="1239" spans="2:25" x14ac:dyDescent="0.25">
      <c r="B1239">
        <v>1237</v>
      </c>
      <c r="C1239">
        <v>343</v>
      </c>
      <c r="D1239" s="22">
        <v>143</v>
      </c>
      <c r="P1239" t="str">
        <f t="shared" si="23"/>
        <v>(NULL,"343","143"),</v>
      </c>
      <c r="Q1239" t="str">
        <f>TextJoin(tblEnrolledSubjs[[#This Row],[CSubjID]:[EStudID]],"Value")</f>
        <v>"343","143"</v>
      </c>
      <c r="S1239">
        <f>LOOKUP(LOOKUP(tblEnrolledSubjs[[#This Row],[CSubjID]], tblClassSubjs[CSubjID],tblClassSubjs[ClassID]),tblClasses[ClassID],tblClasses[STermID])</f>
        <v>6</v>
      </c>
      <c r="T1239" t="str">
        <f>LOOKUP(S1239,tblSchoolTerms[STermID],tblSchoolTerms[SemesterID]&amp;" Semester "&amp;tblSchoolTerms[SchoolYear])</f>
        <v>1 Semester S.Y. 2016-2017</v>
      </c>
      <c r="W12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39" t="e">
        <f t="array" ref="Y1239">INDEX(tblEnrolledStuds[EStudID],MATCH(tblEnrolledSubjs[[#This Row],[EStudID]]&amp;S1239,tblEnrolledStuds[AdmissionStatusID]&amp;tblEnrolledStuds[StudID],0))</f>
        <v>#N/A</v>
      </c>
    </row>
    <row r="1240" spans="2:25" x14ac:dyDescent="0.25">
      <c r="B1240">
        <v>1238</v>
      </c>
      <c r="C1240">
        <v>343</v>
      </c>
      <c r="D1240" s="22">
        <v>149</v>
      </c>
      <c r="P1240" t="str">
        <f t="shared" si="23"/>
        <v>(NULL,"343","149"),</v>
      </c>
      <c r="Q1240" t="str">
        <f>TextJoin(tblEnrolledSubjs[[#This Row],[CSubjID]:[EStudID]],"Value")</f>
        <v>"343","149"</v>
      </c>
      <c r="S1240">
        <f>LOOKUP(LOOKUP(tblEnrolledSubjs[[#This Row],[CSubjID]], tblClassSubjs[CSubjID],tblClassSubjs[ClassID]),tblClasses[ClassID],tblClasses[STermID])</f>
        <v>6</v>
      </c>
      <c r="T1240" t="str">
        <f>LOOKUP(S1240,tblSchoolTerms[STermID],tblSchoolTerms[SemesterID]&amp;" Semester "&amp;tblSchoolTerms[SchoolYear])</f>
        <v>1 Semester S.Y. 2016-2017</v>
      </c>
      <c r="W12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40" t="e">
        <f t="array" ref="Y1240">INDEX(tblEnrolledStuds[EStudID],MATCH(tblEnrolledSubjs[[#This Row],[EStudID]]&amp;S1240,tblEnrolledStuds[AdmissionStatusID]&amp;tblEnrolledStuds[StudID],0))</f>
        <v>#N/A</v>
      </c>
    </row>
    <row r="1241" spans="2:25" x14ac:dyDescent="0.25">
      <c r="B1241">
        <v>1239</v>
      </c>
      <c r="C1241">
        <v>343</v>
      </c>
      <c r="D1241" s="22">
        <v>151</v>
      </c>
      <c r="P1241" t="str">
        <f t="shared" si="23"/>
        <v>(NULL,"343","151"),</v>
      </c>
      <c r="Q1241" t="str">
        <f>TextJoin(tblEnrolledSubjs[[#This Row],[CSubjID]:[EStudID]],"Value")</f>
        <v>"343","151"</v>
      </c>
      <c r="S1241">
        <f>LOOKUP(LOOKUP(tblEnrolledSubjs[[#This Row],[CSubjID]], tblClassSubjs[CSubjID],tblClassSubjs[ClassID]),tblClasses[ClassID],tblClasses[STermID])</f>
        <v>6</v>
      </c>
      <c r="T1241" t="str">
        <f>LOOKUP(S1241,tblSchoolTerms[STermID],tblSchoolTerms[SemesterID]&amp;" Semester "&amp;tblSchoolTerms[SchoolYear])</f>
        <v>1 Semester S.Y. 2016-2017</v>
      </c>
      <c r="W12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41" t="e">
        <f t="array" ref="Y1241">INDEX(tblEnrolledStuds[EStudID],MATCH(tblEnrolledSubjs[[#This Row],[EStudID]]&amp;S1241,tblEnrolledStuds[AdmissionStatusID]&amp;tblEnrolledStuds[StudID],0))</f>
        <v>#N/A</v>
      </c>
    </row>
    <row r="1242" spans="2:25" x14ac:dyDescent="0.25">
      <c r="B1242">
        <v>1240</v>
      </c>
      <c r="C1242">
        <v>343</v>
      </c>
      <c r="D1242" s="22">
        <v>154</v>
      </c>
      <c r="P1242" t="str">
        <f t="shared" si="23"/>
        <v>(NULL,"343","154"),</v>
      </c>
      <c r="Q1242" t="str">
        <f>TextJoin(tblEnrolledSubjs[[#This Row],[CSubjID]:[EStudID]],"Value")</f>
        <v>"343","154"</v>
      </c>
      <c r="S1242">
        <f>LOOKUP(LOOKUP(tblEnrolledSubjs[[#This Row],[CSubjID]], tblClassSubjs[CSubjID],tblClassSubjs[ClassID]),tblClasses[ClassID],tblClasses[STermID])</f>
        <v>6</v>
      </c>
      <c r="T1242" t="str">
        <f>LOOKUP(S1242,tblSchoolTerms[STermID],tblSchoolTerms[SemesterID]&amp;" Semester "&amp;tblSchoolTerms[SchoolYear])</f>
        <v>1 Semester S.Y. 2016-2017</v>
      </c>
      <c r="W12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42" t="e">
        <f t="array" ref="Y1242">INDEX(tblEnrolledStuds[EStudID],MATCH(tblEnrolledSubjs[[#This Row],[EStudID]]&amp;S1242,tblEnrolledStuds[AdmissionStatusID]&amp;tblEnrolledStuds[StudID],0))</f>
        <v>#N/A</v>
      </c>
    </row>
    <row r="1243" spans="2:25" x14ac:dyDescent="0.25">
      <c r="B1243">
        <v>1241</v>
      </c>
      <c r="C1243">
        <v>343</v>
      </c>
      <c r="D1243" s="22">
        <v>155</v>
      </c>
      <c r="P1243" t="str">
        <f t="shared" si="23"/>
        <v>(NULL,"343","155"),</v>
      </c>
      <c r="Q1243" t="str">
        <f>TextJoin(tblEnrolledSubjs[[#This Row],[CSubjID]:[EStudID]],"Value")</f>
        <v>"343","155"</v>
      </c>
      <c r="S1243">
        <f>LOOKUP(LOOKUP(tblEnrolledSubjs[[#This Row],[CSubjID]], tblClassSubjs[CSubjID],tblClassSubjs[ClassID]),tblClasses[ClassID],tblClasses[STermID])</f>
        <v>6</v>
      </c>
      <c r="T1243" t="str">
        <f>LOOKUP(S1243,tblSchoolTerms[STermID],tblSchoolTerms[SemesterID]&amp;" Semester "&amp;tblSchoolTerms[SchoolYear])</f>
        <v>1 Semester S.Y. 2016-2017</v>
      </c>
      <c r="W12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43" t="e">
        <f t="array" ref="Y1243">INDEX(tblEnrolledStuds[EStudID],MATCH(tblEnrolledSubjs[[#This Row],[EStudID]]&amp;S1243,tblEnrolledStuds[AdmissionStatusID]&amp;tblEnrolledStuds[StudID],0))</f>
        <v>#N/A</v>
      </c>
    </row>
    <row r="1244" spans="2:25" x14ac:dyDescent="0.25">
      <c r="B1244">
        <v>1242</v>
      </c>
      <c r="C1244">
        <v>343</v>
      </c>
      <c r="D1244" s="22">
        <v>156</v>
      </c>
      <c r="P1244" t="str">
        <f t="shared" si="23"/>
        <v>(NULL,"343","156"),</v>
      </c>
      <c r="Q1244" t="str">
        <f>TextJoin(tblEnrolledSubjs[[#This Row],[CSubjID]:[EStudID]],"Value")</f>
        <v>"343","156"</v>
      </c>
      <c r="S1244">
        <f>LOOKUP(LOOKUP(tblEnrolledSubjs[[#This Row],[CSubjID]], tblClassSubjs[CSubjID],tblClassSubjs[ClassID]),tblClasses[ClassID],tblClasses[STermID])</f>
        <v>6</v>
      </c>
      <c r="T1244" t="str">
        <f>LOOKUP(S1244,tblSchoolTerms[STermID],tblSchoolTerms[SemesterID]&amp;" Semester "&amp;tblSchoolTerms[SchoolYear])</f>
        <v>1 Semester S.Y. 2016-2017</v>
      </c>
      <c r="W12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44" t="e">
        <f t="array" ref="Y1244">INDEX(tblEnrolledStuds[EStudID],MATCH(tblEnrolledSubjs[[#This Row],[EStudID]]&amp;S1244,tblEnrolledStuds[AdmissionStatusID]&amp;tblEnrolledStuds[StudID],0))</f>
        <v>#N/A</v>
      </c>
    </row>
    <row r="1245" spans="2:25" x14ac:dyDescent="0.25">
      <c r="B1245">
        <v>1243</v>
      </c>
      <c r="C1245">
        <v>344</v>
      </c>
      <c r="D1245" s="22">
        <v>143</v>
      </c>
      <c r="P1245" t="str">
        <f t="shared" si="23"/>
        <v>(NULL,"344","143"),</v>
      </c>
      <c r="Q1245" t="str">
        <f>TextJoin(tblEnrolledSubjs[[#This Row],[CSubjID]:[EStudID]],"Value")</f>
        <v>"344","143"</v>
      </c>
      <c r="S1245">
        <f>LOOKUP(LOOKUP(tblEnrolledSubjs[[#This Row],[CSubjID]], tblClassSubjs[CSubjID],tblClassSubjs[ClassID]),tblClasses[ClassID],tblClasses[STermID])</f>
        <v>6</v>
      </c>
      <c r="T1245" t="str">
        <f>LOOKUP(S1245,tblSchoolTerms[STermID],tblSchoolTerms[SemesterID]&amp;" Semester "&amp;tblSchoolTerms[SchoolYear])</f>
        <v>1 Semester S.Y. 2016-2017</v>
      </c>
      <c r="W12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45" t="e">
        <f t="array" ref="Y1245">INDEX(tblEnrolledStuds[EStudID],MATCH(tblEnrolledSubjs[[#This Row],[EStudID]]&amp;S1245,tblEnrolledStuds[AdmissionStatusID]&amp;tblEnrolledStuds[StudID],0))</f>
        <v>#N/A</v>
      </c>
    </row>
    <row r="1246" spans="2:25" x14ac:dyDescent="0.25">
      <c r="B1246">
        <v>1244</v>
      </c>
      <c r="C1246">
        <v>344</v>
      </c>
      <c r="D1246" s="22">
        <v>149</v>
      </c>
      <c r="P1246" t="str">
        <f t="shared" si="23"/>
        <v>(NULL,"344","149"),</v>
      </c>
      <c r="Q1246" t="str">
        <f>TextJoin(tblEnrolledSubjs[[#This Row],[CSubjID]:[EStudID]],"Value")</f>
        <v>"344","149"</v>
      </c>
      <c r="S1246">
        <f>LOOKUP(LOOKUP(tblEnrolledSubjs[[#This Row],[CSubjID]], tblClassSubjs[CSubjID],tblClassSubjs[ClassID]),tblClasses[ClassID],tblClasses[STermID])</f>
        <v>6</v>
      </c>
      <c r="T1246" t="str">
        <f>LOOKUP(S1246,tblSchoolTerms[STermID],tblSchoolTerms[SemesterID]&amp;" Semester "&amp;tblSchoolTerms[SchoolYear])</f>
        <v>1 Semester S.Y. 2016-2017</v>
      </c>
      <c r="W12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46" t="e">
        <f t="array" ref="Y1246">INDEX(tblEnrolledStuds[EStudID],MATCH(tblEnrolledSubjs[[#This Row],[EStudID]]&amp;S1246,tblEnrolledStuds[AdmissionStatusID]&amp;tblEnrolledStuds[StudID],0))</f>
        <v>#N/A</v>
      </c>
    </row>
    <row r="1247" spans="2:25" x14ac:dyDescent="0.25">
      <c r="B1247">
        <v>1245</v>
      </c>
      <c r="C1247">
        <v>344</v>
      </c>
      <c r="D1247" s="22">
        <v>151</v>
      </c>
      <c r="P1247" t="str">
        <f t="shared" si="23"/>
        <v>(NULL,"344","151"),</v>
      </c>
      <c r="Q1247" t="str">
        <f>TextJoin(tblEnrolledSubjs[[#This Row],[CSubjID]:[EStudID]],"Value")</f>
        <v>"344","151"</v>
      </c>
      <c r="S1247">
        <f>LOOKUP(LOOKUP(tblEnrolledSubjs[[#This Row],[CSubjID]], tblClassSubjs[CSubjID],tblClassSubjs[ClassID]),tblClasses[ClassID],tblClasses[STermID])</f>
        <v>6</v>
      </c>
      <c r="T1247" t="str">
        <f>LOOKUP(S1247,tblSchoolTerms[STermID],tblSchoolTerms[SemesterID]&amp;" Semester "&amp;tblSchoolTerms[SchoolYear])</f>
        <v>1 Semester S.Y. 2016-2017</v>
      </c>
      <c r="W12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47" t="e">
        <f t="array" ref="Y1247">INDEX(tblEnrolledStuds[EStudID],MATCH(tblEnrolledSubjs[[#This Row],[EStudID]]&amp;S1247,tblEnrolledStuds[AdmissionStatusID]&amp;tblEnrolledStuds[StudID],0))</f>
        <v>#N/A</v>
      </c>
    </row>
    <row r="1248" spans="2:25" x14ac:dyDescent="0.25">
      <c r="B1248">
        <v>1246</v>
      </c>
      <c r="C1248">
        <v>344</v>
      </c>
      <c r="D1248" s="22">
        <v>154</v>
      </c>
      <c r="P1248" t="str">
        <f t="shared" si="23"/>
        <v>(NULL,"344","154"),</v>
      </c>
      <c r="Q1248" t="str">
        <f>TextJoin(tblEnrolledSubjs[[#This Row],[CSubjID]:[EStudID]],"Value")</f>
        <v>"344","154"</v>
      </c>
      <c r="S1248">
        <f>LOOKUP(LOOKUP(tblEnrolledSubjs[[#This Row],[CSubjID]], tblClassSubjs[CSubjID],tblClassSubjs[ClassID]),tblClasses[ClassID],tblClasses[STermID])</f>
        <v>6</v>
      </c>
      <c r="T1248" t="str">
        <f>LOOKUP(S1248,tblSchoolTerms[STermID],tblSchoolTerms[SemesterID]&amp;" Semester "&amp;tblSchoolTerms[SchoolYear])</f>
        <v>1 Semester S.Y. 2016-2017</v>
      </c>
      <c r="W12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48" t="e">
        <f t="array" ref="Y1248">INDEX(tblEnrolledStuds[EStudID],MATCH(tblEnrolledSubjs[[#This Row],[EStudID]]&amp;S1248,tblEnrolledStuds[AdmissionStatusID]&amp;tblEnrolledStuds[StudID],0))</f>
        <v>#N/A</v>
      </c>
    </row>
    <row r="1249" spans="2:25" x14ac:dyDescent="0.25">
      <c r="B1249">
        <v>1247</v>
      </c>
      <c r="C1249">
        <v>344</v>
      </c>
      <c r="D1249" s="22">
        <v>155</v>
      </c>
      <c r="P1249" t="str">
        <f t="shared" si="23"/>
        <v>(NULL,"344","155"),</v>
      </c>
      <c r="Q1249" t="str">
        <f>TextJoin(tblEnrolledSubjs[[#This Row],[CSubjID]:[EStudID]],"Value")</f>
        <v>"344","155"</v>
      </c>
      <c r="S1249">
        <f>LOOKUP(LOOKUP(tblEnrolledSubjs[[#This Row],[CSubjID]], tblClassSubjs[CSubjID],tblClassSubjs[ClassID]),tblClasses[ClassID],tblClasses[STermID])</f>
        <v>6</v>
      </c>
      <c r="T1249" t="str">
        <f>LOOKUP(S1249,tblSchoolTerms[STermID],tblSchoolTerms[SemesterID]&amp;" Semester "&amp;tblSchoolTerms[SchoolYear])</f>
        <v>1 Semester S.Y. 2016-2017</v>
      </c>
      <c r="W12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49" t="e">
        <f t="array" ref="Y1249">INDEX(tblEnrolledStuds[EStudID],MATCH(tblEnrolledSubjs[[#This Row],[EStudID]]&amp;S1249,tblEnrolledStuds[AdmissionStatusID]&amp;tblEnrolledStuds[StudID],0))</f>
        <v>#N/A</v>
      </c>
    </row>
    <row r="1250" spans="2:25" x14ac:dyDescent="0.25">
      <c r="B1250">
        <v>1248</v>
      </c>
      <c r="C1250">
        <v>344</v>
      </c>
      <c r="D1250" s="22">
        <v>156</v>
      </c>
      <c r="P1250" t="str">
        <f t="shared" si="23"/>
        <v>(NULL,"344","156"),</v>
      </c>
      <c r="Q1250" t="str">
        <f>TextJoin(tblEnrolledSubjs[[#This Row],[CSubjID]:[EStudID]],"Value")</f>
        <v>"344","156"</v>
      </c>
      <c r="S1250">
        <f>LOOKUP(LOOKUP(tblEnrolledSubjs[[#This Row],[CSubjID]], tblClassSubjs[CSubjID],tblClassSubjs[ClassID]),tblClasses[ClassID],tblClasses[STermID])</f>
        <v>6</v>
      </c>
      <c r="T1250" t="str">
        <f>LOOKUP(S1250,tblSchoolTerms[STermID],tblSchoolTerms[SemesterID]&amp;" Semester "&amp;tblSchoolTerms[SchoolYear])</f>
        <v>1 Semester S.Y. 2016-2017</v>
      </c>
      <c r="W12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0" t="e">
        <f t="array" ref="Y1250">INDEX(tblEnrolledStuds[EStudID],MATCH(tblEnrolledSubjs[[#This Row],[EStudID]]&amp;S1250,tblEnrolledStuds[AdmissionStatusID]&amp;tblEnrolledStuds[StudID],0))</f>
        <v>#N/A</v>
      </c>
    </row>
    <row r="1251" spans="2:25" x14ac:dyDescent="0.25">
      <c r="B1251">
        <v>1249</v>
      </c>
      <c r="C1251">
        <v>345</v>
      </c>
      <c r="D1251" s="22">
        <v>143</v>
      </c>
      <c r="P1251" t="str">
        <f t="shared" si="23"/>
        <v>(NULL,"345","143"),</v>
      </c>
      <c r="Q1251" t="str">
        <f>TextJoin(tblEnrolledSubjs[[#This Row],[CSubjID]:[EStudID]],"Value")</f>
        <v>"345","143"</v>
      </c>
      <c r="S1251">
        <f>LOOKUP(LOOKUP(tblEnrolledSubjs[[#This Row],[CSubjID]], tblClassSubjs[CSubjID],tblClassSubjs[ClassID]),tblClasses[ClassID],tblClasses[STermID])</f>
        <v>6</v>
      </c>
      <c r="T1251" t="str">
        <f>LOOKUP(S1251,tblSchoolTerms[STermID],tblSchoolTerms[SemesterID]&amp;" Semester "&amp;tblSchoolTerms[SchoolYear])</f>
        <v>1 Semester S.Y. 2016-2017</v>
      </c>
      <c r="W12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1" t="e">
        <f t="array" ref="Y1251">INDEX(tblEnrolledStuds[EStudID],MATCH(tblEnrolledSubjs[[#This Row],[EStudID]]&amp;S1251,tblEnrolledStuds[AdmissionStatusID]&amp;tblEnrolledStuds[StudID],0))</f>
        <v>#N/A</v>
      </c>
    </row>
    <row r="1252" spans="2:25" x14ac:dyDescent="0.25">
      <c r="B1252">
        <v>1250</v>
      </c>
      <c r="C1252">
        <v>345</v>
      </c>
      <c r="D1252" s="22">
        <v>149</v>
      </c>
      <c r="P1252" t="str">
        <f t="shared" si="23"/>
        <v>(NULL,"345","149"),</v>
      </c>
      <c r="Q1252" t="str">
        <f>TextJoin(tblEnrolledSubjs[[#This Row],[CSubjID]:[EStudID]],"Value")</f>
        <v>"345","149"</v>
      </c>
      <c r="S1252">
        <f>LOOKUP(LOOKUP(tblEnrolledSubjs[[#This Row],[CSubjID]], tblClassSubjs[CSubjID],tblClassSubjs[ClassID]),tblClasses[ClassID],tblClasses[STermID])</f>
        <v>6</v>
      </c>
      <c r="T1252" t="str">
        <f>LOOKUP(S1252,tblSchoolTerms[STermID],tblSchoolTerms[SemesterID]&amp;" Semester "&amp;tblSchoolTerms[SchoolYear])</f>
        <v>1 Semester S.Y. 2016-2017</v>
      </c>
      <c r="W12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2" t="e">
        <f t="array" ref="Y1252">INDEX(tblEnrolledStuds[EStudID],MATCH(tblEnrolledSubjs[[#This Row],[EStudID]]&amp;S1252,tblEnrolledStuds[AdmissionStatusID]&amp;tblEnrolledStuds[StudID],0))</f>
        <v>#N/A</v>
      </c>
    </row>
    <row r="1253" spans="2:25" x14ac:dyDescent="0.25">
      <c r="B1253">
        <v>1251</v>
      </c>
      <c r="C1253">
        <v>345</v>
      </c>
      <c r="D1253" s="22">
        <v>151</v>
      </c>
      <c r="P1253" t="str">
        <f t="shared" si="23"/>
        <v>(NULL,"345","151"),</v>
      </c>
      <c r="Q1253" t="str">
        <f>TextJoin(tblEnrolledSubjs[[#This Row],[CSubjID]:[EStudID]],"Value")</f>
        <v>"345","151"</v>
      </c>
      <c r="S1253">
        <f>LOOKUP(LOOKUP(tblEnrolledSubjs[[#This Row],[CSubjID]], tblClassSubjs[CSubjID],tblClassSubjs[ClassID]),tblClasses[ClassID],tblClasses[STermID])</f>
        <v>6</v>
      </c>
      <c r="T1253" t="str">
        <f>LOOKUP(S1253,tblSchoolTerms[STermID],tblSchoolTerms[SemesterID]&amp;" Semester "&amp;tblSchoolTerms[SchoolYear])</f>
        <v>1 Semester S.Y. 2016-2017</v>
      </c>
      <c r="W12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53" t="e">
        <f t="array" ref="Y1253">INDEX(tblEnrolledStuds[EStudID],MATCH(tblEnrolledSubjs[[#This Row],[EStudID]]&amp;S1253,tblEnrolledStuds[AdmissionStatusID]&amp;tblEnrolledStuds[StudID],0))</f>
        <v>#N/A</v>
      </c>
    </row>
    <row r="1254" spans="2:25" x14ac:dyDescent="0.25">
      <c r="B1254">
        <v>1252</v>
      </c>
      <c r="C1254">
        <v>345</v>
      </c>
      <c r="D1254" s="22">
        <v>154</v>
      </c>
      <c r="P1254" t="str">
        <f t="shared" si="23"/>
        <v>(NULL,"345","154"),</v>
      </c>
      <c r="Q1254" t="str">
        <f>TextJoin(tblEnrolledSubjs[[#This Row],[CSubjID]:[EStudID]],"Value")</f>
        <v>"345","154"</v>
      </c>
      <c r="S1254">
        <f>LOOKUP(LOOKUP(tblEnrolledSubjs[[#This Row],[CSubjID]], tblClassSubjs[CSubjID],tblClassSubjs[ClassID]),tblClasses[ClassID],tblClasses[STermID])</f>
        <v>6</v>
      </c>
      <c r="T1254" t="str">
        <f>LOOKUP(S1254,tblSchoolTerms[STermID],tblSchoolTerms[SemesterID]&amp;" Semester "&amp;tblSchoolTerms[SchoolYear])</f>
        <v>1 Semester S.Y. 2016-2017</v>
      </c>
      <c r="W12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54" t="e">
        <f t="array" ref="Y1254">INDEX(tblEnrolledStuds[EStudID],MATCH(tblEnrolledSubjs[[#This Row],[EStudID]]&amp;S1254,tblEnrolledStuds[AdmissionStatusID]&amp;tblEnrolledStuds[StudID],0))</f>
        <v>#N/A</v>
      </c>
    </row>
    <row r="1255" spans="2:25" x14ac:dyDescent="0.25">
      <c r="B1255">
        <v>1253</v>
      </c>
      <c r="C1255">
        <v>345</v>
      </c>
      <c r="D1255" s="22">
        <v>155</v>
      </c>
      <c r="P1255" t="str">
        <f t="shared" si="23"/>
        <v>(NULL,"345","155"),</v>
      </c>
      <c r="Q1255" t="str">
        <f>TextJoin(tblEnrolledSubjs[[#This Row],[CSubjID]:[EStudID]],"Value")</f>
        <v>"345","155"</v>
      </c>
      <c r="S1255">
        <f>LOOKUP(LOOKUP(tblEnrolledSubjs[[#This Row],[CSubjID]], tblClassSubjs[CSubjID],tblClassSubjs[ClassID]),tblClasses[ClassID],tblClasses[STermID])</f>
        <v>6</v>
      </c>
      <c r="T1255" t="str">
        <f>LOOKUP(S1255,tblSchoolTerms[STermID],tblSchoolTerms[SemesterID]&amp;" Semester "&amp;tblSchoolTerms[SchoolYear])</f>
        <v>1 Semester S.Y. 2016-2017</v>
      </c>
      <c r="W12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5" t="e">
        <f t="array" ref="Y1255">INDEX(tblEnrolledStuds[EStudID],MATCH(tblEnrolledSubjs[[#This Row],[EStudID]]&amp;S1255,tblEnrolledStuds[AdmissionStatusID]&amp;tblEnrolledStuds[StudID],0))</f>
        <v>#N/A</v>
      </c>
    </row>
    <row r="1256" spans="2:25" x14ac:dyDescent="0.25">
      <c r="B1256">
        <v>1254</v>
      </c>
      <c r="C1256">
        <v>345</v>
      </c>
      <c r="D1256" s="22">
        <v>156</v>
      </c>
      <c r="P1256" t="str">
        <f t="shared" si="23"/>
        <v>(NULL,"345","156"),</v>
      </c>
      <c r="Q1256" t="str">
        <f>TextJoin(tblEnrolledSubjs[[#This Row],[CSubjID]:[EStudID]],"Value")</f>
        <v>"345","156"</v>
      </c>
      <c r="S1256">
        <f>LOOKUP(LOOKUP(tblEnrolledSubjs[[#This Row],[CSubjID]], tblClassSubjs[CSubjID],tblClassSubjs[ClassID]),tblClasses[ClassID],tblClasses[STermID])</f>
        <v>6</v>
      </c>
      <c r="T1256" t="str">
        <f>LOOKUP(S1256,tblSchoolTerms[STermID],tblSchoolTerms[SemesterID]&amp;" Semester "&amp;tblSchoolTerms[SchoolYear])</f>
        <v>1 Semester S.Y. 2016-2017</v>
      </c>
      <c r="W12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6" t="e">
        <f t="array" ref="Y1256">INDEX(tblEnrolledStuds[EStudID],MATCH(tblEnrolledSubjs[[#This Row],[EStudID]]&amp;S1256,tblEnrolledStuds[AdmissionStatusID]&amp;tblEnrolledStuds[StudID],0))</f>
        <v>#N/A</v>
      </c>
    </row>
    <row r="1257" spans="2:25" x14ac:dyDescent="0.25">
      <c r="B1257">
        <v>1255</v>
      </c>
      <c r="C1257">
        <v>346</v>
      </c>
      <c r="D1257" s="22">
        <v>143</v>
      </c>
      <c r="P1257" t="str">
        <f t="shared" si="23"/>
        <v>(NULL,"346","143"),</v>
      </c>
      <c r="Q1257" t="str">
        <f>TextJoin(tblEnrolledSubjs[[#This Row],[CSubjID]:[EStudID]],"Value")</f>
        <v>"346","143"</v>
      </c>
      <c r="S1257">
        <f>LOOKUP(LOOKUP(tblEnrolledSubjs[[#This Row],[CSubjID]], tblClassSubjs[CSubjID],tblClassSubjs[ClassID]),tblClasses[ClassID],tblClasses[STermID])</f>
        <v>6</v>
      </c>
      <c r="T1257" t="str">
        <f>LOOKUP(S1257,tblSchoolTerms[STermID],tblSchoolTerms[SemesterID]&amp;" Semester "&amp;tblSchoolTerms[SchoolYear])</f>
        <v>1 Semester S.Y. 2016-2017</v>
      </c>
      <c r="W12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7" t="e">
        <f t="array" ref="Y1257">INDEX(tblEnrolledStuds[EStudID],MATCH(tblEnrolledSubjs[[#This Row],[EStudID]]&amp;S1257,tblEnrolledStuds[AdmissionStatusID]&amp;tblEnrolledStuds[StudID],0))</f>
        <v>#N/A</v>
      </c>
    </row>
    <row r="1258" spans="2:25" x14ac:dyDescent="0.25">
      <c r="B1258">
        <v>1256</v>
      </c>
      <c r="C1258">
        <v>346</v>
      </c>
      <c r="D1258" s="22">
        <v>149</v>
      </c>
      <c r="P1258" t="str">
        <f t="shared" si="23"/>
        <v>(NULL,"346","149"),</v>
      </c>
      <c r="Q1258" t="str">
        <f>TextJoin(tblEnrolledSubjs[[#This Row],[CSubjID]:[EStudID]],"Value")</f>
        <v>"346","149"</v>
      </c>
      <c r="S1258">
        <f>LOOKUP(LOOKUP(tblEnrolledSubjs[[#This Row],[CSubjID]], tblClassSubjs[CSubjID],tblClassSubjs[ClassID]),tblClasses[ClassID],tblClasses[STermID])</f>
        <v>6</v>
      </c>
      <c r="T1258" t="str">
        <f>LOOKUP(S1258,tblSchoolTerms[STermID],tblSchoolTerms[SemesterID]&amp;" Semester "&amp;tblSchoolTerms[SchoolYear])</f>
        <v>1 Semester S.Y. 2016-2017</v>
      </c>
      <c r="W12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58" t="e">
        <f t="array" ref="Y1258">INDEX(tblEnrolledStuds[EStudID],MATCH(tblEnrolledSubjs[[#This Row],[EStudID]]&amp;S1258,tblEnrolledStuds[AdmissionStatusID]&amp;tblEnrolledStuds[StudID],0))</f>
        <v>#N/A</v>
      </c>
    </row>
    <row r="1259" spans="2:25" x14ac:dyDescent="0.25">
      <c r="B1259">
        <v>1257</v>
      </c>
      <c r="C1259">
        <v>346</v>
      </c>
      <c r="D1259" s="22">
        <v>151</v>
      </c>
      <c r="P1259" t="str">
        <f t="shared" si="23"/>
        <v>(NULL,"346","151"),</v>
      </c>
      <c r="Q1259" t="str">
        <f>TextJoin(tblEnrolledSubjs[[#This Row],[CSubjID]:[EStudID]],"Value")</f>
        <v>"346","151"</v>
      </c>
      <c r="S1259">
        <f>LOOKUP(LOOKUP(tblEnrolledSubjs[[#This Row],[CSubjID]], tblClassSubjs[CSubjID],tblClassSubjs[ClassID]),tblClasses[ClassID],tblClasses[STermID])</f>
        <v>6</v>
      </c>
      <c r="T1259" t="str">
        <f>LOOKUP(S1259,tblSchoolTerms[STermID],tblSchoolTerms[SemesterID]&amp;" Semester "&amp;tblSchoolTerms[SchoolYear])</f>
        <v>1 Semester S.Y. 2016-2017</v>
      </c>
      <c r="W12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59" t="e">
        <f t="array" ref="Y1259">INDEX(tblEnrolledStuds[EStudID],MATCH(tblEnrolledSubjs[[#This Row],[EStudID]]&amp;S1259,tblEnrolledStuds[AdmissionStatusID]&amp;tblEnrolledStuds[StudID],0))</f>
        <v>#N/A</v>
      </c>
    </row>
    <row r="1260" spans="2:25" x14ac:dyDescent="0.25">
      <c r="B1260">
        <v>1258</v>
      </c>
      <c r="C1260">
        <v>346</v>
      </c>
      <c r="D1260" s="22">
        <v>154</v>
      </c>
      <c r="P1260" t="str">
        <f t="shared" si="23"/>
        <v>(NULL,"346","154"),</v>
      </c>
      <c r="Q1260" t="str">
        <f>TextJoin(tblEnrolledSubjs[[#This Row],[CSubjID]:[EStudID]],"Value")</f>
        <v>"346","154"</v>
      </c>
      <c r="S1260">
        <f>LOOKUP(LOOKUP(tblEnrolledSubjs[[#This Row],[CSubjID]], tblClassSubjs[CSubjID],tblClassSubjs[ClassID]),tblClasses[ClassID],tblClasses[STermID])</f>
        <v>6</v>
      </c>
      <c r="T1260" t="str">
        <f>LOOKUP(S1260,tblSchoolTerms[STermID],tblSchoolTerms[SemesterID]&amp;" Semester "&amp;tblSchoolTerms[SchoolYear])</f>
        <v>1 Semester S.Y. 2016-2017</v>
      </c>
      <c r="W12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60" t="e">
        <f t="array" ref="Y1260">INDEX(tblEnrolledStuds[EStudID],MATCH(tblEnrolledSubjs[[#This Row],[EStudID]]&amp;S1260,tblEnrolledStuds[AdmissionStatusID]&amp;tblEnrolledStuds[StudID],0))</f>
        <v>#N/A</v>
      </c>
    </row>
    <row r="1261" spans="2:25" x14ac:dyDescent="0.25">
      <c r="B1261">
        <v>1259</v>
      </c>
      <c r="C1261">
        <v>346</v>
      </c>
      <c r="D1261" s="22">
        <v>155</v>
      </c>
      <c r="P1261" t="str">
        <f t="shared" si="23"/>
        <v>(NULL,"346","155"),</v>
      </c>
      <c r="Q1261" t="str">
        <f>TextJoin(tblEnrolledSubjs[[#This Row],[CSubjID]:[EStudID]],"Value")</f>
        <v>"346","155"</v>
      </c>
      <c r="S1261">
        <f>LOOKUP(LOOKUP(tblEnrolledSubjs[[#This Row],[CSubjID]], tblClassSubjs[CSubjID],tblClassSubjs[ClassID]),tblClasses[ClassID],tblClasses[STermID])</f>
        <v>6</v>
      </c>
      <c r="T1261" t="str">
        <f>LOOKUP(S1261,tblSchoolTerms[STermID],tblSchoolTerms[SemesterID]&amp;" Semester "&amp;tblSchoolTerms[SchoolYear])</f>
        <v>1 Semester S.Y. 2016-2017</v>
      </c>
      <c r="W12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1" t="e">
        <f t="array" ref="Y1261">INDEX(tblEnrolledStuds[EStudID],MATCH(tblEnrolledSubjs[[#This Row],[EStudID]]&amp;S1261,tblEnrolledStuds[AdmissionStatusID]&amp;tblEnrolledStuds[StudID],0))</f>
        <v>#N/A</v>
      </c>
    </row>
    <row r="1262" spans="2:25" x14ac:dyDescent="0.25">
      <c r="B1262">
        <v>1260</v>
      </c>
      <c r="C1262">
        <v>346</v>
      </c>
      <c r="D1262" s="22">
        <v>156</v>
      </c>
      <c r="P1262" t="str">
        <f t="shared" si="23"/>
        <v>(NULL,"346","156"),</v>
      </c>
      <c r="Q1262" t="str">
        <f>TextJoin(tblEnrolledSubjs[[#This Row],[CSubjID]:[EStudID]],"Value")</f>
        <v>"346","156"</v>
      </c>
      <c r="S1262">
        <f>LOOKUP(LOOKUP(tblEnrolledSubjs[[#This Row],[CSubjID]], tblClassSubjs[CSubjID],tblClassSubjs[ClassID]),tblClasses[ClassID],tblClasses[STermID])</f>
        <v>6</v>
      </c>
      <c r="T1262" t="str">
        <f>LOOKUP(S1262,tblSchoolTerms[STermID],tblSchoolTerms[SemesterID]&amp;" Semester "&amp;tblSchoolTerms[SchoolYear])</f>
        <v>1 Semester S.Y. 2016-2017</v>
      </c>
      <c r="W12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2" t="e">
        <f t="array" ref="Y1262">INDEX(tblEnrolledStuds[EStudID],MATCH(tblEnrolledSubjs[[#This Row],[EStudID]]&amp;S1262,tblEnrolledStuds[AdmissionStatusID]&amp;tblEnrolledStuds[StudID],0))</f>
        <v>#N/A</v>
      </c>
    </row>
    <row r="1263" spans="2:25" x14ac:dyDescent="0.25">
      <c r="B1263">
        <v>1261</v>
      </c>
      <c r="C1263">
        <v>347</v>
      </c>
      <c r="D1263" s="22">
        <v>143</v>
      </c>
      <c r="P1263" t="str">
        <f t="shared" si="23"/>
        <v>(NULL,"347","143"),</v>
      </c>
      <c r="Q1263" t="str">
        <f>TextJoin(tblEnrolledSubjs[[#This Row],[CSubjID]:[EStudID]],"Value")</f>
        <v>"347","143"</v>
      </c>
      <c r="S1263">
        <f>LOOKUP(LOOKUP(tblEnrolledSubjs[[#This Row],[CSubjID]], tblClassSubjs[CSubjID],tblClassSubjs[ClassID]),tblClasses[ClassID],tblClasses[STermID])</f>
        <v>6</v>
      </c>
      <c r="T1263" t="str">
        <f>LOOKUP(S1263,tblSchoolTerms[STermID],tblSchoolTerms[SemesterID]&amp;" Semester "&amp;tblSchoolTerms[SchoolYear])</f>
        <v>1 Semester S.Y. 2016-2017</v>
      </c>
      <c r="W12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3" t="e">
        <f t="array" ref="Y1263">INDEX(tblEnrolledStuds[EStudID],MATCH(tblEnrolledSubjs[[#This Row],[EStudID]]&amp;S1263,tblEnrolledStuds[AdmissionStatusID]&amp;tblEnrolledStuds[StudID],0))</f>
        <v>#N/A</v>
      </c>
    </row>
    <row r="1264" spans="2:25" x14ac:dyDescent="0.25">
      <c r="B1264">
        <v>1262</v>
      </c>
      <c r="C1264">
        <v>347</v>
      </c>
      <c r="D1264" s="22">
        <v>149</v>
      </c>
      <c r="P1264" t="str">
        <f t="shared" si="23"/>
        <v>(NULL,"347","149"),</v>
      </c>
      <c r="Q1264" t="str">
        <f>TextJoin(tblEnrolledSubjs[[#This Row],[CSubjID]:[EStudID]],"Value")</f>
        <v>"347","149"</v>
      </c>
      <c r="S1264">
        <f>LOOKUP(LOOKUP(tblEnrolledSubjs[[#This Row],[CSubjID]], tblClassSubjs[CSubjID],tblClassSubjs[ClassID]),tblClasses[ClassID],tblClasses[STermID])</f>
        <v>6</v>
      </c>
      <c r="T1264" t="str">
        <f>LOOKUP(S1264,tblSchoolTerms[STermID],tblSchoolTerms[SemesterID]&amp;" Semester "&amp;tblSchoolTerms[SchoolYear])</f>
        <v>1 Semester S.Y. 2016-2017</v>
      </c>
      <c r="W12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4" t="e">
        <f t="array" ref="Y1264">INDEX(tblEnrolledStuds[EStudID],MATCH(tblEnrolledSubjs[[#This Row],[EStudID]]&amp;S1264,tblEnrolledStuds[AdmissionStatusID]&amp;tblEnrolledStuds[StudID],0))</f>
        <v>#N/A</v>
      </c>
    </row>
    <row r="1265" spans="2:25" x14ac:dyDescent="0.25">
      <c r="B1265">
        <v>1263</v>
      </c>
      <c r="C1265">
        <v>347</v>
      </c>
      <c r="D1265" s="22">
        <v>151</v>
      </c>
      <c r="P1265" t="str">
        <f t="shared" si="23"/>
        <v>(NULL,"347","151"),</v>
      </c>
      <c r="Q1265" t="str">
        <f>TextJoin(tblEnrolledSubjs[[#This Row],[CSubjID]:[EStudID]],"Value")</f>
        <v>"347","151"</v>
      </c>
      <c r="S1265">
        <f>LOOKUP(LOOKUP(tblEnrolledSubjs[[#This Row],[CSubjID]], tblClassSubjs[CSubjID],tblClassSubjs[ClassID]),tblClasses[ClassID],tblClasses[STermID])</f>
        <v>6</v>
      </c>
      <c r="T1265" t="str">
        <f>LOOKUP(S1265,tblSchoolTerms[STermID],tblSchoolTerms[SemesterID]&amp;" Semester "&amp;tblSchoolTerms[SchoolYear])</f>
        <v>1 Semester S.Y. 2016-2017</v>
      </c>
      <c r="W12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65" t="e">
        <f t="array" ref="Y1265">INDEX(tblEnrolledStuds[EStudID],MATCH(tblEnrolledSubjs[[#This Row],[EStudID]]&amp;S1265,tblEnrolledStuds[AdmissionStatusID]&amp;tblEnrolledStuds[StudID],0))</f>
        <v>#N/A</v>
      </c>
    </row>
    <row r="1266" spans="2:25" x14ac:dyDescent="0.25">
      <c r="B1266">
        <v>1264</v>
      </c>
      <c r="C1266">
        <v>347</v>
      </c>
      <c r="D1266" s="22">
        <v>154</v>
      </c>
      <c r="P1266" t="str">
        <f t="shared" si="23"/>
        <v>(NULL,"347","154"),</v>
      </c>
      <c r="Q1266" t="str">
        <f>TextJoin(tblEnrolledSubjs[[#This Row],[CSubjID]:[EStudID]],"Value")</f>
        <v>"347","154"</v>
      </c>
      <c r="S1266">
        <f>LOOKUP(LOOKUP(tblEnrolledSubjs[[#This Row],[CSubjID]], tblClassSubjs[CSubjID],tblClassSubjs[ClassID]),tblClasses[ClassID],tblClasses[STermID])</f>
        <v>6</v>
      </c>
      <c r="T1266" t="str">
        <f>LOOKUP(S1266,tblSchoolTerms[STermID],tblSchoolTerms[SemesterID]&amp;" Semester "&amp;tblSchoolTerms[SchoolYear])</f>
        <v>1 Semester S.Y. 2016-2017</v>
      </c>
      <c r="W12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66" t="e">
        <f t="array" ref="Y1266">INDEX(tblEnrolledStuds[EStudID],MATCH(tblEnrolledSubjs[[#This Row],[EStudID]]&amp;S1266,tblEnrolledStuds[AdmissionStatusID]&amp;tblEnrolledStuds[StudID],0))</f>
        <v>#N/A</v>
      </c>
    </row>
    <row r="1267" spans="2:25" x14ac:dyDescent="0.25">
      <c r="B1267">
        <v>1265</v>
      </c>
      <c r="C1267">
        <v>347</v>
      </c>
      <c r="D1267" s="22">
        <v>155</v>
      </c>
      <c r="P1267" t="str">
        <f t="shared" si="23"/>
        <v>(NULL,"347","155"),</v>
      </c>
      <c r="Q1267" t="str">
        <f>TextJoin(tblEnrolledSubjs[[#This Row],[CSubjID]:[EStudID]],"Value")</f>
        <v>"347","155"</v>
      </c>
      <c r="S1267">
        <f>LOOKUP(LOOKUP(tblEnrolledSubjs[[#This Row],[CSubjID]], tblClassSubjs[CSubjID],tblClassSubjs[ClassID]),tblClasses[ClassID],tblClasses[STermID])</f>
        <v>6</v>
      </c>
      <c r="T1267" t="str">
        <f>LOOKUP(S1267,tblSchoolTerms[STermID],tblSchoolTerms[SemesterID]&amp;" Semester "&amp;tblSchoolTerms[SchoolYear])</f>
        <v>1 Semester S.Y. 2016-2017</v>
      </c>
      <c r="W12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7" t="e">
        <f t="array" ref="Y1267">INDEX(tblEnrolledStuds[EStudID],MATCH(tblEnrolledSubjs[[#This Row],[EStudID]]&amp;S1267,tblEnrolledStuds[AdmissionStatusID]&amp;tblEnrolledStuds[StudID],0))</f>
        <v>#N/A</v>
      </c>
    </row>
    <row r="1268" spans="2:25" x14ac:dyDescent="0.25">
      <c r="B1268">
        <v>1266</v>
      </c>
      <c r="C1268">
        <v>347</v>
      </c>
      <c r="D1268" s="22">
        <v>156</v>
      </c>
      <c r="P1268" t="str">
        <f t="shared" si="23"/>
        <v>(NULL,"347","156"),</v>
      </c>
      <c r="Q1268" t="str">
        <f>TextJoin(tblEnrolledSubjs[[#This Row],[CSubjID]:[EStudID]],"Value")</f>
        <v>"347","156"</v>
      </c>
      <c r="S1268">
        <f>LOOKUP(LOOKUP(tblEnrolledSubjs[[#This Row],[CSubjID]], tblClassSubjs[CSubjID],tblClassSubjs[ClassID]),tblClasses[ClassID],tblClasses[STermID])</f>
        <v>6</v>
      </c>
      <c r="T1268" t="str">
        <f>LOOKUP(S1268,tblSchoolTerms[STermID],tblSchoolTerms[SemesterID]&amp;" Semester "&amp;tblSchoolTerms[SchoolYear])</f>
        <v>1 Semester S.Y. 2016-2017</v>
      </c>
      <c r="W12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8" t="e">
        <f t="array" ref="Y1268">INDEX(tblEnrolledStuds[EStudID],MATCH(tblEnrolledSubjs[[#This Row],[EStudID]]&amp;S1268,tblEnrolledStuds[AdmissionStatusID]&amp;tblEnrolledStuds[StudID],0))</f>
        <v>#N/A</v>
      </c>
    </row>
    <row r="1269" spans="2:25" x14ac:dyDescent="0.25">
      <c r="B1269">
        <v>1267</v>
      </c>
      <c r="C1269">
        <v>348</v>
      </c>
      <c r="D1269" s="22">
        <v>143</v>
      </c>
      <c r="P1269" t="str">
        <f t="shared" si="23"/>
        <v>(NULL,"348","143"),</v>
      </c>
      <c r="Q1269" t="str">
        <f>TextJoin(tblEnrolledSubjs[[#This Row],[CSubjID]:[EStudID]],"Value")</f>
        <v>"348","143"</v>
      </c>
      <c r="S1269">
        <f>LOOKUP(LOOKUP(tblEnrolledSubjs[[#This Row],[CSubjID]], tblClassSubjs[CSubjID],tblClassSubjs[ClassID]),tblClasses[ClassID],tblClasses[STermID])</f>
        <v>6</v>
      </c>
      <c r="T1269" t="str">
        <f>LOOKUP(S1269,tblSchoolTerms[STermID],tblSchoolTerms[SemesterID]&amp;" Semester "&amp;tblSchoolTerms[SchoolYear])</f>
        <v>1 Semester S.Y. 2016-2017</v>
      </c>
      <c r="W12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69" t="e">
        <f t="array" ref="Y1269">INDEX(tblEnrolledStuds[EStudID],MATCH(tblEnrolledSubjs[[#This Row],[EStudID]]&amp;S1269,tblEnrolledStuds[AdmissionStatusID]&amp;tblEnrolledStuds[StudID],0))</f>
        <v>#N/A</v>
      </c>
    </row>
    <row r="1270" spans="2:25" x14ac:dyDescent="0.25">
      <c r="B1270">
        <v>1268</v>
      </c>
      <c r="C1270">
        <v>348</v>
      </c>
      <c r="D1270" s="22">
        <v>149</v>
      </c>
      <c r="P1270" t="str">
        <f t="shared" si="23"/>
        <v>(NULL,"348","149"),</v>
      </c>
      <c r="Q1270" t="str">
        <f>TextJoin(tblEnrolledSubjs[[#This Row],[CSubjID]:[EStudID]],"Value")</f>
        <v>"348","149"</v>
      </c>
      <c r="S1270">
        <f>LOOKUP(LOOKUP(tblEnrolledSubjs[[#This Row],[CSubjID]], tblClassSubjs[CSubjID],tblClassSubjs[ClassID]),tblClasses[ClassID],tblClasses[STermID])</f>
        <v>6</v>
      </c>
      <c r="T1270" t="str">
        <f>LOOKUP(S1270,tblSchoolTerms[STermID],tblSchoolTerms[SemesterID]&amp;" Semester "&amp;tblSchoolTerms[SchoolYear])</f>
        <v>1 Semester S.Y. 2016-2017</v>
      </c>
      <c r="W12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70" t="e">
        <f t="array" ref="Y1270">INDEX(tblEnrolledStuds[EStudID],MATCH(tblEnrolledSubjs[[#This Row],[EStudID]]&amp;S1270,tblEnrolledStuds[AdmissionStatusID]&amp;tblEnrolledStuds[StudID],0))</f>
        <v>#N/A</v>
      </c>
    </row>
    <row r="1271" spans="2:25" x14ac:dyDescent="0.25">
      <c r="B1271">
        <v>1269</v>
      </c>
      <c r="C1271">
        <v>348</v>
      </c>
      <c r="D1271" s="22">
        <v>151</v>
      </c>
      <c r="P1271" t="str">
        <f t="shared" si="23"/>
        <v>(NULL,"348","151"),</v>
      </c>
      <c r="Q1271" t="str">
        <f>TextJoin(tblEnrolledSubjs[[#This Row],[CSubjID]:[EStudID]],"Value")</f>
        <v>"348","151"</v>
      </c>
      <c r="S1271">
        <f>LOOKUP(LOOKUP(tblEnrolledSubjs[[#This Row],[CSubjID]], tblClassSubjs[CSubjID],tblClassSubjs[ClassID]),tblClasses[ClassID],tblClasses[STermID])</f>
        <v>6</v>
      </c>
      <c r="T1271" t="str">
        <f>LOOKUP(S1271,tblSchoolTerms[STermID],tblSchoolTerms[SemesterID]&amp;" Semester "&amp;tblSchoolTerms[SchoolYear])</f>
        <v>1 Semester S.Y. 2016-2017</v>
      </c>
      <c r="W12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71" t="e">
        <f t="array" ref="Y1271">INDEX(tblEnrolledStuds[EStudID],MATCH(tblEnrolledSubjs[[#This Row],[EStudID]]&amp;S1271,tblEnrolledStuds[AdmissionStatusID]&amp;tblEnrolledStuds[StudID],0))</f>
        <v>#N/A</v>
      </c>
    </row>
    <row r="1272" spans="2:25" x14ac:dyDescent="0.25">
      <c r="B1272">
        <v>1270</v>
      </c>
      <c r="C1272">
        <v>348</v>
      </c>
      <c r="D1272" s="22">
        <v>154</v>
      </c>
      <c r="P1272" t="str">
        <f t="shared" si="23"/>
        <v>(NULL,"348","154"),</v>
      </c>
      <c r="Q1272" t="str">
        <f>TextJoin(tblEnrolledSubjs[[#This Row],[CSubjID]:[EStudID]],"Value")</f>
        <v>"348","154"</v>
      </c>
      <c r="S1272">
        <f>LOOKUP(LOOKUP(tblEnrolledSubjs[[#This Row],[CSubjID]], tblClassSubjs[CSubjID],tblClassSubjs[ClassID]),tblClasses[ClassID],tblClasses[STermID])</f>
        <v>6</v>
      </c>
      <c r="T1272" t="str">
        <f>LOOKUP(S1272,tblSchoolTerms[STermID],tblSchoolTerms[SemesterID]&amp;" Semester "&amp;tblSchoolTerms[SchoolYear])</f>
        <v>1 Semester S.Y. 2016-2017</v>
      </c>
      <c r="W12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72" t="e">
        <f t="array" ref="Y1272">INDEX(tblEnrolledStuds[EStudID],MATCH(tblEnrolledSubjs[[#This Row],[EStudID]]&amp;S1272,tblEnrolledStuds[AdmissionStatusID]&amp;tblEnrolledStuds[StudID],0))</f>
        <v>#N/A</v>
      </c>
    </row>
    <row r="1273" spans="2:25" x14ac:dyDescent="0.25">
      <c r="B1273">
        <v>1271</v>
      </c>
      <c r="C1273">
        <v>348</v>
      </c>
      <c r="D1273" s="22">
        <v>155</v>
      </c>
      <c r="P1273" t="str">
        <f t="shared" si="23"/>
        <v>(NULL,"348","155"),</v>
      </c>
      <c r="Q1273" t="str">
        <f>TextJoin(tblEnrolledSubjs[[#This Row],[CSubjID]:[EStudID]],"Value")</f>
        <v>"348","155"</v>
      </c>
      <c r="S1273">
        <f>LOOKUP(LOOKUP(tblEnrolledSubjs[[#This Row],[CSubjID]], tblClassSubjs[CSubjID],tblClassSubjs[ClassID]),tblClasses[ClassID],tblClasses[STermID])</f>
        <v>6</v>
      </c>
      <c r="T1273" t="str">
        <f>LOOKUP(S1273,tblSchoolTerms[STermID],tblSchoolTerms[SemesterID]&amp;" Semester "&amp;tblSchoolTerms[SchoolYear])</f>
        <v>1 Semester S.Y. 2016-2017</v>
      </c>
      <c r="W12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73" t="e">
        <f t="array" ref="Y1273">INDEX(tblEnrolledStuds[EStudID],MATCH(tblEnrolledSubjs[[#This Row],[EStudID]]&amp;S1273,tblEnrolledStuds[AdmissionStatusID]&amp;tblEnrolledStuds[StudID],0))</f>
        <v>#N/A</v>
      </c>
    </row>
    <row r="1274" spans="2:25" x14ac:dyDescent="0.25">
      <c r="B1274">
        <v>1272</v>
      </c>
      <c r="C1274">
        <v>348</v>
      </c>
      <c r="D1274" s="22">
        <v>156</v>
      </c>
      <c r="P1274" t="str">
        <f t="shared" si="23"/>
        <v>(NULL,"348","156"),</v>
      </c>
      <c r="Q1274" t="str">
        <f>TextJoin(tblEnrolledSubjs[[#This Row],[CSubjID]:[EStudID]],"Value")</f>
        <v>"348","156"</v>
      </c>
      <c r="S1274">
        <f>LOOKUP(LOOKUP(tblEnrolledSubjs[[#This Row],[CSubjID]], tblClassSubjs[CSubjID],tblClassSubjs[ClassID]),tblClasses[ClassID],tblClasses[STermID])</f>
        <v>6</v>
      </c>
      <c r="T1274" t="str">
        <f>LOOKUP(S1274,tblSchoolTerms[STermID],tblSchoolTerms[SemesterID]&amp;" Semester "&amp;tblSchoolTerms[SchoolYear])</f>
        <v>1 Semester S.Y. 2016-2017</v>
      </c>
      <c r="W12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74" t="e">
        <f t="array" ref="Y1274">INDEX(tblEnrolledStuds[EStudID],MATCH(tblEnrolledSubjs[[#This Row],[EStudID]]&amp;S1274,tblEnrolledStuds[AdmissionStatusID]&amp;tblEnrolledStuds[StudID],0))</f>
        <v>#N/A</v>
      </c>
    </row>
    <row r="1275" spans="2:25" x14ac:dyDescent="0.25">
      <c r="B1275">
        <v>1273</v>
      </c>
      <c r="C1275">
        <v>349</v>
      </c>
      <c r="D1275" s="22">
        <v>143</v>
      </c>
      <c r="P1275" t="str">
        <f t="shared" si="23"/>
        <v>(NULL,"349","143"),</v>
      </c>
      <c r="Q1275" t="str">
        <f>TextJoin(tblEnrolledSubjs[[#This Row],[CSubjID]:[EStudID]],"Value")</f>
        <v>"349","143"</v>
      </c>
      <c r="S1275">
        <f>LOOKUP(LOOKUP(tblEnrolledSubjs[[#This Row],[CSubjID]], tblClassSubjs[CSubjID],tblClassSubjs[ClassID]),tblClasses[ClassID],tblClasses[STermID])</f>
        <v>6</v>
      </c>
      <c r="T1275" t="str">
        <f>LOOKUP(S1275,tblSchoolTerms[STermID],tblSchoolTerms[SemesterID]&amp;" Semester "&amp;tblSchoolTerms[SchoolYear])</f>
        <v>1 Semester S.Y. 2016-2017</v>
      </c>
      <c r="W12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75" t="e">
        <f t="array" ref="Y1275">INDEX(tblEnrolledStuds[EStudID],MATCH(tblEnrolledSubjs[[#This Row],[EStudID]]&amp;S1275,tblEnrolledStuds[AdmissionStatusID]&amp;tblEnrolledStuds[StudID],0))</f>
        <v>#N/A</v>
      </c>
    </row>
    <row r="1276" spans="2:25" x14ac:dyDescent="0.25">
      <c r="B1276">
        <v>1274</v>
      </c>
      <c r="C1276">
        <v>349</v>
      </c>
      <c r="D1276" s="22">
        <v>149</v>
      </c>
      <c r="P1276" t="str">
        <f t="shared" si="23"/>
        <v>(NULL,"349","149"),</v>
      </c>
      <c r="Q1276" t="str">
        <f>TextJoin(tblEnrolledSubjs[[#This Row],[CSubjID]:[EStudID]],"Value")</f>
        <v>"349","149"</v>
      </c>
      <c r="S1276">
        <f>LOOKUP(LOOKUP(tblEnrolledSubjs[[#This Row],[CSubjID]], tblClassSubjs[CSubjID],tblClassSubjs[ClassID]),tblClasses[ClassID],tblClasses[STermID])</f>
        <v>6</v>
      </c>
      <c r="T1276" t="str">
        <f>LOOKUP(S1276,tblSchoolTerms[STermID],tblSchoolTerms[SemesterID]&amp;" Semester "&amp;tblSchoolTerms[SchoolYear])</f>
        <v>1 Semester S.Y. 2016-2017</v>
      </c>
      <c r="W12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76" t="e">
        <f t="array" ref="Y1276">INDEX(tblEnrolledStuds[EStudID],MATCH(tblEnrolledSubjs[[#This Row],[EStudID]]&amp;S1276,tblEnrolledStuds[AdmissionStatusID]&amp;tblEnrolledStuds[StudID],0))</f>
        <v>#N/A</v>
      </c>
    </row>
    <row r="1277" spans="2:25" x14ac:dyDescent="0.25">
      <c r="B1277">
        <v>1275</v>
      </c>
      <c r="C1277">
        <v>349</v>
      </c>
      <c r="D1277" s="22">
        <v>151</v>
      </c>
      <c r="P1277" t="str">
        <f t="shared" si="23"/>
        <v>(NULL,"349","151"),</v>
      </c>
      <c r="Q1277" t="str">
        <f>TextJoin(tblEnrolledSubjs[[#This Row],[CSubjID]:[EStudID]],"Value")</f>
        <v>"349","151"</v>
      </c>
      <c r="S1277">
        <f>LOOKUP(LOOKUP(tblEnrolledSubjs[[#This Row],[CSubjID]], tblClassSubjs[CSubjID],tblClassSubjs[ClassID]),tblClasses[ClassID],tblClasses[STermID])</f>
        <v>6</v>
      </c>
      <c r="T1277" t="str">
        <f>LOOKUP(S1277,tblSchoolTerms[STermID],tblSchoolTerms[SemesterID]&amp;" Semester "&amp;tblSchoolTerms[SchoolYear])</f>
        <v>1 Semester S.Y. 2016-2017</v>
      </c>
      <c r="W12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77" t="e">
        <f t="array" ref="Y1277">INDEX(tblEnrolledStuds[EStudID],MATCH(tblEnrolledSubjs[[#This Row],[EStudID]]&amp;S1277,tblEnrolledStuds[AdmissionStatusID]&amp;tblEnrolledStuds[StudID],0))</f>
        <v>#N/A</v>
      </c>
    </row>
    <row r="1278" spans="2:25" x14ac:dyDescent="0.25">
      <c r="B1278">
        <v>1276</v>
      </c>
      <c r="C1278">
        <v>349</v>
      </c>
      <c r="D1278" s="22">
        <v>154</v>
      </c>
      <c r="P1278" t="str">
        <f t="shared" si="23"/>
        <v>(NULL,"349","154"),</v>
      </c>
      <c r="Q1278" t="str">
        <f>TextJoin(tblEnrolledSubjs[[#This Row],[CSubjID]:[EStudID]],"Value")</f>
        <v>"349","154"</v>
      </c>
      <c r="S1278">
        <f>LOOKUP(LOOKUP(tblEnrolledSubjs[[#This Row],[CSubjID]], tblClassSubjs[CSubjID],tblClassSubjs[ClassID]),tblClasses[ClassID],tblClasses[STermID])</f>
        <v>6</v>
      </c>
      <c r="T1278" t="str">
        <f>LOOKUP(S1278,tblSchoolTerms[STermID],tblSchoolTerms[SemesterID]&amp;" Semester "&amp;tblSchoolTerms[SchoolYear])</f>
        <v>1 Semester S.Y. 2016-2017</v>
      </c>
      <c r="W12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78" t="e">
        <f t="array" ref="Y1278">INDEX(tblEnrolledStuds[EStudID],MATCH(tblEnrolledSubjs[[#This Row],[EStudID]]&amp;S1278,tblEnrolledStuds[AdmissionStatusID]&amp;tblEnrolledStuds[StudID],0))</f>
        <v>#N/A</v>
      </c>
    </row>
    <row r="1279" spans="2:25" x14ac:dyDescent="0.25">
      <c r="B1279">
        <v>1277</v>
      </c>
      <c r="C1279">
        <v>349</v>
      </c>
      <c r="D1279" s="22">
        <v>155</v>
      </c>
      <c r="P1279" t="str">
        <f t="shared" si="23"/>
        <v>(NULL,"349","155"),</v>
      </c>
      <c r="Q1279" t="str">
        <f>TextJoin(tblEnrolledSubjs[[#This Row],[CSubjID]:[EStudID]],"Value")</f>
        <v>"349","155"</v>
      </c>
      <c r="S1279">
        <f>LOOKUP(LOOKUP(tblEnrolledSubjs[[#This Row],[CSubjID]], tblClassSubjs[CSubjID],tblClassSubjs[ClassID]),tblClasses[ClassID],tblClasses[STermID])</f>
        <v>6</v>
      </c>
      <c r="T1279" t="str">
        <f>LOOKUP(S1279,tblSchoolTerms[STermID],tblSchoolTerms[SemesterID]&amp;" Semester "&amp;tblSchoolTerms[SchoolYear])</f>
        <v>1 Semester S.Y. 2016-2017</v>
      </c>
      <c r="W12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79" t="e">
        <f t="array" ref="Y1279">INDEX(tblEnrolledStuds[EStudID],MATCH(tblEnrolledSubjs[[#This Row],[EStudID]]&amp;S1279,tblEnrolledStuds[AdmissionStatusID]&amp;tblEnrolledStuds[StudID],0))</f>
        <v>#N/A</v>
      </c>
    </row>
    <row r="1280" spans="2:25" x14ac:dyDescent="0.25">
      <c r="B1280">
        <v>1278</v>
      </c>
      <c r="C1280">
        <v>349</v>
      </c>
      <c r="D1280" s="22">
        <v>156</v>
      </c>
      <c r="I1280">
        <v>6</v>
      </c>
      <c r="P1280" t="str">
        <f t="shared" si="23"/>
        <v>(NULL,"349","156"),</v>
      </c>
      <c r="Q1280" t="str">
        <f>TextJoin(tblEnrolledSubjs[[#This Row],[CSubjID]:[EStudID]],"Value")</f>
        <v>"349","156"</v>
      </c>
      <c r="S1280">
        <f>LOOKUP(LOOKUP(tblEnrolledSubjs[[#This Row],[CSubjID]], tblClassSubjs[CSubjID],tblClassSubjs[ClassID]),tblClasses[ClassID],tblClasses[STermID])</f>
        <v>6</v>
      </c>
      <c r="T1280" t="str">
        <f>LOOKUP(S1280,tblSchoolTerms[STermID],tblSchoolTerms[SemesterID]&amp;" Semester "&amp;tblSchoolTerms[SchoolYear])</f>
        <v>1 Semester S.Y. 2016-2017</v>
      </c>
      <c r="W12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0" t="e">
        <f t="array" ref="Y1280">INDEX(tblEnrolledStuds[EStudID],MATCH(tblEnrolledSubjs[[#This Row],[EStudID]]&amp;S1280,tblEnrolledStuds[AdmissionStatusID]&amp;tblEnrolledStuds[StudID],0))</f>
        <v>#N/A</v>
      </c>
    </row>
    <row r="1281" spans="2:25" x14ac:dyDescent="0.25">
      <c r="B1281">
        <v>1279</v>
      </c>
      <c r="C1281">
        <v>396</v>
      </c>
      <c r="D1281" s="22">
        <v>160</v>
      </c>
      <c r="E1281" s="28"/>
      <c r="F1281" s="28"/>
      <c r="G1281" s="28"/>
      <c r="H1281" s="28"/>
      <c r="I1281" s="28">
        <v>7</v>
      </c>
      <c r="P1281" t="str">
        <f t="shared" si="23"/>
        <v>(NULL,"396","160"),</v>
      </c>
      <c r="Q1281" t="str">
        <f>TextJoin(tblEnrolledSubjs[[#This Row],[CSubjID]:[EStudID]],"Value")</f>
        <v>"396","160"</v>
      </c>
      <c r="S1281">
        <f>LOOKUP(LOOKUP(tblEnrolledSubjs[[#This Row],[CSubjID]], tblClassSubjs[CSubjID],tblClassSubjs[ClassID]),tblClasses[ClassID],tblClasses[STermID])</f>
        <v>7</v>
      </c>
      <c r="T1281" t="str">
        <f>LOOKUP(S1281,tblSchoolTerms[STermID],tblSchoolTerms[SemesterID]&amp;" Semester "&amp;tblSchoolTerms[SchoolYear])</f>
        <v>2 Semester S.Y. 2015-2016</v>
      </c>
      <c r="W12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1" t="e">
        <f t="array" ref="Y1281">INDEX(tblEnrolledStuds[EStudID],MATCH(tblEnrolledSubjs[[#This Row],[EStudID]]&amp;S1281,tblEnrolledStuds[AdmissionStatusID]&amp;tblEnrolledStuds[StudID],0))</f>
        <v>#N/A</v>
      </c>
    </row>
    <row r="1282" spans="2:25" x14ac:dyDescent="0.25">
      <c r="B1282">
        <v>1280</v>
      </c>
      <c r="C1282">
        <v>396</v>
      </c>
      <c r="D1282" s="22">
        <v>166</v>
      </c>
      <c r="P1282" t="str">
        <f t="shared" si="23"/>
        <v>(NULL,"396","166"),</v>
      </c>
      <c r="Q1282" t="str">
        <f>TextJoin(tblEnrolledSubjs[[#This Row],[CSubjID]:[EStudID]],"Value")</f>
        <v>"396","166"</v>
      </c>
      <c r="S1282">
        <f>LOOKUP(LOOKUP(tblEnrolledSubjs[[#This Row],[CSubjID]], tblClassSubjs[CSubjID],tblClassSubjs[ClassID]),tblClasses[ClassID],tblClasses[STermID])</f>
        <v>7</v>
      </c>
      <c r="T1282" t="str">
        <f>LOOKUP(S1282,tblSchoolTerms[STermID],tblSchoolTerms[SemesterID]&amp;" Semester "&amp;tblSchoolTerms[SchoolYear])</f>
        <v>2 Semester S.Y. 2015-2016</v>
      </c>
      <c r="W12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2" t="e">
        <f t="array" ref="Y1282">INDEX(tblEnrolledStuds[EStudID],MATCH(tblEnrolledSubjs[[#This Row],[EStudID]]&amp;S1282,tblEnrolledStuds[AdmissionStatusID]&amp;tblEnrolledStuds[StudID],0))</f>
        <v>#N/A</v>
      </c>
    </row>
    <row r="1283" spans="2:25" x14ac:dyDescent="0.25">
      <c r="B1283">
        <v>1281</v>
      </c>
      <c r="C1283">
        <v>396</v>
      </c>
      <c r="D1283" s="22">
        <v>168</v>
      </c>
      <c r="P1283" t="str">
        <f t="shared" si="23"/>
        <v>(NULL,"396","168"),</v>
      </c>
      <c r="Q1283" t="str">
        <f>TextJoin(tblEnrolledSubjs[[#This Row],[CSubjID]:[EStudID]],"Value")</f>
        <v>"396","168"</v>
      </c>
      <c r="S1283">
        <f>LOOKUP(LOOKUP(tblEnrolledSubjs[[#This Row],[CSubjID]], tblClassSubjs[CSubjID],tblClassSubjs[ClassID]),tblClasses[ClassID],tblClasses[STermID])</f>
        <v>7</v>
      </c>
      <c r="T1283" t="str">
        <f>LOOKUP(S1283,tblSchoolTerms[STermID],tblSchoolTerms[SemesterID]&amp;" Semester "&amp;tblSchoolTerms[SchoolYear])</f>
        <v>2 Semester S.Y. 2015-2016</v>
      </c>
      <c r="W12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83" t="e">
        <f t="array" ref="Y1283">INDEX(tblEnrolledStuds[EStudID],MATCH(tblEnrolledSubjs[[#This Row],[EStudID]]&amp;S1283,tblEnrolledStuds[AdmissionStatusID]&amp;tblEnrolledStuds[StudID],0))</f>
        <v>#N/A</v>
      </c>
    </row>
    <row r="1284" spans="2:25" x14ac:dyDescent="0.25">
      <c r="B1284">
        <v>1282</v>
      </c>
      <c r="C1284">
        <v>396</v>
      </c>
      <c r="D1284" s="22">
        <v>171</v>
      </c>
      <c r="P1284" t="str">
        <f t="shared" ref="P1284:P1347" si="24">"(NULL,"&amp;Q1284&amp;")"&amp;IF(P1285&lt;&gt;"",",",";")</f>
        <v>(NULL,"396","171"),</v>
      </c>
      <c r="Q1284" t="str">
        <f>TextJoin(tblEnrolledSubjs[[#This Row],[CSubjID]:[EStudID]],"Value")</f>
        <v>"396","171"</v>
      </c>
      <c r="S1284">
        <f>LOOKUP(LOOKUP(tblEnrolledSubjs[[#This Row],[CSubjID]], tblClassSubjs[CSubjID],tblClassSubjs[ClassID]),tblClasses[ClassID],tblClasses[STermID])</f>
        <v>7</v>
      </c>
      <c r="T1284" t="str">
        <f>LOOKUP(S1284,tblSchoolTerms[STermID],tblSchoolTerms[SemesterID]&amp;" Semester "&amp;tblSchoolTerms[SchoolYear])</f>
        <v>2 Semester S.Y. 2015-2016</v>
      </c>
      <c r="W12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84" t="e">
        <f t="array" ref="Y1284">INDEX(tblEnrolledStuds[EStudID],MATCH(tblEnrolledSubjs[[#This Row],[EStudID]]&amp;S1284,tblEnrolledStuds[AdmissionStatusID]&amp;tblEnrolledStuds[StudID],0))</f>
        <v>#N/A</v>
      </c>
    </row>
    <row r="1285" spans="2:25" x14ac:dyDescent="0.25">
      <c r="B1285">
        <v>1283</v>
      </c>
      <c r="C1285">
        <v>396</v>
      </c>
      <c r="D1285" s="22">
        <v>172</v>
      </c>
      <c r="P1285" t="str">
        <f t="shared" si="24"/>
        <v>(NULL,"396","172"),</v>
      </c>
      <c r="Q1285" t="str">
        <f>TextJoin(tblEnrolledSubjs[[#This Row],[CSubjID]:[EStudID]],"Value")</f>
        <v>"396","172"</v>
      </c>
      <c r="S1285">
        <f>LOOKUP(LOOKUP(tblEnrolledSubjs[[#This Row],[CSubjID]], tblClassSubjs[CSubjID],tblClassSubjs[ClassID]),tblClasses[ClassID],tblClasses[STermID])</f>
        <v>7</v>
      </c>
      <c r="T1285" t="str">
        <f>LOOKUP(S1285,tblSchoolTerms[STermID],tblSchoolTerms[SemesterID]&amp;" Semester "&amp;tblSchoolTerms[SchoolYear])</f>
        <v>2 Semester S.Y. 2015-2016</v>
      </c>
      <c r="W12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5" t="e">
        <f t="array" ref="Y1285">INDEX(tblEnrolledStuds[EStudID],MATCH(tblEnrolledSubjs[[#This Row],[EStudID]]&amp;S1285,tblEnrolledStuds[AdmissionStatusID]&amp;tblEnrolledStuds[StudID],0))</f>
        <v>#N/A</v>
      </c>
    </row>
    <row r="1286" spans="2:25" x14ac:dyDescent="0.25">
      <c r="B1286">
        <v>1284</v>
      </c>
      <c r="C1286">
        <v>396</v>
      </c>
      <c r="D1286" s="22">
        <v>173</v>
      </c>
      <c r="P1286" t="str">
        <f t="shared" si="24"/>
        <v>(NULL,"396","173"),</v>
      </c>
      <c r="Q1286" t="str">
        <f>TextJoin(tblEnrolledSubjs[[#This Row],[CSubjID]:[EStudID]],"Value")</f>
        <v>"396","173"</v>
      </c>
      <c r="S1286">
        <f>LOOKUP(LOOKUP(tblEnrolledSubjs[[#This Row],[CSubjID]], tblClassSubjs[CSubjID],tblClassSubjs[ClassID]),tblClasses[ClassID],tblClasses[STermID])</f>
        <v>7</v>
      </c>
      <c r="T1286" t="str">
        <f>LOOKUP(S1286,tblSchoolTerms[STermID],tblSchoolTerms[SemesterID]&amp;" Semester "&amp;tblSchoolTerms[SchoolYear])</f>
        <v>2 Semester S.Y. 2015-2016</v>
      </c>
      <c r="W12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6" t="e">
        <f t="array" ref="Y1286">INDEX(tblEnrolledStuds[EStudID],MATCH(tblEnrolledSubjs[[#This Row],[EStudID]]&amp;S1286,tblEnrolledStuds[AdmissionStatusID]&amp;tblEnrolledStuds[StudID],0))</f>
        <v>#N/A</v>
      </c>
    </row>
    <row r="1287" spans="2:25" x14ac:dyDescent="0.25">
      <c r="B1287">
        <v>1285</v>
      </c>
      <c r="C1287">
        <v>397</v>
      </c>
      <c r="D1287" s="22">
        <v>160</v>
      </c>
      <c r="P1287" t="str">
        <f t="shared" si="24"/>
        <v>(NULL,"397","160"),</v>
      </c>
      <c r="Q1287" t="str">
        <f>TextJoin(tblEnrolledSubjs[[#This Row],[CSubjID]:[EStudID]],"Value")</f>
        <v>"397","160"</v>
      </c>
      <c r="S1287">
        <f>LOOKUP(LOOKUP(tblEnrolledSubjs[[#This Row],[CSubjID]], tblClassSubjs[CSubjID],tblClassSubjs[ClassID]),tblClasses[ClassID],tblClasses[STermID])</f>
        <v>7</v>
      </c>
      <c r="T1287" t="str">
        <f>LOOKUP(S1287,tblSchoolTerms[STermID],tblSchoolTerms[SemesterID]&amp;" Semester "&amp;tblSchoolTerms[SchoolYear])</f>
        <v>2 Semester S.Y. 2015-2016</v>
      </c>
      <c r="W12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7" t="e">
        <f t="array" ref="Y1287">INDEX(tblEnrolledStuds[EStudID],MATCH(tblEnrolledSubjs[[#This Row],[EStudID]]&amp;S1287,tblEnrolledStuds[AdmissionStatusID]&amp;tblEnrolledStuds[StudID],0))</f>
        <v>#N/A</v>
      </c>
    </row>
    <row r="1288" spans="2:25" x14ac:dyDescent="0.25">
      <c r="B1288">
        <v>1286</v>
      </c>
      <c r="C1288">
        <v>397</v>
      </c>
      <c r="D1288" s="22">
        <v>166</v>
      </c>
      <c r="P1288" t="str">
        <f t="shared" si="24"/>
        <v>(NULL,"397","166"),</v>
      </c>
      <c r="Q1288" t="str">
        <f>TextJoin(tblEnrolledSubjs[[#This Row],[CSubjID]:[EStudID]],"Value")</f>
        <v>"397","166"</v>
      </c>
      <c r="S1288">
        <f>LOOKUP(LOOKUP(tblEnrolledSubjs[[#This Row],[CSubjID]], tblClassSubjs[CSubjID],tblClassSubjs[ClassID]),tblClasses[ClassID],tblClasses[STermID])</f>
        <v>7</v>
      </c>
      <c r="T1288" t="str">
        <f>LOOKUP(S1288,tblSchoolTerms[STermID],tblSchoolTerms[SemesterID]&amp;" Semester "&amp;tblSchoolTerms[SchoolYear])</f>
        <v>2 Semester S.Y. 2015-2016</v>
      </c>
      <c r="W12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88" t="e">
        <f t="array" ref="Y1288">INDEX(tblEnrolledStuds[EStudID],MATCH(tblEnrolledSubjs[[#This Row],[EStudID]]&amp;S1288,tblEnrolledStuds[AdmissionStatusID]&amp;tblEnrolledStuds[StudID],0))</f>
        <v>#N/A</v>
      </c>
    </row>
    <row r="1289" spans="2:25" x14ac:dyDescent="0.25">
      <c r="B1289">
        <v>1287</v>
      </c>
      <c r="C1289">
        <v>397</v>
      </c>
      <c r="D1289" s="22">
        <v>168</v>
      </c>
      <c r="P1289" t="str">
        <f t="shared" si="24"/>
        <v>(NULL,"397","168"),</v>
      </c>
      <c r="Q1289" t="str">
        <f>TextJoin(tblEnrolledSubjs[[#This Row],[CSubjID]:[EStudID]],"Value")</f>
        <v>"397","168"</v>
      </c>
      <c r="S1289">
        <f>LOOKUP(LOOKUP(tblEnrolledSubjs[[#This Row],[CSubjID]], tblClassSubjs[CSubjID],tblClassSubjs[ClassID]),tblClasses[ClassID],tblClasses[STermID])</f>
        <v>7</v>
      </c>
      <c r="T1289" t="str">
        <f>LOOKUP(S1289,tblSchoolTerms[STermID],tblSchoolTerms[SemesterID]&amp;" Semester "&amp;tblSchoolTerms[SchoolYear])</f>
        <v>2 Semester S.Y. 2015-2016</v>
      </c>
      <c r="W12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89" t="e">
        <f t="array" ref="Y1289">INDEX(tblEnrolledStuds[EStudID],MATCH(tblEnrolledSubjs[[#This Row],[EStudID]]&amp;S1289,tblEnrolledStuds[AdmissionStatusID]&amp;tblEnrolledStuds[StudID],0))</f>
        <v>#N/A</v>
      </c>
    </row>
    <row r="1290" spans="2:25" x14ac:dyDescent="0.25">
      <c r="B1290">
        <v>1288</v>
      </c>
      <c r="C1290">
        <v>397</v>
      </c>
      <c r="D1290" s="22">
        <v>171</v>
      </c>
      <c r="P1290" t="str">
        <f t="shared" si="24"/>
        <v>(NULL,"397","171"),</v>
      </c>
      <c r="Q1290" t="str">
        <f>TextJoin(tblEnrolledSubjs[[#This Row],[CSubjID]:[EStudID]],"Value")</f>
        <v>"397","171"</v>
      </c>
      <c r="S1290">
        <f>LOOKUP(LOOKUP(tblEnrolledSubjs[[#This Row],[CSubjID]], tblClassSubjs[CSubjID],tblClassSubjs[ClassID]),tblClasses[ClassID],tblClasses[STermID])</f>
        <v>7</v>
      </c>
      <c r="T1290" t="str">
        <f>LOOKUP(S1290,tblSchoolTerms[STermID],tblSchoolTerms[SemesterID]&amp;" Semester "&amp;tblSchoolTerms[SchoolYear])</f>
        <v>2 Semester S.Y. 2015-2016</v>
      </c>
      <c r="W12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90" t="e">
        <f t="array" ref="Y1290">INDEX(tblEnrolledStuds[EStudID],MATCH(tblEnrolledSubjs[[#This Row],[EStudID]]&amp;S1290,tblEnrolledStuds[AdmissionStatusID]&amp;tblEnrolledStuds[StudID],0))</f>
        <v>#N/A</v>
      </c>
    </row>
    <row r="1291" spans="2:25" x14ac:dyDescent="0.25">
      <c r="B1291">
        <v>1289</v>
      </c>
      <c r="C1291">
        <v>397</v>
      </c>
      <c r="D1291" s="22">
        <v>172</v>
      </c>
      <c r="P1291" t="str">
        <f t="shared" si="24"/>
        <v>(NULL,"397","172"),</v>
      </c>
      <c r="Q1291" t="str">
        <f>TextJoin(tblEnrolledSubjs[[#This Row],[CSubjID]:[EStudID]],"Value")</f>
        <v>"397","172"</v>
      </c>
      <c r="S1291">
        <f>LOOKUP(LOOKUP(tblEnrolledSubjs[[#This Row],[CSubjID]], tblClassSubjs[CSubjID],tblClassSubjs[ClassID]),tblClasses[ClassID],tblClasses[STermID])</f>
        <v>7</v>
      </c>
      <c r="T1291" t="str">
        <f>LOOKUP(S1291,tblSchoolTerms[STermID],tblSchoolTerms[SemesterID]&amp;" Semester "&amp;tblSchoolTerms[SchoolYear])</f>
        <v>2 Semester S.Y. 2015-2016</v>
      </c>
      <c r="W12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1" t="e">
        <f t="array" ref="Y1291">INDEX(tblEnrolledStuds[EStudID],MATCH(tblEnrolledSubjs[[#This Row],[EStudID]]&amp;S1291,tblEnrolledStuds[AdmissionStatusID]&amp;tblEnrolledStuds[StudID],0))</f>
        <v>#N/A</v>
      </c>
    </row>
    <row r="1292" spans="2:25" x14ac:dyDescent="0.25">
      <c r="B1292">
        <v>1290</v>
      </c>
      <c r="C1292">
        <v>397</v>
      </c>
      <c r="D1292" s="22">
        <v>173</v>
      </c>
      <c r="P1292" t="str">
        <f t="shared" si="24"/>
        <v>(NULL,"397","173"),</v>
      </c>
      <c r="Q1292" t="str">
        <f>TextJoin(tblEnrolledSubjs[[#This Row],[CSubjID]:[EStudID]],"Value")</f>
        <v>"397","173"</v>
      </c>
      <c r="S1292">
        <f>LOOKUP(LOOKUP(tblEnrolledSubjs[[#This Row],[CSubjID]], tblClassSubjs[CSubjID],tblClassSubjs[ClassID]),tblClasses[ClassID],tblClasses[STermID])</f>
        <v>7</v>
      </c>
      <c r="T1292" t="str">
        <f>LOOKUP(S1292,tblSchoolTerms[STermID],tblSchoolTerms[SemesterID]&amp;" Semester "&amp;tblSchoolTerms[SchoolYear])</f>
        <v>2 Semester S.Y. 2015-2016</v>
      </c>
      <c r="W12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2" t="e">
        <f t="array" ref="Y1292">INDEX(tblEnrolledStuds[EStudID],MATCH(tblEnrolledSubjs[[#This Row],[EStudID]]&amp;S1292,tblEnrolledStuds[AdmissionStatusID]&amp;tblEnrolledStuds[StudID],0))</f>
        <v>#N/A</v>
      </c>
    </row>
    <row r="1293" spans="2:25" x14ac:dyDescent="0.25">
      <c r="B1293">
        <v>1291</v>
      </c>
      <c r="C1293">
        <v>398</v>
      </c>
      <c r="D1293" s="22">
        <v>160</v>
      </c>
      <c r="P1293" t="str">
        <f t="shared" si="24"/>
        <v>(NULL,"398","160"),</v>
      </c>
      <c r="Q1293" t="str">
        <f>TextJoin(tblEnrolledSubjs[[#This Row],[CSubjID]:[EStudID]],"Value")</f>
        <v>"398","160"</v>
      </c>
      <c r="S1293">
        <f>LOOKUP(LOOKUP(tblEnrolledSubjs[[#This Row],[CSubjID]], tblClassSubjs[CSubjID],tblClassSubjs[ClassID]),tblClasses[ClassID],tblClasses[STermID])</f>
        <v>7</v>
      </c>
      <c r="T1293" t="str">
        <f>LOOKUP(S1293,tblSchoolTerms[STermID],tblSchoolTerms[SemesterID]&amp;" Semester "&amp;tblSchoolTerms[SchoolYear])</f>
        <v>2 Semester S.Y. 2015-2016</v>
      </c>
      <c r="W12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3" t="e">
        <f t="array" ref="Y1293">INDEX(tblEnrolledStuds[EStudID],MATCH(tblEnrolledSubjs[[#This Row],[EStudID]]&amp;S1293,tblEnrolledStuds[AdmissionStatusID]&amp;tblEnrolledStuds[StudID],0))</f>
        <v>#N/A</v>
      </c>
    </row>
    <row r="1294" spans="2:25" x14ac:dyDescent="0.25">
      <c r="B1294">
        <v>1292</v>
      </c>
      <c r="C1294">
        <v>398</v>
      </c>
      <c r="D1294" s="22">
        <v>166</v>
      </c>
      <c r="P1294" t="str">
        <f t="shared" si="24"/>
        <v>(NULL,"398","166"),</v>
      </c>
      <c r="Q1294" t="str">
        <f>TextJoin(tblEnrolledSubjs[[#This Row],[CSubjID]:[EStudID]],"Value")</f>
        <v>"398","166"</v>
      </c>
      <c r="S1294">
        <f>LOOKUP(LOOKUP(tblEnrolledSubjs[[#This Row],[CSubjID]], tblClassSubjs[CSubjID],tblClassSubjs[ClassID]),tblClasses[ClassID],tblClasses[STermID])</f>
        <v>7</v>
      </c>
      <c r="T1294" t="str">
        <f>LOOKUP(S1294,tblSchoolTerms[STermID],tblSchoolTerms[SemesterID]&amp;" Semester "&amp;tblSchoolTerms[SchoolYear])</f>
        <v>2 Semester S.Y. 2015-2016</v>
      </c>
      <c r="W12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4" t="e">
        <f t="array" ref="Y1294">INDEX(tblEnrolledStuds[EStudID],MATCH(tblEnrolledSubjs[[#This Row],[EStudID]]&amp;S1294,tblEnrolledStuds[AdmissionStatusID]&amp;tblEnrolledStuds[StudID],0))</f>
        <v>#N/A</v>
      </c>
    </row>
    <row r="1295" spans="2:25" x14ac:dyDescent="0.25">
      <c r="B1295">
        <v>1293</v>
      </c>
      <c r="C1295">
        <v>398</v>
      </c>
      <c r="D1295" s="22">
        <v>168</v>
      </c>
      <c r="P1295" t="str">
        <f t="shared" si="24"/>
        <v>(NULL,"398","168"),</v>
      </c>
      <c r="Q1295" t="str">
        <f>TextJoin(tblEnrolledSubjs[[#This Row],[CSubjID]:[EStudID]],"Value")</f>
        <v>"398","168"</v>
      </c>
      <c r="S1295">
        <f>LOOKUP(LOOKUP(tblEnrolledSubjs[[#This Row],[CSubjID]], tblClassSubjs[CSubjID],tblClassSubjs[ClassID]),tblClasses[ClassID],tblClasses[STermID])</f>
        <v>7</v>
      </c>
      <c r="T1295" t="str">
        <f>LOOKUP(S1295,tblSchoolTerms[STermID],tblSchoolTerms[SemesterID]&amp;" Semester "&amp;tblSchoolTerms[SchoolYear])</f>
        <v>2 Semester S.Y. 2015-2016</v>
      </c>
      <c r="W12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95" t="e">
        <f t="array" ref="Y1295">INDEX(tblEnrolledStuds[EStudID],MATCH(tblEnrolledSubjs[[#This Row],[EStudID]]&amp;S1295,tblEnrolledStuds[AdmissionStatusID]&amp;tblEnrolledStuds[StudID],0))</f>
        <v>#N/A</v>
      </c>
    </row>
    <row r="1296" spans="2:25" x14ac:dyDescent="0.25">
      <c r="B1296">
        <v>1294</v>
      </c>
      <c r="C1296">
        <v>398</v>
      </c>
      <c r="D1296" s="22">
        <v>171</v>
      </c>
      <c r="P1296" t="str">
        <f t="shared" si="24"/>
        <v>(NULL,"398","171"),</v>
      </c>
      <c r="Q1296" t="str">
        <f>TextJoin(tblEnrolledSubjs[[#This Row],[CSubjID]:[EStudID]],"Value")</f>
        <v>"398","171"</v>
      </c>
      <c r="S1296">
        <f>LOOKUP(LOOKUP(tblEnrolledSubjs[[#This Row],[CSubjID]], tblClassSubjs[CSubjID],tblClassSubjs[ClassID]),tblClasses[ClassID],tblClasses[STermID])</f>
        <v>7</v>
      </c>
      <c r="T1296" t="str">
        <f>LOOKUP(S1296,tblSchoolTerms[STermID],tblSchoolTerms[SemesterID]&amp;" Semester "&amp;tblSchoolTerms[SchoolYear])</f>
        <v>2 Semester S.Y. 2015-2016</v>
      </c>
      <c r="W12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296" t="e">
        <f t="array" ref="Y1296">INDEX(tblEnrolledStuds[EStudID],MATCH(tblEnrolledSubjs[[#This Row],[EStudID]]&amp;S1296,tblEnrolledStuds[AdmissionStatusID]&amp;tblEnrolledStuds[StudID],0))</f>
        <v>#N/A</v>
      </c>
    </row>
    <row r="1297" spans="2:25" x14ac:dyDescent="0.25">
      <c r="B1297">
        <v>1295</v>
      </c>
      <c r="C1297">
        <v>398</v>
      </c>
      <c r="D1297" s="22">
        <v>172</v>
      </c>
      <c r="P1297" t="str">
        <f t="shared" si="24"/>
        <v>(NULL,"398","172"),</v>
      </c>
      <c r="Q1297" t="str">
        <f>TextJoin(tblEnrolledSubjs[[#This Row],[CSubjID]:[EStudID]],"Value")</f>
        <v>"398","172"</v>
      </c>
      <c r="S1297">
        <f>LOOKUP(LOOKUP(tblEnrolledSubjs[[#This Row],[CSubjID]], tblClassSubjs[CSubjID],tblClassSubjs[ClassID]),tblClasses[ClassID],tblClasses[STermID])</f>
        <v>7</v>
      </c>
      <c r="T1297" t="str">
        <f>LOOKUP(S1297,tblSchoolTerms[STermID],tblSchoolTerms[SemesterID]&amp;" Semester "&amp;tblSchoolTerms[SchoolYear])</f>
        <v>2 Semester S.Y. 2015-2016</v>
      </c>
      <c r="W12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7" t="e">
        <f t="array" ref="Y1297">INDEX(tblEnrolledStuds[EStudID],MATCH(tblEnrolledSubjs[[#This Row],[EStudID]]&amp;S1297,tblEnrolledStuds[AdmissionStatusID]&amp;tblEnrolledStuds[StudID],0))</f>
        <v>#N/A</v>
      </c>
    </row>
    <row r="1298" spans="2:25" x14ac:dyDescent="0.25">
      <c r="B1298">
        <v>1296</v>
      </c>
      <c r="C1298">
        <v>398</v>
      </c>
      <c r="D1298" s="22">
        <v>173</v>
      </c>
      <c r="P1298" t="str">
        <f t="shared" si="24"/>
        <v>(NULL,"398","173"),</v>
      </c>
      <c r="Q1298" t="str">
        <f>TextJoin(tblEnrolledSubjs[[#This Row],[CSubjID]:[EStudID]],"Value")</f>
        <v>"398","173"</v>
      </c>
      <c r="S1298">
        <f>LOOKUP(LOOKUP(tblEnrolledSubjs[[#This Row],[CSubjID]], tblClassSubjs[CSubjID],tblClassSubjs[ClassID]),tblClasses[ClassID],tblClasses[STermID])</f>
        <v>7</v>
      </c>
      <c r="T1298" t="str">
        <f>LOOKUP(S1298,tblSchoolTerms[STermID],tblSchoolTerms[SemesterID]&amp;" Semester "&amp;tblSchoolTerms[SchoolYear])</f>
        <v>2 Semester S.Y. 2015-2016</v>
      </c>
      <c r="W12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8" t="e">
        <f t="array" ref="Y1298">INDEX(tblEnrolledStuds[EStudID],MATCH(tblEnrolledSubjs[[#This Row],[EStudID]]&amp;S1298,tblEnrolledStuds[AdmissionStatusID]&amp;tblEnrolledStuds[StudID],0))</f>
        <v>#N/A</v>
      </c>
    </row>
    <row r="1299" spans="2:25" x14ac:dyDescent="0.25">
      <c r="B1299">
        <v>1297</v>
      </c>
      <c r="C1299">
        <v>399</v>
      </c>
      <c r="D1299" s="22">
        <v>160</v>
      </c>
      <c r="P1299" t="str">
        <f t="shared" si="24"/>
        <v>(NULL,"399","160"),</v>
      </c>
      <c r="Q1299" t="str">
        <f>TextJoin(tblEnrolledSubjs[[#This Row],[CSubjID]:[EStudID]],"Value")</f>
        <v>"399","160"</v>
      </c>
      <c r="S1299">
        <f>LOOKUP(LOOKUP(tblEnrolledSubjs[[#This Row],[CSubjID]], tblClassSubjs[CSubjID],tblClassSubjs[ClassID]),tblClasses[ClassID],tblClasses[STermID])</f>
        <v>7</v>
      </c>
      <c r="T1299" t="str">
        <f>LOOKUP(S1299,tblSchoolTerms[STermID],tblSchoolTerms[SemesterID]&amp;" Semester "&amp;tblSchoolTerms[SchoolYear])</f>
        <v>2 Semester S.Y. 2015-2016</v>
      </c>
      <c r="W12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299" t="e">
        <f t="array" ref="Y1299">INDEX(tblEnrolledStuds[EStudID],MATCH(tblEnrolledSubjs[[#This Row],[EStudID]]&amp;S1299,tblEnrolledStuds[AdmissionStatusID]&amp;tblEnrolledStuds[StudID],0))</f>
        <v>#N/A</v>
      </c>
    </row>
    <row r="1300" spans="2:25" x14ac:dyDescent="0.25">
      <c r="B1300">
        <v>1298</v>
      </c>
      <c r="C1300">
        <v>399</v>
      </c>
      <c r="D1300" s="22">
        <v>166</v>
      </c>
      <c r="P1300" t="str">
        <f t="shared" si="24"/>
        <v>(NULL,"399","166"),</v>
      </c>
      <c r="Q1300" t="str">
        <f>TextJoin(tblEnrolledSubjs[[#This Row],[CSubjID]:[EStudID]],"Value")</f>
        <v>"399","166"</v>
      </c>
      <c r="S1300">
        <f>LOOKUP(LOOKUP(tblEnrolledSubjs[[#This Row],[CSubjID]], tblClassSubjs[CSubjID],tblClassSubjs[ClassID]),tblClasses[ClassID],tblClasses[STermID])</f>
        <v>7</v>
      </c>
      <c r="T1300" t="str">
        <f>LOOKUP(S1300,tblSchoolTerms[STermID],tblSchoolTerms[SemesterID]&amp;" Semester "&amp;tblSchoolTerms[SchoolYear])</f>
        <v>2 Semester S.Y. 2015-2016</v>
      </c>
      <c r="W13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00" t="e">
        <f t="array" ref="Y1300">INDEX(tblEnrolledStuds[EStudID],MATCH(tblEnrolledSubjs[[#This Row],[EStudID]]&amp;S1300,tblEnrolledStuds[AdmissionStatusID]&amp;tblEnrolledStuds[StudID],0))</f>
        <v>#N/A</v>
      </c>
    </row>
    <row r="1301" spans="2:25" x14ac:dyDescent="0.25">
      <c r="B1301">
        <v>1299</v>
      </c>
      <c r="C1301">
        <v>399</v>
      </c>
      <c r="D1301" s="22">
        <v>168</v>
      </c>
      <c r="P1301" t="str">
        <f t="shared" si="24"/>
        <v>(NULL,"399","168"),</v>
      </c>
      <c r="Q1301" t="str">
        <f>TextJoin(tblEnrolledSubjs[[#This Row],[CSubjID]:[EStudID]],"Value")</f>
        <v>"399","168"</v>
      </c>
      <c r="S1301">
        <f>LOOKUP(LOOKUP(tblEnrolledSubjs[[#This Row],[CSubjID]], tblClassSubjs[CSubjID],tblClassSubjs[ClassID]),tblClasses[ClassID],tblClasses[STermID])</f>
        <v>7</v>
      </c>
      <c r="T1301" t="str">
        <f>LOOKUP(S1301,tblSchoolTerms[STermID],tblSchoolTerms[SemesterID]&amp;" Semester "&amp;tblSchoolTerms[SchoolYear])</f>
        <v>2 Semester S.Y. 2015-2016</v>
      </c>
      <c r="W13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01" t="e">
        <f t="array" ref="Y1301">INDEX(tblEnrolledStuds[EStudID],MATCH(tblEnrolledSubjs[[#This Row],[EStudID]]&amp;S1301,tblEnrolledStuds[AdmissionStatusID]&amp;tblEnrolledStuds[StudID],0))</f>
        <v>#N/A</v>
      </c>
    </row>
    <row r="1302" spans="2:25" x14ac:dyDescent="0.25">
      <c r="B1302">
        <v>1300</v>
      </c>
      <c r="C1302">
        <v>399</v>
      </c>
      <c r="D1302" s="22">
        <v>171</v>
      </c>
      <c r="P1302" t="str">
        <f t="shared" si="24"/>
        <v>(NULL,"399","171"),</v>
      </c>
      <c r="Q1302" t="str">
        <f>TextJoin(tblEnrolledSubjs[[#This Row],[CSubjID]:[EStudID]],"Value")</f>
        <v>"399","171"</v>
      </c>
      <c r="S1302">
        <f>LOOKUP(LOOKUP(tblEnrolledSubjs[[#This Row],[CSubjID]], tblClassSubjs[CSubjID],tblClassSubjs[ClassID]),tblClasses[ClassID],tblClasses[STermID])</f>
        <v>7</v>
      </c>
      <c r="T1302" t="str">
        <f>LOOKUP(S1302,tblSchoolTerms[STermID],tblSchoolTerms[SemesterID]&amp;" Semester "&amp;tblSchoolTerms[SchoolYear])</f>
        <v>2 Semester S.Y. 2015-2016</v>
      </c>
      <c r="W13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02" t="e">
        <f t="array" ref="Y1302">INDEX(tblEnrolledStuds[EStudID],MATCH(tblEnrolledSubjs[[#This Row],[EStudID]]&amp;S1302,tblEnrolledStuds[AdmissionStatusID]&amp;tblEnrolledStuds[StudID],0))</f>
        <v>#N/A</v>
      </c>
    </row>
    <row r="1303" spans="2:25" x14ac:dyDescent="0.25">
      <c r="B1303">
        <v>1301</v>
      </c>
      <c r="C1303">
        <v>399</v>
      </c>
      <c r="D1303" s="22">
        <v>172</v>
      </c>
      <c r="P1303" t="str">
        <f t="shared" si="24"/>
        <v>(NULL,"399","172"),</v>
      </c>
      <c r="Q1303" t="str">
        <f>TextJoin(tblEnrolledSubjs[[#This Row],[CSubjID]:[EStudID]],"Value")</f>
        <v>"399","172"</v>
      </c>
      <c r="S1303">
        <f>LOOKUP(LOOKUP(tblEnrolledSubjs[[#This Row],[CSubjID]], tblClassSubjs[CSubjID],tblClassSubjs[ClassID]),tblClasses[ClassID],tblClasses[STermID])</f>
        <v>7</v>
      </c>
      <c r="T1303" t="str">
        <f>LOOKUP(S1303,tblSchoolTerms[STermID],tblSchoolTerms[SemesterID]&amp;" Semester "&amp;tblSchoolTerms[SchoolYear])</f>
        <v>2 Semester S.Y. 2015-2016</v>
      </c>
      <c r="W13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03" t="e">
        <f t="array" ref="Y1303">INDEX(tblEnrolledStuds[EStudID],MATCH(tblEnrolledSubjs[[#This Row],[EStudID]]&amp;S1303,tblEnrolledStuds[AdmissionStatusID]&amp;tblEnrolledStuds[StudID],0))</f>
        <v>#N/A</v>
      </c>
    </row>
    <row r="1304" spans="2:25" x14ac:dyDescent="0.25">
      <c r="B1304">
        <v>1302</v>
      </c>
      <c r="C1304">
        <v>399</v>
      </c>
      <c r="D1304" s="22">
        <v>173</v>
      </c>
      <c r="P1304" t="str">
        <f t="shared" si="24"/>
        <v>(NULL,"399","173"),</v>
      </c>
      <c r="Q1304" t="str">
        <f>TextJoin(tblEnrolledSubjs[[#This Row],[CSubjID]:[EStudID]],"Value")</f>
        <v>"399","173"</v>
      </c>
      <c r="S1304">
        <f>LOOKUP(LOOKUP(tblEnrolledSubjs[[#This Row],[CSubjID]], tblClassSubjs[CSubjID],tblClassSubjs[ClassID]),tblClasses[ClassID],tblClasses[STermID])</f>
        <v>7</v>
      </c>
      <c r="T1304" t="str">
        <f>LOOKUP(S1304,tblSchoolTerms[STermID],tblSchoolTerms[SemesterID]&amp;" Semester "&amp;tblSchoolTerms[SchoolYear])</f>
        <v>2 Semester S.Y. 2015-2016</v>
      </c>
      <c r="W13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04" t="e">
        <f t="array" ref="Y1304">INDEX(tblEnrolledStuds[EStudID],MATCH(tblEnrolledSubjs[[#This Row],[EStudID]]&amp;S1304,tblEnrolledStuds[AdmissionStatusID]&amp;tblEnrolledStuds[StudID],0))</f>
        <v>#N/A</v>
      </c>
    </row>
    <row r="1305" spans="2:25" x14ac:dyDescent="0.25">
      <c r="B1305">
        <v>1303</v>
      </c>
      <c r="C1305">
        <v>400</v>
      </c>
      <c r="D1305" s="22">
        <v>160</v>
      </c>
      <c r="P1305" t="str">
        <f t="shared" si="24"/>
        <v>(NULL,"400","160"),</v>
      </c>
      <c r="Q1305" t="str">
        <f>TextJoin(tblEnrolledSubjs[[#This Row],[CSubjID]:[EStudID]],"Value")</f>
        <v>"400","160"</v>
      </c>
      <c r="S1305">
        <f>LOOKUP(LOOKUP(tblEnrolledSubjs[[#This Row],[CSubjID]], tblClassSubjs[CSubjID],tblClassSubjs[ClassID]),tblClasses[ClassID],tblClasses[STermID])</f>
        <v>7</v>
      </c>
      <c r="T1305" t="str">
        <f>LOOKUP(S1305,tblSchoolTerms[STermID],tblSchoolTerms[SemesterID]&amp;" Semester "&amp;tblSchoolTerms[SchoolYear])</f>
        <v>2 Semester S.Y. 2015-2016</v>
      </c>
      <c r="W13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05" t="e">
        <f t="array" ref="Y1305">INDEX(tblEnrolledStuds[EStudID],MATCH(tblEnrolledSubjs[[#This Row],[EStudID]]&amp;S1305,tblEnrolledStuds[AdmissionStatusID]&amp;tblEnrolledStuds[StudID],0))</f>
        <v>#N/A</v>
      </c>
    </row>
    <row r="1306" spans="2:25" x14ac:dyDescent="0.25">
      <c r="B1306">
        <v>1304</v>
      </c>
      <c r="C1306">
        <v>400</v>
      </c>
      <c r="D1306" s="22">
        <v>166</v>
      </c>
      <c r="P1306" t="str">
        <f t="shared" si="24"/>
        <v>(NULL,"400","166"),</v>
      </c>
      <c r="Q1306" t="str">
        <f>TextJoin(tblEnrolledSubjs[[#This Row],[CSubjID]:[EStudID]],"Value")</f>
        <v>"400","166"</v>
      </c>
      <c r="S1306">
        <f>LOOKUP(LOOKUP(tblEnrolledSubjs[[#This Row],[CSubjID]], tblClassSubjs[CSubjID],tblClassSubjs[ClassID]),tblClasses[ClassID],tblClasses[STermID])</f>
        <v>7</v>
      </c>
      <c r="T1306" t="str">
        <f>LOOKUP(S1306,tblSchoolTerms[STermID],tblSchoolTerms[SemesterID]&amp;" Semester "&amp;tblSchoolTerms[SchoolYear])</f>
        <v>2 Semester S.Y. 2015-2016</v>
      </c>
      <c r="W13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06" t="e">
        <f t="array" ref="Y1306">INDEX(tblEnrolledStuds[EStudID],MATCH(tblEnrolledSubjs[[#This Row],[EStudID]]&amp;S1306,tblEnrolledStuds[AdmissionStatusID]&amp;tblEnrolledStuds[StudID],0))</f>
        <v>#N/A</v>
      </c>
    </row>
    <row r="1307" spans="2:25" x14ac:dyDescent="0.25">
      <c r="B1307">
        <v>1305</v>
      </c>
      <c r="C1307">
        <v>400</v>
      </c>
      <c r="D1307" s="22">
        <v>168</v>
      </c>
      <c r="P1307" t="str">
        <f t="shared" si="24"/>
        <v>(NULL,"400","168"),</v>
      </c>
      <c r="Q1307" t="str">
        <f>TextJoin(tblEnrolledSubjs[[#This Row],[CSubjID]:[EStudID]],"Value")</f>
        <v>"400","168"</v>
      </c>
      <c r="S1307">
        <f>LOOKUP(LOOKUP(tblEnrolledSubjs[[#This Row],[CSubjID]], tblClassSubjs[CSubjID],tblClassSubjs[ClassID]),tblClasses[ClassID],tblClasses[STermID])</f>
        <v>7</v>
      </c>
      <c r="T1307" t="str">
        <f>LOOKUP(S1307,tblSchoolTerms[STermID],tblSchoolTerms[SemesterID]&amp;" Semester "&amp;tblSchoolTerms[SchoolYear])</f>
        <v>2 Semester S.Y. 2015-2016</v>
      </c>
      <c r="W13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07" t="e">
        <f t="array" ref="Y1307">INDEX(tblEnrolledStuds[EStudID],MATCH(tblEnrolledSubjs[[#This Row],[EStudID]]&amp;S1307,tblEnrolledStuds[AdmissionStatusID]&amp;tblEnrolledStuds[StudID],0))</f>
        <v>#N/A</v>
      </c>
    </row>
    <row r="1308" spans="2:25" x14ac:dyDescent="0.25">
      <c r="B1308">
        <v>1306</v>
      </c>
      <c r="C1308">
        <v>400</v>
      </c>
      <c r="D1308" s="22">
        <v>171</v>
      </c>
      <c r="P1308" t="str">
        <f t="shared" si="24"/>
        <v>(NULL,"400","171"),</v>
      </c>
      <c r="Q1308" t="str">
        <f>TextJoin(tblEnrolledSubjs[[#This Row],[CSubjID]:[EStudID]],"Value")</f>
        <v>"400","171"</v>
      </c>
      <c r="S1308">
        <f>LOOKUP(LOOKUP(tblEnrolledSubjs[[#This Row],[CSubjID]], tblClassSubjs[CSubjID],tblClassSubjs[ClassID]),tblClasses[ClassID],tblClasses[STermID])</f>
        <v>7</v>
      </c>
      <c r="T1308" t="str">
        <f>LOOKUP(S1308,tblSchoolTerms[STermID],tblSchoolTerms[SemesterID]&amp;" Semester "&amp;tblSchoolTerms[SchoolYear])</f>
        <v>2 Semester S.Y. 2015-2016</v>
      </c>
      <c r="W13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08" t="e">
        <f t="array" ref="Y1308">INDEX(tblEnrolledStuds[EStudID],MATCH(tblEnrolledSubjs[[#This Row],[EStudID]]&amp;S1308,tblEnrolledStuds[AdmissionStatusID]&amp;tblEnrolledStuds[StudID],0))</f>
        <v>#N/A</v>
      </c>
    </row>
    <row r="1309" spans="2:25" x14ac:dyDescent="0.25">
      <c r="B1309">
        <v>1307</v>
      </c>
      <c r="C1309">
        <v>400</v>
      </c>
      <c r="D1309" s="22">
        <v>172</v>
      </c>
      <c r="P1309" t="str">
        <f t="shared" si="24"/>
        <v>(NULL,"400","172"),</v>
      </c>
      <c r="Q1309" t="str">
        <f>TextJoin(tblEnrolledSubjs[[#This Row],[CSubjID]:[EStudID]],"Value")</f>
        <v>"400","172"</v>
      </c>
      <c r="S1309">
        <f>LOOKUP(LOOKUP(tblEnrolledSubjs[[#This Row],[CSubjID]], tblClassSubjs[CSubjID],tblClassSubjs[ClassID]),tblClasses[ClassID],tblClasses[STermID])</f>
        <v>7</v>
      </c>
      <c r="T1309" t="str">
        <f>LOOKUP(S1309,tblSchoolTerms[STermID],tblSchoolTerms[SemesterID]&amp;" Semester "&amp;tblSchoolTerms[SchoolYear])</f>
        <v>2 Semester S.Y. 2015-2016</v>
      </c>
      <c r="W13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09" t="e">
        <f t="array" ref="Y1309">INDEX(tblEnrolledStuds[EStudID],MATCH(tblEnrolledSubjs[[#This Row],[EStudID]]&amp;S1309,tblEnrolledStuds[AdmissionStatusID]&amp;tblEnrolledStuds[StudID],0))</f>
        <v>#N/A</v>
      </c>
    </row>
    <row r="1310" spans="2:25" x14ac:dyDescent="0.25">
      <c r="B1310">
        <v>1308</v>
      </c>
      <c r="C1310">
        <v>400</v>
      </c>
      <c r="D1310" s="22">
        <v>173</v>
      </c>
      <c r="P1310" t="str">
        <f t="shared" si="24"/>
        <v>(NULL,"400","173"),</v>
      </c>
      <c r="Q1310" t="str">
        <f>TextJoin(tblEnrolledSubjs[[#This Row],[CSubjID]:[EStudID]],"Value")</f>
        <v>"400","173"</v>
      </c>
      <c r="S1310">
        <f>LOOKUP(LOOKUP(tblEnrolledSubjs[[#This Row],[CSubjID]], tblClassSubjs[CSubjID],tblClassSubjs[ClassID]),tblClasses[ClassID],tblClasses[STermID])</f>
        <v>7</v>
      </c>
      <c r="T1310" t="str">
        <f>LOOKUP(S1310,tblSchoolTerms[STermID],tblSchoolTerms[SemesterID]&amp;" Semester "&amp;tblSchoolTerms[SchoolYear])</f>
        <v>2 Semester S.Y. 2015-2016</v>
      </c>
      <c r="W13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0" t="e">
        <f t="array" ref="Y1310">INDEX(tblEnrolledStuds[EStudID],MATCH(tblEnrolledSubjs[[#This Row],[EStudID]]&amp;S1310,tblEnrolledStuds[AdmissionStatusID]&amp;tblEnrolledStuds[StudID],0))</f>
        <v>#N/A</v>
      </c>
    </row>
    <row r="1311" spans="2:25" x14ac:dyDescent="0.25">
      <c r="B1311">
        <v>1309</v>
      </c>
      <c r="C1311">
        <v>401</v>
      </c>
      <c r="D1311" s="22">
        <v>160</v>
      </c>
      <c r="P1311" t="str">
        <f t="shared" si="24"/>
        <v>(NULL,"401","160"),</v>
      </c>
      <c r="Q1311" t="str">
        <f>TextJoin(tblEnrolledSubjs[[#This Row],[CSubjID]:[EStudID]],"Value")</f>
        <v>"401","160"</v>
      </c>
      <c r="S1311">
        <f>LOOKUP(LOOKUP(tblEnrolledSubjs[[#This Row],[CSubjID]], tblClassSubjs[CSubjID],tblClassSubjs[ClassID]),tblClasses[ClassID],tblClasses[STermID])</f>
        <v>7</v>
      </c>
      <c r="T1311" t="str">
        <f>LOOKUP(S1311,tblSchoolTerms[STermID],tblSchoolTerms[SemesterID]&amp;" Semester "&amp;tblSchoolTerms[SchoolYear])</f>
        <v>2 Semester S.Y. 2015-2016</v>
      </c>
      <c r="W13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1" t="e">
        <f t="array" ref="Y1311">INDEX(tblEnrolledStuds[EStudID],MATCH(tblEnrolledSubjs[[#This Row],[EStudID]]&amp;S1311,tblEnrolledStuds[AdmissionStatusID]&amp;tblEnrolledStuds[StudID],0))</f>
        <v>#N/A</v>
      </c>
    </row>
    <row r="1312" spans="2:25" x14ac:dyDescent="0.25">
      <c r="B1312">
        <v>1310</v>
      </c>
      <c r="C1312">
        <v>401</v>
      </c>
      <c r="D1312" s="22">
        <v>166</v>
      </c>
      <c r="P1312" t="str">
        <f t="shared" si="24"/>
        <v>(NULL,"401","166"),</v>
      </c>
      <c r="Q1312" t="str">
        <f>TextJoin(tblEnrolledSubjs[[#This Row],[CSubjID]:[EStudID]],"Value")</f>
        <v>"401","166"</v>
      </c>
      <c r="S1312">
        <f>LOOKUP(LOOKUP(tblEnrolledSubjs[[#This Row],[CSubjID]], tblClassSubjs[CSubjID],tblClassSubjs[ClassID]),tblClasses[ClassID],tblClasses[STermID])</f>
        <v>7</v>
      </c>
      <c r="T1312" t="str">
        <f>LOOKUP(S1312,tblSchoolTerms[STermID],tblSchoolTerms[SemesterID]&amp;" Semester "&amp;tblSchoolTerms[SchoolYear])</f>
        <v>2 Semester S.Y. 2015-2016</v>
      </c>
      <c r="W13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2" t="e">
        <f t="array" ref="Y1312">INDEX(tblEnrolledStuds[EStudID],MATCH(tblEnrolledSubjs[[#This Row],[EStudID]]&amp;S1312,tblEnrolledStuds[AdmissionStatusID]&amp;tblEnrolledStuds[StudID],0))</f>
        <v>#N/A</v>
      </c>
    </row>
    <row r="1313" spans="2:25" x14ac:dyDescent="0.25">
      <c r="B1313">
        <v>1311</v>
      </c>
      <c r="C1313">
        <v>401</v>
      </c>
      <c r="D1313" s="22">
        <v>168</v>
      </c>
      <c r="P1313" t="str">
        <f t="shared" si="24"/>
        <v>(NULL,"401","168"),</v>
      </c>
      <c r="Q1313" t="str">
        <f>TextJoin(tblEnrolledSubjs[[#This Row],[CSubjID]:[EStudID]],"Value")</f>
        <v>"401","168"</v>
      </c>
      <c r="S1313">
        <f>LOOKUP(LOOKUP(tblEnrolledSubjs[[#This Row],[CSubjID]], tblClassSubjs[CSubjID],tblClassSubjs[ClassID]),tblClasses[ClassID],tblClasses[STermID])</f>
        <v>7</v>
      </c>
      <c r="T1313" t="str">
        <f>LOOKUP(S1313,tblSchoolTerms[STermID],tblSchoolTerms[SemesterID]&amp;" Semester "&amp;tblSchoolTerms[SchoolYear])</f>
        <v>2 Semester S.Y. 2015-2016</v>
      </c>
      <c r="W13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13" t="e">
        <f t="array" ref="Y1313">INDEX(tblEnrolledStuds[EStudID],MATCH(tblEnrolledSubjs[[#This Row],[EStudID]]&amp;S1313,tblEnrolledStuds[AdmissionStatusID]&amp;tblEnrolledStuds[StudID],0))</f>
        <v>#N/A</v>
      </c>
    </row>
    <row r="1314" spans="2:25" x14ac:dyDescent="0.25">
      <c r="B1314">
        <v>1312</v>
      </c>
      <c r="C1314">
        <v>401</v>
      </c>
      <c r="D1314" s="22">
        <v>171</v>
      </c>
      <c r="P1314" t="str">
        <f t="shared" si="24"/>
        <v>(NULL,"401","171"),</v>
      </c>
      <c r="Q1314" t="str">
        <f>TextJoin(tblEnrolledSubjs[[#This Row],[CSubjID]:[EStudID]],"Value")</f>
        <v>"401","171"</v>
      </c>
      <c r="S1314">
        <f>LOOKUP(LOOKUP(tblEnrolledSubjs[[#This Row],[CSubjID]], tblClassSubjs[CSubjID],tblClassSubjs[ClassID]),tblClasses[ClassID],tblClasses[STermID])</f>
        <v>7</v>
      </c>
      <c r="T1314" t="str">
        <f>LOOKUP(S1314,tblSchoolTerms[STermID],tblSchoolTerms[SemesterID]&amp;" Semester "&amp;tblSchoolTerms[SchoolYear])</f>
        <v>2 Semester S.Y. 2015-2016</v>
      </c>
      <c r="W13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14" t="e">
        <f t="array" ref="Y1314">INDEX(tblEnrolledStuds[EStudID],MATCH(tblEnrolledSubjs[[#This Row],[EStudID]]&amp;S1314,tblEnrolledStuds[AdmissionStatusID]&amp;tblEnrolledStuds[StudID],0))</f>
        <v>#N/A</v>
      </c>
    </row>
    <row r="1315" spans="2:25" x14ac:dyDescent="0.25">
      <c r="B1315">
        <v>1313</v>
      </c>
      <c r="C1315">
        <v>401</v>
      </c>
      <c r="D1315" s="22">
        <v>172</v>
      </c>
      <c r="P1315" t="str">
        <f t="shared" si="24"/>
        <v>(NULL,"401","172"),</v>
      </c>
      <c r="Q1315" t="str">
        <f>TextJoin(tblEnrolledSubjs[[#This Row],[CSubjID]:[EStudID]],"Value")</f>
        <v>"401","172"</v>
      </c>
      <c r="S1315">
        <f>LOOKUP(LOOKUP(tblEnrolledSubjs[[#This Row],[CSubjID]], tblClassSubjs[CSubjID],tblClassSubjs[ClassID]),tblClasses[ClassID],tblClasses[STermID])</f>
        <v>7</v>
      </c>
      <c r="T1315" t="str">
        <f>LOOKUP(S1315,tblSchoolTerms[STermID],tblSchoolTerms[SemesterID]&amp;" Semester "&amp;tblSchoolTerms[SchoolYear])</f>
        <v>2 Semester S.Y. 2015-2016</v>
      </c>
      <c r="W13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5" t="e">
        <f t="array" ref="Y1315">INDEX(tblEnrolledStuds[EStudID],MATCH(tblEnrolledSubjs[[#This Row],[EStudID]]&amp;S1315,tblEnrolledStuds[AdmissionStatusID]&amp;tblEnrolledStuds[StudID],0))</f>
        <v>#N/A</v>
      </c>
    </row>
    <row r="1316" spans="2:25" x14ac:dyDescent="0.25">
      <c r="B1316">
        <v>1314</v>
      </c>
      <c r="C1316">
        <v>401</v>
      </c>
      <c r="D1316" s="22">
        <v>173</v>
      </c>
      <c r="P1316" t="str">
        <f t="shared" si="24"/>
        <v>(NULL,"401","173"),</v>
      </c>
      <c r="Q1316" t="str">
        <f>TextJoin(tblEnrolledSubjs[[#This Row],[CSubjID]:[EStudID]],"Value")</f>
        <v>"401","173"</v>
      </c>
      <c r="S1316">
        <f>LOOKUP(LOOKUP(tblEnrolledSubjs[[#This Row],[CSubjID]], tblClassSubjs[CSubjID],tblClassSubjs[ClassID]),tblClasses[ClassID],tblClasses[STermID])</f>
        <v>7</v>
      </c>
      <c r="T1316" t="str">
        <f>LOOKUP(S1316,tblSchoolTerms[STermID],tblSchoolTerms[SemesterID]&amp;" Semester "&amp;tblSchoolTerms[SchoolYear])</f>
        <v>2 Semester S.Y. 2015-2016</v>
      </c>
      <c r="W13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6" t="e">
        <f t="array" ref="Y1316">INDEX(tblEnrolledStuds[EStudID],MATCH(tblEnrolledSubjs[[#This Row],[EStudID]]&amp;S1316,tblEnrolledStuds[AdmissionStatusID]&amp;tblEnrolledStuds[StudID],0))</f>
        <v>#N/A</v>
      </c>
    </row>
    <row r="1317" spans="2:25" x14ac:dyDescent="0.25">
      <c r="B1317">
        <v>1315</v>
      </c>
      <c r="C1317">
        <v>402</v>
      </c>
      <c r="D1317" s="22">
        <v>160</v>
      </c>
      <c r="P1317" t="str">
        <f t="shared" si="24"/>
        <v>(NULL,"402","160"),</v>
      </c>
      <c r="Q1317" t="str">
        <f>TextJoin(tblEnrolledSubjs[[#This Row],[CSubjID]:[EStudID]],"Value")</f>
        <v>"402","160"</v>
      </c>
      <c r="S1317">
        <f>LOOKUP(LOOKUP(tblEnrolledSubjs[[#This Row],[CSubjID]], tblClassSubjs[CSubjID],tblClassSubjs[ClassID]),tblClasses[ClassID],tblClasses[STermID])</f>
        <v>7</v>
      </c>
      <c r="T1317" t="str">
        <f>LOOKUP(S1317,tblSchoolTerms[STermID],tblSchoolTerms[SemesterID]&amp;" Semester "&amp;tblSchoolTerms[SchoolYear])</f>
        <v>2 Semester S.Y. 2015-2016</v>
      </c>
      <c r="W13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7" t="e">
        <f t="array" ref="Y1317">INDEX(tblEnrolledStuds[EStudID],MATCH(tblEnrolledSubjs[[#This Row],[EStudID]]&amp;S1317,tblEnrolledStuds[AdmissionStatusID]&amp;tblEnrolledStuds[StudID],0))</f>
        <v>#N/A</v>
      </c>
    </row>
    <row r="1318" spans="2:25" x14ac:dyDescent="0.25">
      <c r="B1318">
        <v>1316</v>
      </c>
      <c r="C1318">
        <v>402</v>
      </c>
      <c r="D1318" s="22">
        <v>166</v>
      </c>
      <c r="P1318" t="str">
        <f t="shared" si="24"/>
        <v>(NULL,"402","166"),</v>
      </c>
      <c r="Q1318" t="str">
        <f>TextJoin(tblEnrolledSubjs[[#This Row],[CSubjID]:[EStudID]],"Value")</f>
        <v>"402","166"</v>
      </c>
      <c r="S1318">
        <f>LOOKUP(LOOKUP(tblEnrolledSubjs[[#This Row],[CSubjID]], tblClassSubjs[CSubjID],tblClassSubjs[ClassID]),tblClasses[ClassID],tblClasses[STermID])</f>
        <v>7</v>
      </c>
      <c r="T1318" t="str">
        <f>LOOKUP(S1318,tblSchoolTerms[STermID],tblSchoolTerms[SemesterID]&amp;" Semester "&amp;tblSchoolTerms[SchoolYear])</f>
        <v>2 Semester S.Y. 2015-2016</v>
      </c>
      <c r="W13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18" t="e">
        <f t="array" ref="Y1318">INDEX(tblEnrolledStuds[EStudID],MATCH(tblEnrolledSubjs[[#This Row],[EStudID]]&amp;S1318,tblEnrolledStuds[AdmissionStatusID]&amp;tblEnrolledStuds[StudID],0))</f>
        <v>#N/A</v>
      </c>
    </row>
    <row r="1319" spans="2:25" x14ac:dyDescent="0.25">
      <c r="B1319">
        <v>1317</v>
      </c>
      <c r="C1319">
        <v>402</v>
      </c>
      <c r="D1319" s="22">
        <v>168</v>
      </c>
      <c r="P1319" t="str">
        <f t="shared" si="24"/>
        <v>(NULL,"402","168"),</v>
      </c>
      <c r="Q1319" t="str">
        <f>TextJoin(tblEnrolledSubjs[[#This Row],[CSubjID]:[EStudID]],"Value")</f>
        <v>"402","168"</v>
      </c>
      <c r="S1319">
        <f>LOOKUP(LOOKUP(tblEnrolledSubjs[[#This Row],[CSubjID]], tblClassSubjs[CSubjID],tblClassSubjs[ClassID]),tblClasses[ClassID],tblClasses[STermID])</f>
        <v>7</v>
      </c>
      <c r="T1319" t="str">
        <f>LOOKUP(S1319,tblSchoolTerms[STermID],tblSchoolTerms[SemesterID]&amp;" Semester "&amp;tblSchoolTerms[SchoolYear])</f>
        <v>2 Semester S.Y. 2015-2016</v>
      </c>
      <c r="W13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19" t="e">
        <f t="array" ref="Y1319">INDEX(tblEnrolledStuds[EStudID],MATCH(tblEnrolledSubjs[[#This Row],[EStudID]]&amp;S1319,tblEnrolledStuds[AdmissionStatusID]&amp;tblEnrolledStuds[StudID],0))</f>
        <v>#N/A</v>
      </c>
    </row>
    <row r="1320" spans="2:25" x14ac:dyDescent="0.25">
      <c r="B1320">
        <v>1318</v>
      </c>
      <c r="C1320">
        <v>402</v>
      </c>
      <c r="D1320" s="22">
        <v>171</v>
      </c>
      <c r="P1320" t="str">
        <f t="shared" si="24"/>
        <v>(NULL,"402","171"),</v>
      </c>
      <c r="Q1320" t="str">
        <f>TextJoin(tblEnrolledSubjs[[#This Row],[CSubjID]:[EStudID]],"Value")</f>
        <v>"402","171"</v>
      </c>
      <c r="S1320">
        <f>LOOKUP(LOOKUP(tblEnrolledSubjs[[#This Row],[CSubjID]], tblClassSubjs[CSubjID],tblClassSubjs[ClassID]),tblClasses[ClassID],tblClasses[STermID])</f>
        <v>7</v>
      </c>
      <c r="T1320" t="str">
        <f>LOOKUP(S1320,tblSchoolTerms[STermID],tblSchoolTerms[SemesterID]&amp;" Semester "&amp;tblSchoolTerms[SchoolYear])</f>
        <v>2 Semester S.Y. 2015-2016</v>
      </c>
      <c r="W13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20" t="e">
        <f t="array" ref="Y1320">INDEX(tblEnrolledStuds[EStudID],MATCH(tblEnrolledSubjs[[#This Row],[EStudID]]&amp;S1320,tblEnrolledStuds[AdmissionStatusID]&amp;tblEnrolledStuds[StudID],0))</f>
        <v>#N/A</v>
      </c>
    </row>
    <row r="1321" spans="2:25" x14ac:dyDescent="0.25">
      <c r="B1321">
        <v>1319</v>
      </c>
      <c r="C1321">
        <v>402</v>
      </c>
      <c r="D1321" s="22">
        <v>172</v>
      </c>
      <c r="P1321" t="str">
        <f t="shared" si="24"/>
        <v>(NULL,"402","172"),</v>
      </c>
      <c r="Q1321" t="str">
        <f>TextJoin(tblEnrolledSubjs[[#This Row],[CSubjID]:[EStudID]],"Value")</f>
        <v>"402","172"</v>
      </c>
      <c r="S1321">
        <f>LOOKUP(LOOKUP(tblEnrolledSubjs[[#This Row],[CSubjID]], tblClassSubjs[CSubjID],tblClassSubjs[ClassID]),tblClasses[ClassID],tblClasses[STermID])</f>
        <v>7</v>
      </c>
      <c r="T1321" t="str">
        <f>LOOKUP(S1321,tblSchoolTerms[STermID],tblSchoolTerms[SemesterID]&amp;" Semester "&amp;tblSchoolTerms[SchoolYear])</f>
        <v>2 Semester S.Y. 2015-2016</v>
      </c>
      <c r="W13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21" t="e">
        <f t="array" ref="Y1321">INDEX(tblEnrolledStuds[EStudID],MATCH(tblEnrolledSubjs[[#This Row],[EStudID]]&amp;S1321,tblEnrolledStuds[AdmissionStatusID]&amp;tblEnrolledStuds[StudID],0))</f>
        <v>#N/A</v>
      </c>
    </row>
    <row r="1322" spans="2:25" x14ac:dyDescent="0.25">
      <c r="B1322">
        <v>1320</v>
      </c>
      <c r="C1322">
        <v>402</v>
      </c>
      <c r="D1322" s="22">
        <v>173</v>
      </c>
      <c r="I1322">
        <v>7</v>
      </c>
      <c r="P1322" t="str">
        <f t="shared" si="24"/>
        <v>(NULL,"402","173"),</v>
      </c>
      <c r="Q1322" t="str">
        <f>TextJoin(tblEnrolledSubjs[[#This Row],[CSubjID]:[EStudID]],"Value")</f>
        <v>"402","173"</v>
      </c>
      <c r="S1322">
        <f>LOOKUP(LOOKUP(tblEnrolledSubjs[[#This Row],[CSubjID]], tblClassSubjs[CSubjID],tblClassSubjs[ClassID]),tblClasses[ClassID],tblClasses[STermID])</f>
        <v>7</v>
      </c>
      <c r="T1322" t="str">
        <f>LOOKUP(S1322,tblSchoolTerms[STermID],tblSchoolTerms[SemesterID]&amp;" Semester "&amp;tblSchoolTerms[SchoolYear])</f>
        <v>2 Semester S.Y. 2015-2016</v>
      </c>
      <c r="W13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22" t="e">
        <f t="array" ref="Y1322">INDEX(tblEnrolledStuds[EStudID],MATCH(tblEnrolledSubjs[[#This Row],[EStudID]]&amp;S1322,tblEnrolledStuds[AdmissionStatusID]&amp;tblEnrolledStuds[StudID],0))</f>
        <v>#N/A</v>
      </c>
    </row>
    <row r="1323" spans="2:25" x14ac:dyDescent="0.25">
      <c r="B1323">
        <v>1321</v>
      </c>
      <c r="C1323">
        <v>455</v>
      </c>
      <c r="D1323" s="22">
        <v>177</v>
      </c>
      <c r="E1323" s="28"/>
      <c r="F1323" s="28"/>
      <c r="G1323" s="28"/>
      <c r="H1323" s="28"/>
      <c r="I1323" s="28">
        <v>8</v>
      </c>
      <c r="P1323" t="str">
        <f t="shared" si="24"/>
        <v>(NULL,"455","177"),</v>
      </c>
      <c r="Q1323" t="str">
        <f>TextJoin(tblEnrolledSubjs[[#This Row],[CSubjID]:[EStudID]],"Value")</f>
        <v>"455","177"</v>
      </c>
      <c r="S1323">
        <f>LOOKUP(LOOKUP(tblEnrolledSubjs[[#This Row],[CSubjID]], tblClassSubjs[CSubjID],tblClassSubjs[ClassID]),tblClasses[ClassID],tblClasses[STermID])</f>
        <v>8</v>
      </c>
      <c r="T1323" t="str">
        <f>LOOKUP(S1323,tblSchoolTerms[STermID],tblSchoolTerms[SemesterID]&amp;" Semester "&amp;tblSchoolTerms[SchoolYear])</f>
        <v>1 Semester S.Y. 2015-2016</v>
      </c>
      <c r="W13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23" t="e">
        <f t="array" ref="Y1323">INDEX(tblEnrolledStuds[EStudID],MATCH(tblEnrolledSubjs[[#This Row],[EStudID]]&amp;S1323,tblEnrolledStuds[AdmissionStatusID]&amp;tblEnrolledStuds[StudID],0))</f>
        <v>#N/A</v>
      </c>
    </row>
    <row r="1324" spans="2:25" x14ac:dyDescent="0.25">
      <c r="B1324">
        <v>1322</v>
      </c>
      <c r="C1324">
        <v>455</v>
      </c>
      <c r="D1324" s="22">
        <v>183</v>
      </c>
      <c r="P1324" t="str">
        <f t="shared" si="24"/>
        <v>(NULL,"455","183"),</v>
      </c>
      <c r="Q1324" t="str">
        <f>TextJoin(tblEnrolledSubjs[[#This Row],[CSubjID]:[EStudID]],"Value")</f>
        <v>"455","183"</v>
      </c>
      <c r="S1324">
        <f>LOOKUP(LOOKUP(tblEnrolledSubjs[[#This Row],[CSubjID]], tblClassSubjs[CSubjID],tblClassSubjs[ClassID]),tblClasses[ClassID],tblClasses[STermID])</f>
        <v>8</v>
      </c>
      <c r="T1324" t="str">
        <f>LOOKUP(S1324,tblSchoolTerms[STermID],tblSchoolTerms[SemesterID]&amp;" Semester "&amp;tblSchoolTerms[SchoolYear])</f>
        <v>1 Semester S.Y. 2015-2016</v>
      </c>
      <c r="W13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24" t="e">
        <f t="array" ref="Y1324">INDEX(tblEnrolledStuds[EStudID],MATCH(tblEnrolledSubjs[[#This Row],[EStudID]]&amp;S1324,tblEnrolledStuds[AdmissionStatusID]&amp;tblEnrolledStuds[StudID],0))</f>
        <v>#N/A</v>
      </c>
    </row>
    <row r="1325" spans="2:25" x14ac:dyDescent="0.25">
      <c r="B1325">
        <v>1323</v>
      </c>
      <c r="C1325">
        <v>455</v>
      </c>
      <c r="D1325" s="22">
        <v>185</v>
      </c>
      <c r="P1325" t="str">
        <f t="shared" si="24"/>
        <v>(NULL,"455","185"),</v>
      </c>
      <c r="Q1325" t="str">
        <f>TextJoin(tblEnrolledSubjs[[#This Row],[CSubjID]:[EStudID]],"Value")</f>
        <v>"455","185"</v>
      </c>
      <c r="S1325">
        <f>LOOKUP(LOOKUP(tblEnrolledSubjs[[#This Row],[CSubjID]], tblClassSubjs[CSubjID],tblClassSubjs[ClassID]),tblClasses[ClassID],tblClasses[STermID])</f>
        <v>8</v>
      </c>
      <c r="T1325" t="str">
        <f>LOOKUP(S1325,tblSchoolTerms[STermID],tblSchoolTerms[SemesterID]&amp;" Semester "&amp;tblSchoolTerms[SchoolYear])</f>
        <v>1 Semester S.Y. 2015-2016</v>
      </c>
      <c r="W13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25" t="e">
        <f t="array" ref="Y1325">INDEX(tblEnrolledStuds[EStudID],MATCH(tblEnrolledSubjs[[#This Row],[EStudID]]&amp;S1325,tblEnrolledStuds[AdmissionStatusID]&amp;tblEnrolledStuds[StudID],0))</f>
        <v>#N/A</v>
      </c>
    </row>
    <row r="1326" spans="2:25" x14ac:dyDescent="0.25">
      <c r="B1326">
        <v>1324</v>
      </c>
      <c r="C1326">
        <v>455</v>
      </c>
      <c r="D1326" s="22">
        <v>188</v>
      </c>
      <c r="P1326" t="str">
        <f t="shared" si="24"/>
        <v>(NULL,"455","188"),</v>
      </c>
      <c r="Q1326" t="str">
        <f>TextJoin(tblEnrolledSubjs[[#This Row],[CSubjID]:[EStudID]],"Value")</f>
        <v>"455","188"</v>
      </c>
      <c r="S1326">
        <f>LOOKUP(LOOKUP(tblEnrolledSubjs[[#This Row],[CSubjID]], tblClassSubjs[CSubjID],tblClassSubjs[ClassID]),tblClasses[ClassID],tblClasses[STermID])</f>
        <v>8</v>
      </c>
      <c r="T1326" t="str">
        <f>LOOKUP(S1326,tblSchoolTerms[STermID],tblSchoolTerms[SemesterID]&amp;" Semester "&amp;tblSchoolTerms[SchoolYear])</f>
        <v>1 Semester S.Y. 2015-2016</v>
      </c>
      <c r="W13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26" t="e">
        <f t="array" ref="Y1326">INDEX(tblEnrolledStuds[EStudID],MATCH(tblEnrolledSubjs[[#This Row],[EStudID]]&amp;S1326,tblEnrolledStuds[AdmissionStatusID]&amp;tblEnrolledStuds[StudID],0))</f>
        <v>#N/A</v>
      </c>
    </row>
    <row r="1327" spans="2:25" x14ac:dyDescent="0.25">
      <c r="B1327">
        <v>1325</v>
      </c>
      <c r="C1327">
        <v>455</v>
      </c>
      <c r="D1327" s="22">
        <v>189</v>
      </c>
      <c r="P1327" t="str">
        <f t="shared" si="24"/>
        <v>(NULL,"455","189"),</v>
      </c>
      <c r="Q1327" t="str">
        <f>TextJoin(tblEnrolledSubjs[[#This Row],[CSubjID]:[EStudID]],"Value")</f>
        <v>"455","189"</v>
      </c>
      <c r="S1327">
        <f>LOOKUP(LOOKUP(tblEnrolledSubjs[[#This Row],[CSubjID]], tblClassSubjs[CSubjID],tblClassSubjs[ClassID]),tblClasses[ClassID],tblClasses[STermID])</f>
        <v>8</v>
      </c>
      <c r="T1327" t="str">
        <f>LOOKUP(S1327,tblSchoolTerms[STermID],tblSchoolTerms[SemesterID]&amp;" Semester "&amp;tblSchoolTerms[SchoolYear])</f>
        <v>1 Semester S.Y. 2015-2016</v>
      </c>
      <c r="W13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27" t="e">
        <f t="array" ref="Y1327">INDEX(tblEnrolledStuds[EStudID],MATCH(tblEnrolledSubjs[[#This Row],[EStudID]]&amp;S1327,tblEnrolledStuds[AdmissionStatusID]&amp;tblEnrolledStuds[StudID],0))</f>
        <v>#N/A</v>
      </c>
    </row>
    <row r="1328" spans="2:25" x14ac:dyDescent="0.25">
      <c r="B1328">
        <v>1326</v>
      </c>
      <c r="C1328">
        <v>455</v>
      </c>
      <c r="D1328" s="22">
        <v>190</v>
      </c>
      <c r="P1328" t="str">
        <f t="shared" si="24"/>
        <v>(NULL,"455","190"),</v>
      </c>
      <c r="Q1328" t="str">
        <f>TextJoin(tblEnrolledSubjs[[#This Row],[CSubjID]:[EStudID]],"Value")</f>
        <v>"455","190"</v>
      </c>
      <c r="S1328">
        <f>LOOKUP(LOOKUP(tblEnrolledSubjs[[#This Row],[CSubjID]], tblClassSubjs[CSubjID],tblClassSubjs[ClassID]),tblClasses[ClassID],tblClasses[STermID])</f>
        <v>8</v>
      </c>
      <c r="T1328" t="str">
        <f>LOOKUP(S1328,tblSchoolTerms[STermID],tblSchoolTerms[SemesterID]&amp;" Semester "&amp;tblSchoolTerms[SchoolYear])</f>
        <v>1 Semester S.Y. 2015-2016</v>
      </c>
      <c r="W13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28" t="e">
        <f t="array" ref="Y1328">INDEX(tblEnrolledStuds[EStudID],MATCH(tblEnrolledSubjs[[#This Row],[EStudID]]&amp;S1328,tblEnrolledStuds[AdmissionStatusID]&amp;tblEnrolledStuds[StudID],0))</f>
        <v>#N/A</v>
      </c>
    </row>
    <row r="1329" spans="2:25" x14ac:dyDescent="0.25">
      <c r="B1329">
        <v>1327</v>
      </c>
      <c r="C1329">
        <v>456</v>
      </c>
      <c r="D1329" s="22">
        <v>177</v>
      </c>
      <c r="P1329" t="str">
        <f t="shared" si="24"/>
        <v>(NULL,"456","177"),</v>
      </c>
      <c r="Q1329" t="str">
        <f>TextJoin(tblEnrolledSubjs[[#This Row],[CSubjID]:[EStudID]],"Value")</f>
        <v>"456","177"</v>
      </c>
      <c r="S1329">
        <f>LOOKUP(LOOKUP(tblEnrolledSubjs[[#This Row],[CSubjID]], tblClassSubjs[CSubjID],tblClassSubjs[ClassID]),tblClasses[ClassID],tblClasses[STermID])</f>
        <v>8</v>
      </c>
      <c r="T1329" t="str">
        <f>LOOKUP(S1329,tblSchoolTerms[STermID],tblSchoolTerms[SemesterID]&amp;" Semester "&amp;tblSchoolTerms[SchoolYear])</f>
        <v>1 Semester S.Y. 2015-2016</v>
      </c>
      <c r="W13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29" t="e">
        <f t="array" ref="Y1329">INDEX(tblEnrolledStuds[EStudID],MATCH(tblEnrolledSubjs[[#This Row],[EStudID]]&amp;S1329,tblEnrolledStuds[AdmissionStatusID]&amp;tblEnrolledStuds[StudID],0))</f>
        <v>#N/A</v>
      </c>
    </row>
    <row r="1330" spans="2:25" x14ac:dyDescent="0.25">
      <c r="B1330">
        <v>1328</v>
      </c>
      <c r="C1330">
        <v>456</v>
      </c>
      <c r="D1330" s="22">
        <v>183</v>
      </c>
      <c r="P1330" t="str">
        <f t="shared" si="24"/>
        <v>(NULL,"456","183"),</v>
      </c>
      <c r="Q1330" t="str">
        <f>TextJoin(tblEnrolledSubjs[[#This Row],[CSubjID]:[EStudID]],"Value")</f>
        <v>"456","183"</v>
      </c>
      <c r="S1330">
        <f>LOOKUP(LOOKUP(tblEnrolledSubjs[[#This Row],[CSubjID]], tblClassSubjs[CSubjID],tblClassSubjs[ClassID]),tblClasses[ClassID],tblClasses[STermID])</f>
        <v>8</v>
      </c>
      <c r="T1330" t="str">
        <f>LOOKUP(S1330,tblSchoolTerms[STermID],tblSchoolTerms[SemesterID]&amp;" Semester "&amp;tblSchoolTerms[SchoolYear])</f>
        <v>1 Semester S.Y. 2015-2016</v>
      </c>
      <c r="W13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30" t="e">
        <f t="array" ref="Y1330">INDEX(tblEnrolledStuds[EStudID],MATCH(tblEnrolledSubjs[[#This Row],[EStudID]]&amp;S1330,tblEnrolledStuds[AdmissionStatusID]&amp;tblEnrolledStuds[StudID],0))</f>
        <v>#N/A</v>
      </c>
    </row>
    <row r="1331" spans="2:25" x14ac:dyDescent="0.25">
      <c r="B1331">
        <v>1329</v>
      </c>
      <c r="C1331">
        <v>456</v>
      </c>
      <c r="D1331" s="22">
        <v>185</v>
      </c>
      <c r="P1331" t="str">
        <f t="shared" si="24"/>
        <v>(NULL,"456","185"),</v>
      </c>
      <c r="Q1331" t="str">
        <f>TextJoin(tblEnrolledSubjs[[#This Row],[CSubjID]:[EStudID]],"Value")</f>
        <v>"456","185"</v>
      </c>
      <c r="S1331">
        <f>LOOKUP(LOOKUP(tblEnrolledSubjs[[#This Row],[CSubjID]], tblClassSubjs[CSubjID],tblClassSubjs[ClassID]),tblClasses[ClassID],tblClasses[STermID])</f>
        <v>8</v>
      </c>
      <c r="T1331" t="str">
        <f>LOOKUP(S1331,tblSchoolTerms[STermID],tblSchoolTerms[SemesterID]&amp;" Semester "&amp;tblSchoolTerms[SchoolYear])</f>
        <v>1 Semester S.Y. 2015-2016</v>
      </c>
      <c r="W13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31" t="e">
        <f t="array" ref="Y1331">INDEX(tblEnrolledStuds[EStudID],MATCH(tblEnrolledSubjs[[#This Row],[EStudID]]&amp;S1331,tblEnrolledStuds[AdmissionStatusID]&amp;tblEnrolledStuds[StudID],0))</f>
        <v>#N/A</v>
      </c>
    </row>
    <row r="1332" spans="2:25" x14ac:dyDescent="0.25">
      <c r="B1332">
        <v>1330</v>
      </c>
      <c r="C1332">
        <v>456</v>
      </c>
      <c r="D1332" s="22">
        <v>188</v>
      </c>
      <c r="P1332" t="str">
        <f t="shared" si="24"/>
        <v>(NULL,"456","188"),</v>
      </c>
      <c r="Q1332" t="str">
        <f>TextJoin(tblEnrolledSubjs[[#This Row],[CSubjID]:[EStudID]],"Value")</f>
        <v>"456","188"</v>
      </c>
      <c r="S1332">
        <f>LOOKUP(LOOKUP(tblEnrolledSubjs[[#This Row],[CSubjID]], tblClassSubjs[CSubjID],tblClassSubjs[ClassID]),tblClasses[ClassID],tblClasses[STermID])</f>
        <v>8</v>
      </c>
      <c r="T1332" t="str">
        <f>LOOKUP(S1332,tblSchoolTerms[STermID],tblSchoolTerms[SemesterID]&amp;" Semester "&amp;tblSchoolTerms[SchoolYear])</f>
        <v>1 Semester S.Y. 2015-2016</v>
      </c>
      <c r="W13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32" t="e">
        <f t="array" ref="Y1332">INDEX(tblEnrolledStuds[EStudID],MATCH(tblEnrolledSubjs[[#This Row],[EStudID]]&amp;S1332,tblEnrolledStuds[AdmissionStatusID]&amp;tblEnrolledStuds[StudID],0))</f>
        <v>#N/A</v>
      </c>
    </row>
    <row r="1333" spans="2:25" x14ac:dyDescent="0.25">
      <c r="B1333">
        <v>1331</v>
      </c>
      <c r="C1333">
        <v>456</v>
      </c>
      <c r="D1333" s="22">
        <v>189</v>
      </c>
      <c r="P1333" t="str">
        <f t="shared" si="24"/>
        <v>(NULL,"456","189"),</v>
      </c>
      <c r="Q1333" t="str">
        <f>TextJoin(tblEnrolledSubjs[[#This Row],[CSubjID]:[EStudID]],"Value")</f>
        <v>"456","189"</v>
      </c>
      <c r="S1333">
        <f>LOOKUP(LOOKUP(tblEnrolledSubjs[[#This Row],[CSubjID]], tblClassSubjs[CSubjID],tblClassSubjs[ClassID]),tblClasses[ClassID],tblClasses[STermID])</f>
        <v>8</v>
      </c>
      <c r="T1333" t="str">
        <f>LOOKUP(S1333,tblSchoolTerms[STermID],tblSchoolTerms[SemesterID]&amp;" Semester "&amp;tblSchoolTerms[SchoolYear])</f>
        <v>1 Semester S.Y. 2015-2016</v>
      </c>
      <c r="W13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33" t="e">
        <f t="array" ref="Y1333">INDEX(tblEnrolledStuds[EStudID],MATCH(tblEnrolledSubjs[[#This Row],[EStudID]]&amp;S1333,tblEnrolledStuds[AdmissionStatusID]&amp;tblEnrolledStuds[StudID],0))</f>
        <v>#N/A</v>
      </c>
    </row>
    <row r="1334" spans="2:25" x14ac:dyDescent="0.25">
      <c r="B1334">
        <v>1332</v>
      </c>
      <c r="C1334">
        <v>456</v>
      </c>
      <c r="D1334" s="22">
        <v>190</v>
      </c>
      <c r="P1334" t="str">
        <f t="shared" si="24"/>
        <v>(NULL,"456","190"),</v>
      </c>
      <c r="Q1334" t="str">
        <f>TextJoin(tblEnrolledSubjs[[#This Row],[CSubjID]:[EStudID]],"Value")</f>
        <v>"456","190"</v>
      </c>
      <c r="S1334">
        <f>LOOKUP(LOOKUP(tblEnrolledSubjs[[#This Row],[CSubjID]], tblClassSubjs[CSubjID],tblClassSubjs[ClassID]),tblClasses[ClassID],tblClasses[STermID])</f>
        <v>8</v>
      </c>
      <c r="T1334" t="str">
        <f>LOOKUP(S1334,tblSchoolTerms[STermID],tblSchoolTerms[SemesterID]&amp;" Semester "&amp;tblSchoolTerms[SchoolYear])</f>
        <v>1 Semester S.Y. 2015-2016</v>
      </c>
      <c r="W13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34" t="e">
        <f t="array" ref="Y1334">INDEX(tblEnrolledStuds[EStudID],MATCH(tblEnrolledSubjs[[#This Row],[EStudID]]&amp;S1334,tblEnrolledStuds[AdmissionStatusID]&amp;tblEnrolledStuds[StudID],0))</f>
        <v>#N/A</v>
      </c>
    </row>
    <row r="1335" spans="2:25" x14ac:dyDescent="0.25">
      <c r="B1335">
        <v>1333</v>
      </c>
      <c r="C1335">
        <v>457</v>
      </c>
      <c r="D1335" s="22">
        <v>177</v>
      </c>
      <c r="P1335" t="str">
        <f t="shared" si="24"/>
        <v>(NULL,"457","177"),</v>
      </c>
      <c r="Q1335" t="str">
        <f>TextJoin(tblEnrolledSubjs[[#This Row],[CSubjID]:[EStudID]],"Value")</f>
        <v>"457","177"</v>
      </c>
      <c r="S1335">
        <f>LOOKUP(LOOKUP(tblEnrolledSubjs[[#This Row],[CSubjID]], tblClassSubjs[CSubjID],tblClassSubjs[ClassID]),tblClasses[ClassID],tblClasses[STermID])</f>
        <v>8</v>
      </c>
      <c r="T1335" t="str">
        <f>LOOKUP(S1335,tblSchoolTerms[STermID],tblSchoolTerms[SemesterID]&amp;" Semester "&amp;tblSchoolTerms[SchoolYear])</f>
        <v>1 Semester S.Y. 2015-2016</v>
      </c>
      <c r="W13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35" t="e">
        <f t="array" ref="Y1335">INDEX(tblEnrolledStuds[EStudID],MATCH(tblEnrolledSubjs[[#This Row],[EStudID]]&amp;S1335,tblEnrolledStuds[AdmissionStatusID]&amp;tblEnrolledStuds[StudID],0))</f>
        <v>#N/A</v>
      </c>
    </row>
    <row r="1336" spans="2:25" x14ac:dyDescent="0.25">
      <c r="B1336">
        <v>1334</v>
      </c>
      <c r="C1336">
        <v>457</v>
      </c>
      <c r="D1336" s="22">
        <v>183</v>
      </c>
      <c r="P1336" t="str">
        <f t="shared" si="24"/>
        <v>(NULL,"457","183"),</v>
      </c>
      <c r="Q1336" t="str">
        <f>TextJoin(tblEnrolledSubjs[[#This Row],[CSubjID]:[EStudID]],"Value")</f>
        <v>"457","183"</v>
      </c>
      <c r="S1336">
        <f>LOOKUP(LOOKUP(tblEnrolledSubjs[[#This Row],[CSubjID]], tblClassSubjs[CSubjID],tblClassSubjs[ClassID]),tblClasses[ClassID],tblClasses[STermID])</f>
        <v>8</v>
      </c>
      <c r="T1336" t="str">
        <f>LOOKUP(S1336,tblSchoolTerms[STermID],tblSchoolTerms[SemesterID]&amp;" Semester "&amp;tblSchoolTerms[SchoolYear])</f>
        <v>1 Semester S.Y. 2015-2016</v>
      </c>
      <c r="W13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36" t="e">
        <f t="array" ref="Y1336">INDEX(tblEnrolledStuds[EStudID],MATCH(tblEnrolledSubjs[[#This Row],[EStudID]]&amp;S1336,tblEnrolledStuds[AdmissionStatusID]&amp;tblEnrolledStuds[StudID],0))</f>
        <v>#N/A</v>
      </c>
    </row>
    <row r="1337" spans="2:25" x14ac:dyDescent="0.25">
      <c r="B1337">
        <v>1335</v>
      </c>
      <c r="C1337">
        <v>457</v>
      </c>
      <c r="D1337" s="22">
        <v>185</v>
      </c>
      <c r="P1337" t="str">
        <f t="shared" si="24"/>
        <v>(NULL,"457","185"),</v>
      </c>
      <c r="Q1337" t="str">
        <f>TextJoin(tblEnrolledSubjs[[#This Row],[CSubjID]:[EStudID]],"Value")</f>
        <v>"457","185"</v>
      </c>
      <c r="S1337">
        <f>LOOKUP(LOOKUP(tblEnrolledSubjs[[#This Row],[CSubjID]], tblClassSubjs[CSubjID],tblClassSubjs[ClassID]),tblClasses[ClassID],tblClasses[STermID])</f>
        <v>8</v>
      </c>
      <c r="T1337" t="str">
        <f>LOOKUP(S1337,tblSchoolTerms[STermID],tblSchoolTerms[SemesterID]&amp;" Semester "&amp;tblSchoolTerms[SchoolYear])</f>
        <v>1 Semester S.Y. 2015-2016</v>
      </c>
      <c r="W13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37" t="e">
        <f t="array" ref="Y1337">INDEX(tblEnrolledStuds[EStudID],MATCH(tblEnrolledSubjs[[#This Row],[EStudID]]&amp;S1337,tblEnrolledStuds[AdmissionStatusID]&amp;tblEnrolledStuds[StudID],0))</f>
        <v>#N/A</v>
      </c>
    </row>
    <row r="1338" spans="2:25" x14ac:dyDescent="0.25">
      <c r="B1338">
        <v>1336</v>
      </c>
      <c r="C1338">
        <v>457</v>
      </c>
      <c r="D1338" s="22">
        <v>188</v>
      </c>
      <c r="P1338" t="str">
        <f t="shared" si="24"/>
        <v>(NULL,"457","188"),</v>
      </c>
      <c r="Q1338" t="str">
        <f>TextJoin(tblEnrolledSubjs[[#This Row],[CSubjID]:[EStudID]],"Value")</f>
        <v>"457","188"</v>
      </c>
      <c r="S1338">
        <f>LOOKUP(LOOKUP(tblEnrolledSubjs[[#This Row],[CSubjID]], tblClassSubjs[CSubjID],tblClassSubjs[ClassID]),tblClasses[ClassID],tblClasses[STermID])</f>
        <v>8</v>
      </c>
      <c r="T1338" t="str">
        <f>LOOKUP(S1338,tblSchoolTerms[STermID],tblSchoolTerms[SemesterID]&amp;" Semester "&amp;tblSchoolTerms[SchoolYear])</f>
        <v>1 Semester S.Y. 2015-2016</v>
      </c>
      <c r="W13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38" t="e">
        <f t="array" ref="Y1338">INDEX(tblEnrolledStuds[EStudID],MATCH(tblEnrolledSubjs[[#This Row],[EStudID]]&amp;S1338,tblEnrolledStuds[AdmissionStatusID]&amp;tblEnrolledStuds[StudID],0))</f>
        <v>#N/A</v>
      </c>
    </row>
    <row r="1339" spans="2:25" x14ac:dyDescent="0.25">
      <c r="B1339">
        <v>1337</v>
      </c>
      <c r="C1339">
        <v>457</v>
      </c>
      <c r="D1339" s="22">
        <v>189</v>
      </c>
      <c r="P1339" t="str">
        <f t="shared" si="24"/>
        <v>(NULL,"457","189"),</v>
      </c>
      <c r="Q1339" t="str">
        <f>TextJoin(tblEnrolledSubjs[[#This Row],[CSubjID]:[EStudID]],"Value")</f>
        <v>"457","189"</v>
      </c>
      <c r="S1339">
        <f>LOOKUP(LOOKUP(tblEnrolledSubjs[[#This Row],[CSubjID]], tblClassSubjs[CSubjID],tblClassSubjs[ClassID]),tblClasses[ClassID],tblClasses[STermID])</f>
        <v>8</v>
      </c>
      <c r="T1339" t="str">
        <f>LOOKUP(S1339,tblSchoolTerms[STermID],tblSchoolTerms[SemesterID]&amp;" Semester "&amp;tblSchoolTerms[SchoolYear])</f>
        <v>1 Semester S.Y. 2015-2016</v>
      </c>
      <c r="W13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39" t="e">
        <f t="array" ref="Y1339">INDEX(tblEnrolledStuds[EStudID],MATCH(tblEnrolledSubjs[[#This Row],[EStudID]]&amp;S1339,tblEnrolledStuds[AdmissionStatusID]&amp;tblEnrolledStuds[StudID],0))</f>
        <v>#N/A</v>
      </c>
    </row>
    <row r="1340" spans="2:25" x14ac:dyDescent="0.25">
      <c r="B1340">
        <v>1338</v>
      </c>
      <c r="C1340">
        <v>457</v>
      </c>
      <c r="D1340" s="22">
        <v>190</v>
      </c>
      <c r="P1340" t="str">
        <f t="shared" si="24"/>
        <v>(NULL,"457","190"),</v>
      </c>
      <c r="Q1340" t="str">
        <f>TextJoin(tblEnrolledSubjs[[#This Row],[CSubjID]:[EStudID]],"Value")</f>
        <v>"457","190"</v>
      </c>
      <c r="S1340">
        <f>LOOKUP(LOOKUP(tblEnrolledSubjs[[#This Row],[CSubjID]], tblClassSubjs[CSubjID],tblClassSubjs[ClassID]),tblClasses[ClassID],tblClasses[STermID])</f>
        <v>8</v>
      </c>
      <c r="T1340" t="str">
        <f>LOOKUP(S1340,tblSchoolTerms[STermID],tblSchoolTerms[SemesterID]&amp;" Semester "&amp;tblSchoolTerms[SchoolYear])</f>
        <v>1 Semester S.Y. 2015-2016</v>
      </c>
      <c r="W13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40" t="e">
        <f t="array" ref="Y1340">INDEX(tblEnrolledStuds[EStudID],MATCH(tblEnrolledSubjs[[#This Row],[EStudID]]&amp;S1340,tblEnrolledStuds[AdmissionStatusID]&amp;tblEnrolledStuds[StudID],0))</f>
        <v>#N/A</v>
      </c>
    </row>
    <row r="1341" spans="2:25" x14ac:dyDescent="0.25">
      <c r="B1341">
        <v>1339</v>
      </c>
      <c r="C1341">
        <v>458</v>
      </c>
      <c r="D1341" s="22">
        <v>177</v>
      </c>
      <c r="P1341" t="str">
        <f t="shared" si="24"/>
        <v>(NULL,"458","177"),</v>
      </c>
      <c r="Q1341" t="str">
        <f>TextJoin(tblEnrolledSubjs[[#This Row],[CSubjID]:[EStudID]],"Value")</f>
        <v>"458","177"</v>
      </c>
      <c r="S1341">
        <f>LOOKUP(LOOKUP(tblEnrolledSubjs[[#This Row],[CSubjID]], tblClassSubjs[CSubjID],tblClassSubjs[ClassID]),tblClasses[ClassID],tblClasses[STermID])</f>
        <v>8</v>
      </c>
      <c r="T1341" t="str">
        <f>LOOKUP(S1341,tblSchoolTerms[STermID],tblSchoolTerms[SemesterID]&amp;" Semester "&amp;tblSchoolTerms[SchoolYear])</f>
        <v>1 Semester S.Y. 2015-2016</v>
      </c>
      <c r="W13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41" t="e">
        <f t="array" ref="Y1341">INDEX(tblEnrolledStuds[EStudID],MATCH(tblEnrolledSubjs[[#This Row],[EStudID]]&amp;S1341,tblEnrolledStuds[AdmissionStatusID]&amp;tblEnrolledStuds[StudID],0))</f>
        <v>#N/A</v>
      </c>
    </row>
    <row r="1342" spans="2:25" x14ac:dyDescent="0.25">
      <c r="B1342">
        <v>1340</v>
      </c>
      <c r="C1342">
        <v>458</v>
      </c>
      <c r="D1342" s="22">
        <v>183</v>
      </c>
      <c r="P1342" t="str">
        <f t="shared" si="24"/>
        <v>(NULL,"458","183"),</v>
      </c>
      <c r="Q1342" t="str">
        <f>TextJoin(tblEnrolledSubjs[[#This Row],[CSubjID]:[EStudID]],"Value")</f>
        <v>"458","183"</v>
      </c>
      <c r="S1342">
        <f>LOOKUP(LOOKUP(tblEnrolledSubjs[[#This Row],[CSubjID]], tblClassSubjs[CSubjID],tblClassSubjs[ClassID]),tblClasses[ClassID],tblClasses[STermID])</f>
        <v>8</v>
      </c>
      <c r="T1342" t="str">
        <f>LOOKUP(S1342,tblSchoolTerms[STermID],tblSchoolTerms[SemesterID]&amp;" Semester "&amp;tblSchoolTerms[SchoolYear])</f>
        <v>1 Semester S.Y. 2015-2016</v>
      </c>
      <c r="W13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42" t="e">
        <f t="array" ref="Y1342">INDEX(tblEnrolledStuds[EStudID],MATCH(tblEnrolledSubjs[[#This Row],[EStudID]]&amp;S1342,tblEnrolledStuds[AdmissionStatusID]&amp;tblEnrolledStuds[StudID],0))</f>
        <v>#N/A</v>
      </c>
    </row>
    <row r="1343" spans="2:25" x14ac:dyDescent="0.25">
      <c r="B1343">
        <v>1341</v>
      </c>
      <c r="C1343">
        <v>458</v>
      </c>
      <c r="D1343" s="22">
        <v>185</v>
      </c>
      <c r="P1343" t="str">
        <f t="shared" si="24"/>
        <v>(NULL,"458","185"),</v>
      </c>
      <c r="Q1343" t="str">
        <f>TextJoin(tblEnrolledSubjs[[#This Row],[CSubjID]:[EStudID]],"Value")</f>
        <v>"458","185"</v>
      </c>
      <c r="S1343">
        <f>LOOKUP(LOOKUP(tblEnrolledSubjs[[#This Row],[CSubjID]], tblClassSubjs[CSubjID],tblClassSubjs[ClassID]),tblClasses[ClassID],tblClasses[STermID])</f>
        <v>8</v>
      </c>
      <c r="T1343" t="str">
        <f>LOOKUP(S1343,tblSchoolTerms[STermID],tblSchoolTerms[SemesterID]&amp;" Semester "&amp;tblSchoolTerms[SchoolYear])</f>
        <v>1 Semester S.Y. 2015-2016</v>
      </c>
      <c r="W13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43" t="e">
        <f t="array" ref="Y1343">INDEX(tblEnrolledStuds[EStudID],MATCH(tblEnrolledSubjs[[#This Row],[EStudID]]&amp;S1343,tblEnrolledStuds[AdmissionStatusID]&amp;tblEnrolledStuds[StudID],0))</f>
        <v>#N/A</v>
      </c>
    </row>
    <row r="1344" spans="2:25" x14ac:dyDescent="0.25">
      <c r="B1344">
        <v>1342</v>
      </c>
      <c r="C1344">
        <v>458</v>
      </c>
      <c r="D1344" s="22">
        <v>188</v>
      </c>
      <c r="P1344" t="str">
        <f t="shared" si="24"/>
        <v>(NULL,"458","188"),</v>
      </c>
      <c r="Q1344" t="str">
        <f>TextJoin(tblEnrolledSubjs[[#This Row],[CSubjID]:[EStudID]],"Value")</f>
        <v>"458","188"</v>
      </c>
      <c r="S1344">
        <f>LOOKUP(LOOKUP(tblEnrolledSubjs[[#This Row],[CSubjID]], tblClassSubjs[CSubjID],tblClassSubjs[ClassID]),tblClasses[ClassID],tblClasses[STermID])</f>
        <v>8</v>
      </c>
      <c r="T1344" t="str">
        <f>LOOKUP(S1344,tblSchoolTerms[STermID],tblSchoolTerms[SemesterID]&amp;" Semester "&amp;tblSchoolTerms[SchoolYear])</f>
        <v>1 Semester S.Y. 2015-2016</v>
      </c>
      <c r="W13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44" t="e">
        <f t="array" ref="Y1344">INDEX(tblEnrolledStuds[EStudID],MATCH(tblEnrolledSubjs[[#This Row],[EStudID]]&amp;S1344,tblEnrolledStuds[AdmissionStatusID]&amp;tblEnrolledStuds[StudID],0))</f>
        <v>#N/A</v>
      </c>
    </row>
    <row r="1345" spans="2:25" x14ac:dyDescent="0.25">
      <c r="B1345">
        <v>1343</v>
      </c>
      <c r="C1345">
        <v>458</v>
      </c>
      <c r="D1345" s="22">
        <v>189</v>
      </c>
      <c r="P1345" t="str">
        <f t="shared" si="24"/>
        <v>(NULL,"458","189"),</v>
      </c>
      <c r="Q1345" t="str">
        <f>TextJoin(tblEnrolledSubjs[[#This Row],[CSubjID]:[EStudID]],"Value")</f>
        <v>"458","189"</v>
      </c>
      <c r="S1345">
        <f>LOOKUP(LOOKUP(tblEnrolledSubjs[[#This Row],[CSubjID]], tblClassSubjs[CSubjID],tblClassSubjs[ClassID]),tblClasses[ClassID],tblClasses[STermID])</f>
        <v>8</v>
      </c>
      <c r="T1345" t="str">
        <f>LOOKUP(S1345,tblSchoolTerms[STermID],tblSchoolTerms[SemesterID]&amp;" Semester "&amp;tblSchoolTerms[SchoolYear])</f>
        <v>1 Semester S.Y. 2015-2016</v>
      </c>
      <c r="W13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45" t="e">
        <f t="array" ref="Y1345">INDEX(tblEnrolledStuds[EStudID],MATCH(tblEnrolledSubjs[[#This Row],[EStudID]]&amp;S1345,tblEnrolledStuds[AdmissionStatusID]&amp;tblEnrolledStuds[StudID],0))</f>
        <v>#N/A</v>
      </c>
    </row>
    <row r="1346" spans="2:25" x14ac:dyDescent="0.25">
      <c r="B1346">
        <v>1344</v>
      </c>
      <c r="C1346">
        <v>458</v>
      </c>
      <c r="D1346" s="22">
        <v>190</v>
      </c>
      <c r="P1346" t="str">
        <f t="shared" si="24"/>
        <v>(NULL,"458","190"),</v>
      </c>
      <c r="Q1346" t="str">
        <f>TextJoin(tblEnrolledSubjs[[#This Row],[CSubjID]:[EStudID]],"Value")</f>
        <v>"458","190"</v>
      </c>
      <c r="S1346">
        <f>LOOKUP(LOOKUP(tblEnrolledSubjs[[#This Row],[CSubjID]], tblClassSubjs[CSubjID],tblClassSubjs[ClassID]),tblClasses[ClassID],tblClasses[STermID])</f>
        <v>8</v>
      </c>
      <c r="T1346" t="str">
        <f>LOOKUP(S1346,tblSchoolTerms[STermID],tblSchoolTerms[SemesterID]&amp;" Semester "&amp;tblSchoolTerms[SchoolYear])</f>
        <v>1 Semester S.Y. 2015-2016</v>
      </c>
      <c r="W13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46" t="e">
        <f t="array" ref="Y1346">INDEX(tblEnrolledStuds[EStudID],MATCH(tblEnrolledSubjs[[#This Row],[EStudID]]&amp;S1346,tblEnrolledStuds[AdmissionStatusID]&amp;tblEnrolledStuds[StudID],0))</f>
        <v>#N/A</v>
      </c>
    </row>
    <row r="1347" spans="2:25" x14ac:dyDescent="0.25">
      <c r="B1347">
        <v>1345</v>
      </c>
      <c r="C1347">
        <v>459</v>
      </c>
      <c r="D1347" s="22">
        <v>177</v>
      </c>
      <c r="P1347" t="str">
        <f t="shared" si="24"/>
        <v>(NULL,"459","177"),</v>
      </c>
      <c r="Q1347" t="str">
        <f>TextJoin(tblEnrolledSubjs[[#This Row],[CSubjID]:[EStudID]],"Value")</f>
        <v>"459","177"</v>
      </c>
      <c r="S1347">
        <f>LOOKUP(LOOKUP(tblEnrolledSubjs[[#This Row],[CSubjID]], tblClassSubjs[CSubjID],tblClassSubjs[ClassID]),tblClasses[ClassID],tblClasses[STermID])</f>
        <v>8</v>
      </c>
      <c r="T1347" t="str">
        <f>LOOKUP(S1347,tblSchoolTerms[STermID],tblSchoolTerms[SemesterID]&amp;" Semester "&amp;tblSchoolTerms[SchoolYear])</f>
        <v>1 Semester S.Y. 2015-2016</v>
      </c>
      <c r="W13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47" t="e">
        <f t="array" ref="Y1347">INDEX(tblEnrolledStuds[EStudID],MATCH(tblEnrolledSubjs[[#This Row],[EStudID]]&amp;S1347,tblEnrolledStuds[AdmissionStatusID]&amp;tblEnrolledStuds[StudID],0))</f>
        <v>#N/A</v>
      </c>
    </row>
    <row r="1348" spans="2:25" x14ac:dyDescent="0.25">
      <c r="B1348">
        <v>1346</v>
      </c>
      <c r="C1348">
        <v>459</v>
      </c>
      <c r="D1348" s="22">
        <v>183</v>
      </c>
      <c r="P1348" t="str">
        <f t="shared" ref="P1348:P1411" si="25">"(NULL,"&amp;Q1348&amp;")"&amp;IF(P1349&lt;&gt;"",",",";")</f>
        <v>(NULL,"459","183"),</v>
      </c>
      <c r="Q1348" t="str">
        <f>TextJoin(tblEnrolledSubjs[[#This Row],[CSubjID]:[EStudID]],"Value")</f>
        <v>"459","183"</v>
      </c>
      <c r="S1348">
        <f>LOOKUP(LOOKUP(tblEnrolledSubjs[[#This Row],[CSubjID]], tblClassSubjs[CSubjID],tblClassSubjs[ClassID]),tblClasses[ClassID],tblClasses[STermID])</f>
        <v>8</v>
      </c>
      <c r="T1348" t="str">
        <f>LOOKUP(S1348,tblSchoolTerms[STermID],tblSchoolTerms[SemesterID]&amp;" Semester "&amp;tblSchoolTerms[SchoolYear])</f>
        <v>1 Semester S.Y. 2015-2016</v>
      </c>
      <c r="W13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48" t="e">
        <f t="array" ref="Y1348">INDEX(tblEnrolledStuds[EStudID],MATCH(tblEnrolledSubjs[[#This Row],[EStudID]]&amp;S1348,tblEnrolledStuds[AdmissionStatusID]&amp;tblEnrolledStuds[StudID],0))</f>
        <v>#N/A</v>
      </c>
    </row>
    <row r="1349" spans="2:25" x14ac:dyDescent="0.25">
      <c r="B1349">
        <v>1347</v>
      </c>
      <c r="C1349">
        <v>459</v>
      </c>
      <c r="D1349" s="22">
        <v>185</v>
      </c>
      <c r="P1349" t="str">
        <f t="shared" si="25"/>
        <v>(NULL,"459","185"),</v>
      </c>
      <c r="Q1349" t="str">
        <f>TextJoin(tblEnrolledSubjs[[#This Row],[CSubjID]:[EStudID]],"Value")</f>
        <v>"459","185"</v>
      </c>
      <c r="S1349">
        <f>LOOKUP(LOOKUP(tblEnrolledSubjs[[#This Row],[CSubjID]], tblClassSubjs[CSubjID],tblClassSubjs[ClassID]),tblClasses[ClassID],tblClasses[STermID])</f>
        <v>8</v>
      </c>
      <c r="T1349" t="str">
        <f>LOOKUP(S1349,tblSchoolTerms[STermID],tblSchoolTerms[SemesterID]&amp;" Semester "&amp;tblSchoolTerms[SchoolYear])</f>
        <v>1 Semester S.Y. 2015-2016</v>
      </c>
      <c r="W13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49" t="e">
        <f t="array" ref="Y1349">INDEX(tblEnrolledStuds[EStudID],MATCH(tblEnrolledSubjs[[#This Row],[EStudID]]&amp;S1349,tblEnrolledStuds[AdmissionStatusID]&amp;tblEnrolledStuds[StudID],0))</f>
        <v>#N/A</v>
      </c>
    </row>
    <row r="1350" spans="2:25" x14ac:dyDescent="0.25">
      <c r="B1350">
        <v>1348</v>
      </c>
      <c r="C1350">
        <v>459</v>
      </c>
      <c r="D1350" s="22">
        <v>188</v>
      </c>
      <c r="P1350" t="str">
        <f t="shared" si="25"/>
        <v>(NULL,"459","188"),</v>
      </c>
      <c r="Q1350" t="str">
        <f>TextJoin(tblEnrolledSubjs[[#This Row],[CSubjID]:[EStudID]],"Value")</f>
        <v>"459","188"</v>
      </c>
      <c r="S1350">
        <f>LOOKUP(LOOKUP(tblEnrolledSubjs[[#This Row],[CSubjID]], tblClassSubjs[CSubjID],tblClassSubjs[ClassID]),tblClasses[ClassID],tblClasses[STermID])</f>
        <v>8</v>
      </c>
      <c r="T1350" t="str">
        <f>LOOKUP(S1350,tblSchoolTerms[STermID],tblSchoolTerms[SemesterID]&amp;" Semester "&amp;tblSchoolTerms[SchoolYear])</f>
        <v>1 Semester S.Y. 2015-2016</v>
      </c>
      <c r="W13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50" t="e">
        <f t="array" ref="Y1350">INDEX(tblEnrolledStuds[EStudID],MATCH(tblEnrolledSubjs[[#This Row],[EStudID]]&amp;S1350,tblEnrolledStuds[AdmissionStatusID]&amp;tblEnrolledStuds[StudID],0))</f>
        <v>#N/A</v>
      </c>
    </row>
    <row r="1351" spans="2:25" x14ac:dyDescent="0.25">
      <c r="B1351">
        <v>1349</v>
      </c>
      <c r="C1351">
        <v>459</v>
      </c>
      <c r="D1351" s="22">
        <v>189</v>
      </c>
      <c r="P1351" t="str">
        <f t="shared" si="25"/>
        <v>(NULL,"459","189"),</v>
      </c>
      <c r="Q1351" t="str">
        <f>TextJoin(tblEnrolledSubjs[[#This Row],[CSubjID]:[EStudID]],"Value")</f>
        <v>"459","189"</v>
      </c>
      <c r="S1351">
        <f>LOOKUP(LOOKUP(tblEnrolledSubjs[[#This Row],[CSubjID]], tblClassSubjs[CSubjID],tblClassSubjs[ClassID]),tblClasses[ClassID],tblClasses[STermID])</f>
        <v>8</v>
      </c>
      <c r="T1351" t="str">
        <f>LOOKUP(S1351,tblSchoolTerms[STermID],tblSchoolTerms[SemesterID]&amp;" Semester "&amp;tblSchoolTerms[SchoolYear])</f>
        <v>1 Semester S.Y. 2015-2016</v>
      </c>
      <c r="W13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51" t="e">
        <f t="array" ref="Y1351">INDEX(tblEnrolledStuds[EStudID],MATCH(tblEnrolledSubjs[[#This Row],[EStudID]]&amp;S1351,tblEnrolledStuds[AdmissionStatusID]&amp;tblEnrolledStuds[StudID],0))</f>
        <v>#N/A</v>
      </c>
    </row>
    <row r="1352" spans="2:25" x14ac:dyDescent="0.25">
      <c r="B1352">
        <v>1350</v>
      </c>
      <c r="C1352">
        <v>459</v>
      </c>
      <c r="D1352" s="22">
        <v>190</v>
      </c>
      <c r="P1352" t="str">
        <f t="shared" si="25"/>
        <v>(NULL,"459","190"),</v>
      </c>
      <c r="Q1352" t="str">
        <f>TextJoin(tblEnrolledSubjs[[#This Row],[CSubjID]:[EStudID]],"Value")</f>
        <v>"459","190"</v>
      </c>
      <c r="S1352">
        <f>LOOKUP(LOOKUP(tblEnrolledSubjs[[#This Row],[CSubjID]], tblClassSubjs[CSubjID],tblClassSubjs[ClassID]),tblClasses[ClassID],tblClasses[STermID])</f>
        <v>8</v>
      </c>
      <c r="T1352" t="str">
        <f>LOOKUP(S1352,tblSchoolTerms[STermID],tblSchoolTerms[SemesterID]&amp;" Semester "&amp;tblSchoolTerms[SchoolYear])</f>
        <v>1 Semester S.Y. 2015-2016</v>
      </c>
      <c r="W13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52" t="e">
        <f t="array" ref="Y1352">INDEX(tblEnrolledStuds[EStudID],MATCH(tblEnrolledSubjs[[#This Row],[EStudID]]&amp;S1352,tblEnrolledStuds[AdmissionStatusID]&amp;tblEnrolledStuds[StudID],0))</f>
        <v>#N/A</v>
      </c>
    </row>
    <row r="1353" spans="2:25" x14ac:dyDescent="0.25">
      <c r="B1353">
        <v>1351</v>
      </c>
      <c r="C1353">
        <v>460</v>
      </c>
      <c r="D1353" s="22">
        <v>177</v>
      </c>
      <c r="P1353" t="str">
        <f t="shared" si="25"/>
        <v>(NULL,"460","177"),</v>
      </c>
      <c r="Q1353" t="str">
        <f>TextJoin(tblEnrolledSubjs[[#This Row],[CSubjID]:[EStudID]],"Value")</f>
        <v>"460","177"</v>
      </c>
      <c r="S1353">
        <f>LOOKUP(LOOKUP(tblEnrolledSubjs[[#This Row],[CSubjID]], tblClassSubjs[CSubjID],tblClassSubjs[ClassID]),tblClasses[ClassID],tblClasses[STermID])</f>
        <v>8</v>
      </c>
      <c r="T1353" t="str">
        <f>LOOKUP(S1353,tblSchoolTerms[STermID],tblSchoolTerms[SemesterID]&amp;" Semester "&amp;tblSchoolTerms[SchoolYear])</f>
        <v>1 Semester S.Y. 2015-2016</v>
      </c>
      <c r="W13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53" t="e">
        <f t="array" ref="Y1353">INDEX(tblEnrolledStuds[EStudID],MATCH(tblEnrolledSubjs[[#This Row],[EStudID]]&amp;S1353,tblEnrolledStuds[AdmissionStatusID]&amp;tblEnrolledStuds[StudID],0))</f>
        <v>#N/A</v>
      </c>
    </row>
    <row r="1354" spans="2:25" x14ac:dyDescent="0.25">
      <c r="B1354">
        <v>1352</v>
      </c>
      <c r="C1354">
        <v>460</v>
      </c>
      <c r="D1354" s="22">
        <v>183</v>
      </c>
      <c r="P1354" t="str">
        <f t="shared" si="25"/>
        <v>(NULL,"460","183"),</v>
      </c>
      <c r="Q1354" t="str">
        <f>TextJoin(tblEnrolledSubjs[[#This Row],[CSubjID]:[EStudID]],"Value")</f>
        <v>"460","183"</v>
      </c>
      <c r="S1354">
        <f>LOOKUP(LOOKUP(tblEnrolledSubjs[[#This Row],[CSubjID]], tblClassSubjs[CSubjID],tblClassSubjs[ClassID]),tblClasses[ClassID],tblClasses[STermID])</f>
        <v>8</v>
      </c>
      <c r="T1354" t="str">
        <f>LOOKUP(S1354,tblSchoolTerms[STermID],tblSchoolTerms[SemesterID]&amp;" Semester "&amp;tblSchoolTerms[SchoolYear])</f>
        <v>1 Semester S.Y. 2015-2016</v>
      </c>
      <c r="W13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54" t="e">
        <f t="array" ref="Y1354">INDEX(tblEnrolledStuds[EStudID],MATCH(tblEnrolledSubjs[[#This Row],[EStudID]]&amp;S1354,tblEnrolledStuds[AdmissionStatusID]&amp;tblEnrolledStuds[StudID],0))</f>
        <v>#N/A</v>
      </c>
    </row>
    <row r="1355" spans="2:25" x14ac:dyDescent="0.25">
      <c r="B1355">
        <v>1353</v>
      </c>
      <c r="C1355">
        <v>460</v>
      </c>
      <c r="D1355" s="22">
        <v>185</v>
      </c>
      <c r="P1355" t="str">
        <f t="shared" si="25"/>
        <v>(NULL,"460","185"),</v>
      </c>
      <c r="Q1355" t="str">
        <f>TextJoin(tblEnrolledSubjs[[#This Row],[CSubjID]:[EStudID]],"Value")</f>
        <v>"460","185"</v>
      </c>
      <c r="S1355">
        <f>LOOKUP(LOOKUP(tblEnrolledSubjs[[#This Row],[CSubjID]], tblClassSubjs[CSubjID],tblClassSubjs[ClassID]),tblClasses[ClassID],tblClasses[STermID])</f>
        <v>8</v>
      </c>
      <c r="T1355" t="str">
        <f>LOOKUP(S1355,tblSchoolTerms[STermID],tblSchoolTerms[SemesterID]&amp;" Semester "&amp;tblSchoolTerms[SchoolYear])</f>
        <v>1 Semester S.Y. 2015-2016</v>
      </c>
      <c r="W13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55" t="e">
        <f t="array" ref="Y1355">INDEX(tblEnrolledStuds[EStudID],MATCH(tblEnrolledSubjs[[#This Row],[EStudID]]&amp;S1355,tblEnrolledStuds[AdmissionStatusID]&amp;tblEnrolledStuds[StudID],0))</f>
        <v>#N/A</v>
      </c>
    </row>
    <row r="1356" spans="2:25" x14ac:dyDescent="0.25">
      <c r="B1356">
        <v>1354</v>
      </c>
      <c r="C1356">
        <v>460</v>
      </c>
      <c r="D1356" s="22">
        <v>188</v>
      </c>
      <c r="P1356" t="str">
        <f t="shared" si="25"/>
        <v>(NULL,"460","188"),</v>
      </c>
      <c r="Q1356" t="str">
        <f>TextJoin(tblEnrolledSubjs[[#This Row],[CSubjID]:[EStudID]],"Value")</f>
        <v>"460","188"</v>
      </c>
      <c r="S1356">
        <f>LOOKUP(LOOKUP(tblEnrolledSubjs[[#This Row],[CSubjID]], tblClassSubjs[CSubjID],tblClassSubjs[ClassID]),tblClasses[ClassID],tblClasses[STermID])</f>
        <v>8</v>
      </c>
      <c r="T1356" t="str">
        <f>LOOKUP(S1356,tblSchoolTerms[STermID],tblSchoolTerms[SemesterID]&amp;" Semester "&amp;tblSchoolTerms[SchoolYear])</f>
        <v>1 Semester S.Y. 2015-2016</v>
      </c>
      <c r="W13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56" t="e">
        <f t="array" ref="Y1356">INDEX(tblEnrolledStuds[EStudID],MATCH(tblEnrolledSubjs[[#This Row],[EStudID]]&amp;S1356,tblEnrolledStuds[AdmissionStatusID]&amp;tblEnrolledStuds[StudID],0))</f>
        <v>#N/A</v>
      </c>
    </row>
    <row r="1357" spans="2:25" x14ac:dyDescent="0.25">
      <c r="B1357">
        <v>1355</v>
      </c>
      <c r="C1357">
        <v>460</v>
      </c>
      <c r="D1357" s="22">
        <v>189</v>
      </c>
      <c r="P1357" t="str">
        <f t="shared" si="25"/>
        <v>(NULL,"460","189"),</v>
      </c>
      <c r="Q1357" t="str">
        <f>TextJoin(tblEnrolledSubjs[[#This Row],[CSubjID]:[EStudID]],"Value")</f>
        <v>"460","189"</v>
      </c>
      <c r="S1357">
        <f>LOOKUP(LOOKUP(tblEnrolledSubjs[[#This Row],[CSubjID]], tblClassSubjs[CSubjID],tblClassSubjs[ClassID]),tblClasses[ClassID],tblClasses[STermID])</f>
        <v>8</v>
      </c>
      <c r="T1357" t="str">
        <f>LOOKUP(S1357,tblSchoolTerms[STermID],tblSchoolTerms[SemesterID]&amp;" Semester "&amp;tblSchoolTerms[SchoolYear])</f>
        <v>1 Semester S.Y. 2015-2016</v>
      </c>
      <c r="W13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57" t="e">
        <f t="array" ref="Y1357">INDEX(tblEnrolledStuds[EStudID],MATCH(tblEnrolledSubjs[[#This Row],[EStudID]]&amp;S1357,tblEnrolledStuds[AdmissionStatusID]&amp;tblEnrolledStuds[StudID],0))</f>
        <v>#N/A</v>
      </c>
    </row>
    <row r="1358" spans="2:25" x14ac:dyDescent="0.25">
      <c r="B1358">
        <v>1356</v>
      </c>
      <c r="C1358">
        <v>460</v>
      </c>
      <c r="D1358" s="22">
        <v>190</v>
      </c>
      <c r="P1358" t="str">
        <f t="shared" si="25"/>
        <v>(NULL,"460","190"),</v>
      </c>
      <c r="Q1358" t="str">
        <f>TextJoin(tblEnrolledSubjs[[#This Row],[CSubjID]:[EStudID]],"Value")</f>
        <v>"460","190"</v>
      </c>
      <c r="S1358">
        <f>LOOKUP(LOOKUP(tblEnrolledSubjs[[#This Row],[CSubjID]], tblClassSubjs[CSubjID],tblClassSubjs[ClassID]),tblClasses[ClassID],tblClasses[STermID])</f>
        <v>8</v>
      </c>
      <c r="T1358" t="str">
        <f>LOOKUP(S1358,tblSchoolTerms[STermID],tblSchoolTerms[SemesterID]&amp;" Semester "&amp;tblSchoolTerms[SchoolYear])</f>
        <v>1 Semester S.Y. 2015-2016</v>
      </c>
      <c r="W13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58" t="e">
        <f t="array" ref="Y1358">INDEX(tblEnrolledStuds[EStudID],MATCH(tblEnrolledSubjs[[#This Row],[EStudID]]&amp;S1358,tblEnrolledStuds[AdmissionStatusID]&amp;tblEnrolledStuds[StudID],0))</f>
        <v>#N/A</v>
      </c>
    </row>
    <row r="1359" spans="2:25" x14ac:dyDescent="0.25">
      <c r="B1359">
        <v>1357</v>
      </c>
      <c r="C1359">
        <v>461</v>
      </c>
      <c r="D1359" s="22">
        <v>177</v>
      </c>
      <c r="P1359" t="str">
        <f t="shared" si="25"/>
        <v>(NULL,"461","177"),</v>
      </c>
      <c r="Q1359" t="str">
        <f>TextJoin(tblEnrolledSubjs[[#This Row],[CSubjID]:[EStudID]],"Value")</f>
        <v>"461","177"</v>
      </c>
      <c r="S1359">
        <f>LOOKUP(LOOKUP(tblEnrolledSubjs[[#This Row],[CSubjID]], tblClassSubjs[CSubjID],tblClassSubjs[ClassID]),tblClasses[ClassID],tblClasses[STermID])</f>
        <v>8</v>
      </c>
      <c r="T1359" t="str">
        <f>LOOKUP(S1359,tblSchoolTerms[STermID],tblSchoolTerms[SemesterID]&amp;" Semester "&amp;tblSchoolTerms[SchoolYear])</f>
        <v>1 Semester S.Y. 2015-2016</v>
      </c>
      <c r="W13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59" t="e">
        <f t="array" ref="Y1359">INDEX(tblEnrolledStuds[EStudID],MATCH(tblEnrolledSubjs[[#This Row],[EStudID]]&amp;S1359,tblEnrolledStuds[AdmissionStatusID]&amp;tblEnrolledStuds[StudID],0))</f>
        <v>#N/A</v>
      </c>
    </row>
    <row r="1360" spans="2:25" x14ac:dyDescent="0.25">
      <c r="B1360">
        <v>1358</v>
      </c>
      <c r="C1360">
        <v>461</v>
      </c>
      <c r="D1360" s="22">
        <v>183</v>
      </c>
      <c r="P1360" t="str">
        <f t="shared" si="25"/>
        <v>(NULL,"461","183"),</v>
      </c>
      <c r="Q1360" t="str">
        <f>TextJoin(tblEnrolledSubjs[[#This Row],[CSubjID]:[EStudID]],"Value")</f>
        <v>"461","183"</v>
      </c>
      <c r="S1360">
        <f>LOOKUP(LOOKUP(tblEnrolledSubjs[[#This Row],[CSubjID]], tblClassSubjs[CSubjID],tblClassSubjs[ClassID]),tblClasses[ClassID],tblClasses[STermID])</f>
        <v>8</v>
      </c>
      <c r="T1360" t="str">
        <f>LOOKUP(S1360,tblSchoolTerms[STermID],tblSchoolTerms[SemesterID]&amp;" Semester "&amp;tblSchoolTerms[SchoolYear])</f>
        <v>1 Semester S.Y. 2015-2016</v>
      </c>
      <c r="W13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60" t="e">
        <f t="array" ref="Y1360">INDEX(tblEnrolledStuds[EStudID],MATCH(tblEnrolledSubjs[[#This Row],[EStudID]]&amp;S1360,tblEnrolledStuds[AdmissionStatusID]&amp;tblEnrolledStuds[StudID],0))</f>
        <v>#N/A</v>
      </c>
    </row>
    <row r="1361" spans="2:25" x14ac:dyDescent="0.25">
      <c r="B1361">
        <v>1359</v>
      </c>
      <c r="C1361">
        <v>461</v>
      </c>
      <c r="D1361" s="22">
        <v>185</v>
      </c>
      <c r="P1361" t="str">
        <f t="shared" si="25"/>
        <v>(NULL,"461","185"),</v>
      </c>
      <c r="Q1361" t="str">
        <f>TextJoin(tblEnrolledSubjs[[#This Row],[CSubjID]:[EStudID]],"Value")</f>
        <v>"461","185"</v>
      </c>
      <c r="S1361">
        <f>LOOKUP(LOOKUP(tblEnrolledSubjs[[#This Row],[CSubjID]], tblClassSubjs[CSubjID],tblClassSubjs[ClassID]),tblClasses[ClassID],tblClasses[STermID])</f>
        <v>8</v>
      </c>
      <c r="T1361" t="str">
        <f>LOOKUP(S1361,tblSchoolTerms[STermID],tblSchoolTerms[SemesterID]&amp;" Semester "&amp;tblSchoolTerms[SchoolYear])</f>
        <v>1 Semester S.Y. 2015-2016</v>
      </c>
      <c r="W13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61" t="e">
        <f t="array" ref="Y1361">INDEX(tblEnrolledStuds[EStudID],MATCH(tblEnrolledSubjs[[#This Row],[EStudID]]&amp;S1361,tblEnrolledStuds[AdmissionStatusID]&amp;tblEnrolledStuds[StudID],0))</f>
        <v>#N/A</v>
      </c>
    </row>
    <row r="1362" spans="2:25" x14ac:dyDescent="0.25">
      <c r="B1362">
        <v>1360</v>
      </c>
      <c r="C1362">
        <v>461</v>
      </c>
      <c r="D1362" s="22">
        <v>188</v>
      </c>
      <c r="P1362" t="str">
        <f t="shared" si="25"/>
        <v>(NULL,"461","188"),</v>
      </c>
      <c r="Q1362" t="str">
        <f>TextJoin(tblEnrolledSubjs[[#This Row],[CSubjID]:[EStudID]],"Value")</f>
        <v>"461","188"</v>
      </c>
      <c r="S1362">
        <f>LOOKUP(LOOKUP(tblEnrolledSubjs[[#This Row],[CSubjID]], tblClassSubjs[CSubjID],tblClassSubjs[ClassID]),tblClasses[ClassID],tblClasses[STermID])</f>
        <v>8</v>
      </c>
      <c r="T1362" t="str">
        <f>LOOKUP(S1362,tblSchoolTerms[STermID],tblSchoolTerms[SemesterID]&amp;" Semester "&amp;tblSchoolTerms[SchoolYear])</f>
        <v>1 Semester S.Y. 2015-2016</v>
      </c>
      <c r="W13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62" t="e">
        <f t="array" ref="Y1362">INDEX(tblEnrolledStuds[EStudID],MATCH(tblEnrolledSubjs[[#This Row],[EStudID]]&amp;S1362,tblEnrolledStuds[AdmissionStatusID]&amp;tblEnrolledStuds[StudID],0))</f>
        <v>#N/A</v>
      </c>
    </row>
    <row r="1363" spans="2:25" x14ac:dyDescent="0.25">
      <c r="B1363">
        <v>1361</v>
      </c>
      <c r="C1363">
        <v>461</v>
      </c>
      <c r="D1363" s="22">
        <v>189</v>
      </c>
      <c r="P1363" t="str">
        <f t="shared" si="25"/>
        <v>(NULL,"461","189"),</v>
      </c>
      <c r="Q1363" t="str">
        <f>TextJoin(tblEnrolledSubjs[[#This Row],[CSubjID]:[EStudID]],"Value")</f>
        <v>"461","189"</v>
      </c>
      <c r="S1363">
        <f>LOOKUP(LOOKUP(tblEnrolledSubjs[[#This Row],[CSubjID]], tblClassSubjs[CSubjID],tblClassSubjs[ClassID]),tblClasses[ClassID],tblClasses[STermID])</f>
        <v>8</v>
      </c>
      <c r="T1363" t="str">
        <f>LOOKUP(S1363,tblSchoolTerms[STermID],tblSchoolTerms[SemesterID]&amp;" Semester "&amp;tblSchoolTerms[SchoolYear])</f>
        <v>1 Semester S.Y. 2015-2016</v>
      </c>
      <c r="W13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63" t="e">
        <f t="array" ref="Y1363">INDEX(tblEnrolledStuds[EStudID],MATCH(tblEnrolledSubjs[[#This Row],[EStudID]]&amp;S1363,tblEnrolledStuds[AdmissionStatusID]&amp;tblEnrolledStuds[StudID],0))</f>
        <v>#N/A</v>
      </c>
    </row>
    <row r="1364" spans="2:25" x14ac:dyDescent="0.25">
      <c r="B1364">
        <v>1362</v>
      </c>
      <c r="C1364">
        <v>461</v>
      </c>
      <c r="D1364" s="22">
        <v>190</v>
      </c>
      <c r="P1364" t="str">
        <f t="shared" si="25"/>
        <v>(NULL,"461","190"),</v>
      </c>
      <c r="Q1364" t="str">
        <f>TextJoin(tblEnrolledSubjs[[#This Row],[CSubjID]:[EStudID]],"Value")</f>
        <v>"461","190"</v>
      </c>
      <c r="S1364">
        <f>LOOKUP(LOOKUP(tblEnrolledSubjs[[#This Row],[CSubjID]], tblClassSubjs[CSubjID],tblClassSubjs[ClassID]),tblClasses[ClassID],tblClasses[STermID])</f>
        <v>8</v>
      </c>
      <c r="T1364" t="str">
        <f>LOOKUP(S1364,tblSchoolTerms[STermID],tblSchoolTerms[SemesterID]&amp;" Semester "&amp;tblSchoolTerms[SchoolYear])</f>
        <v>1 Semester S.Y. 2015-2016</v>
      </c>
      <c r="W13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64" t="e">
        <f t="array" ref="Y1364">INDEX(tblEnrolledStuds[EStudID],MATCH(tblEnrolledSubjs[[#This Row],[EStudID]]&amp;S1364,tblEnrolledStuds[AdmissionStatusID]&amp;tblEnrolledStuds[StudID],0))</f>
        <v>#N/A</v>
      </c>
    </row>
    <row r="1365" spans="2:25" x14ac:dyDescent="0.25">
      <c r="B1365">
        <v>1363</v>
      </c>
      <c r="C1365">
        <v>462</v>
      </c>
      <c r="D1365" s="22">
        <v>177</v>
      </c>
      <c r="P1365" t="str">
        <f t="shared" si="25"/>
        <v>(NULL,"462","177"),</v>
      </c>
      <c r="Q1365" t="str">
        <f>TextJoin(tblEnrolledSubjs[[#This Row],[CSubjID]:[EStudID]],"Value")</f>
        <v>"462","177"</v>
      </c>
      <c r="S1365">
        <f>LOOKUP(LOOKUP(tblEnrolledSubjs[[#This Row],[CSubjID]], tblClassSubjs[CSubjID],tblClassSubjs[ClassID]),tblClasses[ClassID],tblClasses[STermID])</f>
        <v>8</v>
      </c>
      <c r="T1365" t="str">
        <f>LOOKUP(S1365,tblSchoolTerms[STermID],tblSchoolTerms[SemesterID]&amp;" Semester "&amp;tblSchoolTerms[SchoolYear])</f>
        <v>1 Semester S.Y. 2015-2016</v>
      </c>
      <c r="W13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65" t="e">
        <f t="array" ref="Y1365">INDEX(tblEnrolledStuds[EStudID],MATCH(tblEnrolledSubjs[[#This Row],[EStudID]]&amp;S1365,tblEnrolledStuds[AdmissionStatusID]&amp;tblEnrolledStuds[StudID],0))</f>
        <v>#N/A</v>
      </c>
    </row>
    <row r="1366" spans="2:25" x14ac:dyDescent="0.25">
      <c r="B1366">
        <v>1364</v>
      </c>
      <c r="C1366">
        <v>462</v>
      </c>
      <c r="D1366" s="22">
        <v>183</v>
      </c>
      <c r="P1366" t="str">
        <f t="shared" si="25"/>
        <v>(NULL,"462","183"),</v>
      </c>
      <c r="Q1366" t="str">
        <f>TextJoin(tblEnrolledSubjs[[#This Row],[CSubjID]:[EStudID]],"Value")</f>
        <v>"462","183"</v>
      </c>
      <c r="S1366">
        <f>LOOKUP(LOOKUP(tblEnrolledSubjs[[#This Row],[CSubjID]], tblClassSubjs[CSubjID],tblClassSubjs[ClassID]),tblClasses[ClassID],tblClasses[STermID])</f>
        <v>8</v>
      </c>
      <c r="T1366" t="str">
        <f>LOOKUP(S1366,tblSchoolTerms[STermID],tblSchoolTerms[SemesterID]&amp;" Semester "&amp;tblSchoolTerms[SchoolYear])</f>
        <v>1 Semester S.Y. 2015-2016</v>
      </c>
      <c r="W13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66" t="e">
        <f t="array" ref="Y1366">INDEX(tblEnrolledStuds[EStudID],MATCH(tblEnrolledSubjs[[#This Row],[EStudID]]&amp;S1366,tblEnrolledStuds[AdmissionStatusID]&amp;tblEnrolledStuds[StudID],0))</f>
        <v>#N/A</v>
      </c>
    </row>
    <row r="1367" spans="2:25" x14ac:dyDescent="0.25">
      <c r="B1367">
        <v>1365</v>
      </c>
      <c r="C1367">
        <v>462</v>
      </c>
      <c r="D1367" s="22">
        <v>185</v>
      </c>
      <c r="P1367" t="str">
        <f t="shared" si="25"/>
        <v>(NULL,"462","185"),</v>
      </c>
      <c r="Q1367" t="str">
        <f>TextJoin(tblEnrolledSubjs[[#This Row],[CSubjID]:[EStudID]],"Value")</f>
        <v>"462","185"</v>
      </c>
      <c r="S1367">
        <f>LOOKUP(LOOKUP(tblEnrolledSubjs[[#This Row],[CSubjID]], tblClassSubjs[CSubjID],tblClassSubjs[ClassID]),tblClasses[ClassID],tblClasses[STermID])</f>
        <v>8</v>
      </c>
      <c r="T1367" t="str">
        <f>LOOKUP(S1367,tblSchoolTerms[STermID],tblSchoolTerms[SemesterID]&amp;" Semester "&amp;tblSchoolTerms[SchoolYear])</f>
        <v>1 Semester S.Y. 2015-2016</v>
      </c>
      <c r="W13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67" t="e">
        <f t="array" ref="Y1367">INDEX(tblEnrolledStuds[EStudID],MATCH(tblEnrolledSubjs[[#This Row],[EStudID]]&amp;S1367,tblEnrolledStuds[AdmissionStatusID]&amp;tblEnrolledStuds[StudID],0))</f>
        <v>#N/A</v>
      </c>
    </row>
    <row r="1368" spans="2:25" x14ac:dyDescent="0.25">
      <c r="B1368">
        <v>1366</v>
      </c>
      <c r="C1368">
        <v>462</v>
      </c>
      <c r="D1368" s="22">
        <v>188</v>
      </c>
      <c r="P1368" t="str">
        <f t="shared" si="25"/>
        <v>(NULL,"462","188"),</v>
      </c>
      <c r="Q1368" t="str">
        <f>TextJoin(tblEnrolledSubjs[[#This Row],[CSubjID]:[EStudID]],"Value")</f>
        <v>"462","188"</v>
      </c>
      <c r="S1368">
        <f>LOOKUP(LOOKUP(tblEnrolledSubjs[[#This Row],[CSubjID]], tblClassSubjs[CSubjID],tblClassSubjs[ClassID]),tblClasses[ClassID],tblClasses[STermID])</f>
        <v>8</v>
      </c>
      <c r="T1368" t="str">
        <f>LOOKUP(S1368,tblSchoolTerms[STermID],tblSchoolTerms[SemesterID]&amp;" Semester "&amp;tblSchoolTerms[SchoolYear])</f>
        <v>1 Semester S.Y. 2015-2016</v>
      </c>
      <c r="W13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68" t="e">
        <f t="array" ref="Y1368">INDEX(tblEnrolledStuds[EStudID],MATCH(tblEnrolledSubjs[[#This Row],[EStudID]]&amp;S1368,tblEnrolledStuds[AdmissionStatusID]&amp;tblEnrolledStuds[StudID],0))</f>
        <v>#N/A</v>
      </c>
    </row>
    <row r="1369" spans="2:25" x14ac:dyDescent="0.25">
      <c r="B1369">
        <v>1367</v>
      </c>
      <c r="C1369">
        <v>462</v>
      </c>
      <c r="D1369" s="22">
        <v>189</v>
      </c>
      <c r="P1369" t="str">
        <f t="shared" si="25"/>
        <v>(NULL,"462","189"),</v>
      </c>
      <c r="Q1369" t="str">
        <f>TextJoin(tblEnrolledSubjs[[#This Row],[CSubjID]:[EStudID]],"Value")</f>
        <v>"462","189"</v>
      </c>
      <c r="S1369">
        <f>LOOKUP(LOOKUP(tblEnrolledSubjs[[#This Row],[CSubjID]], tblClassSubjs[CSubjID],tblClassSubjs[ClassID]),tblClasses[ClassID],tblClasses[STermID])</f>
        <v>8</v>
      </c>
      <c r="T1369" t="str">
        <f>LOOKUP(S1369,tblSchoolTerms[STermID],tblSchoolTerms[SemesterID]&amp;" Semester "&amp;tblSchoolTerms[SchoolYear])</f>
        <v>1 Semester S.Y. 2015-2016</v>
      </c>
      <c r="W13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69" t="e">
        <f t="array" ref="Y1369">INDEX(tblEnrolledStuds[EStudID],MATCH(tblEnrolledSubjs[[#This Row],[EStudID]]&amp;S1369,tblEnrolledStuds[AdmissionStatusID]&amp;tblEnrolledStuds[StudID],0))</f>
        <v>#N/A</v>
      </c>
    </row>
    <row r="1370" spans="2:25" x14ac:dyDescent="0.25">
      <c r="B1370">
        <v>1368</v>
      </c>
      <c r="C1370">
        <v>462</v>
      </c>
      <c r="D1370" s="22">
        <v>190</v>
      </c>
      <c r="I1370">
        <v>8</v>
      </c>
      <c r="P1370" t="str">
        <f t="shared" si="25"/>
        <v>(NULL,"462","190"),</v>
      </c>
      <c r="Q1370" t="str">
        <f>TextJoin(tblEnrolledSubjs[[#This Row],[CSubjID]:[EStudID]],"Value")</f>
        <v>"462","190"</v>
      </c>
      <c r="S1370">
        <f>LOOKUP(LOOKUP(tblEnrolledSubjs[[#This Row],[CSubjID]], tblClassSubjs[CSubjID],tblClassSubjs[ClassID]),tblClasses[ClassID],tblClasses[STermID])</f>
        <v>8</v>
      </c>
      <c r="T1370" t="str">
        <f>LOOKUP(S1370,tblSchoolTerms[STermID],tblSchoolTerms[SemesterID]&amp;" Semester "&amp;tblSchoolTerms[SchoolYear])</f>
        <v>1 Semester S.Y. 2015-2016</v>
      </c>
      <c r="W13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70" t="e">
        <f t="array" ref="Y1370">INDEX(tblEnrolledStuds[EStudID],MATCH(tblEnrolledSubjs[[#This Row],[EStudID]]&amp;S1370,tblEnrolledStuds[AdmissionStatusID]&amp;tblEnrolledStuds[StudID],0))</f>
        <v>#N/A</v>
      </c>
    </row>
    <row r="1371" spans="2:25" x14ac:dyDescent="0.25">
      <c r="B1371">
        <v>1369</v>
      </c>
      <c r="C1371">
        <v>505</v>
      </c>
      <c r="D1371" s="22">
        <v>191</v>
      </c>
      <c r="E1371" s="28"/>
      <c r="F1371" s="28"/>
      <c r="G1371" s="28"/>
      <c r="H1371" s="28"/>
      <c r="I1371" s="28">
        <v>9</v>
      </c>
      <c r="P1371" t="str">
        <f t="shared" si="25"/>
        <v>(NULL,"505","191"),</v>
      </c>
      <c r="Q1371" t="str">
        <f>TextJoin(tblEnrolledSubjs[[#This Row],[CSubjID]:[EStudID]],"Value")</f>
        <v>"505","191"</v>
      </c>
      <c r="S1371">
        <f>LOOKUP(LOOKUP(tblEnrolledSubjs[[#This Row],[CSubjID]], tblClassSubjs[CSubjID],tblClassSubjs[ClassID]),tblClasses[ClassID],tblClasses[STermID])</f>
        <v>9</v>
      </c>
      <c r="T1371" t="str">
        <f>LOOKUP(S1371,tblSchoolTerms[STermID],tblSchoolTerms[SemesterID]&amp;" Semester "&amp;tblSchoolTerms[SchoolYear])</f>
        <v>2 Semester S.Y. 2014-2015</v>
      </c>
      <c r="W13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71" t="e">
        <f t="array" ref="Y1371">INDEX(tblEnrolledStuds[EStudID],MATCH(tblEnrolledSubjs[[#This Row],[EStudID]]&amp;S1371,tblEnrolledStuds[AdmissionStatusID]&amp;tblEnrolledStuds[StudID],0))</f>
        <v>#N/A</v>
      </c>
    </row>
    <row r="1372" spans="2:25" x14ac:dyDescent="0.25">
      <c r="B1372">
        <v>1370</v>
      </c>
      <c r="C1372">
        <v>505</v>
      </c>
      <c r="D1372" s="22">
        <v>192</v>
      </c>
      <c r="P1372" t="str">
        <f t="shared" si="25"/>
        <v>(NULL,"505","192"),</v>
      </c>
      <c r="Q1372" t="str">
        <f>TextJoin(tblEnrolledSubjs[[#This Row],[CSubjID]:[EStudID]],"Value")</f>
        <v>"505","192"</v>
      </c>
      <c r="S1372">
        <f>LOOKUP(LOOKUP(tblEnrolledSubjs[[#This Row],[CSubjID]], tblClassSubjs[CSubjID],tblClassSubjs[ClassID]),tblClasses[ClassID],tblClasses[STermID])</f>
        <v>9</v>
      </c>
      <c r="T1372" t="str">
        <f>LOOKUP(S1372,tblSchoolTerms[STermID],tblSchoolTerms[SemesterID]&amp;" Semester "&amp;tblSchoolTerms[SchoolYear])</f>
        <v>2 Semester S.Y. 2014-2015</v>
      </c>
      <c r="W13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72" t="e">
        <f t="array" ref="Y1372">INDEX(tblEnrolledStuds[EStudID],MATCH(tblEnrolledSubjs[[#This Row],[EStudID]]&amp;S1372,tblEnrolledStuds[AdmissionStatusID]&amp;tblEnrolledStuds[StudID],0))</f>
        <v>#N/A</v>
      </c>
    </row>
    <row r="1373" spans="2:25" x14ac:dyDescent="0.25">
      <c r="B1373">
        <v>1371</v>
      </c>
      <c r="C1373">
        <v>505</v>
      </c>
      <c r="D1373" s="22">
        <v>193</v>
      </c>
      <c r="P1373" t="str">
        <f t="shared" si="25"/>
        <v>(NULL,"505","193"),</v>
      </c>
      <c r="Q1373" t="str">
        <f>TextJoin(tblEnrolledSubjs[[#This Row],[CSubjID]:[EStudID]],"Value")</f>
        <v>"505","193"</v>
      </c>
      <c r="S1373">
        <f>LOOKUP(LOOKUP(tblEnrolledSubjs[[#This Row],[CSubjID]], tblClassSubjs[CSubjID],tblClassSubjs[ClassID]),tblClasses[ClassID],tblClasses[STermID])</f>
        <v>9</v>
      </c>
      <c r="T1373" t="str">
        <f>LOOKUP(S1373,tblSchoolTerms[STermID],tblSchoolTerms[SemesterID]&amp;" Semester "&amp;tblSchoolTerms[SchoolYear])</f>
        <v>2 Semester S.Y. 2014-2015</v>
      </c>
      <c r="W13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73" t="e">
        <f t="array" ref="Y1373">INDEX(tblEnrolledStuds[EStudID],MATCH(tblEnrolledSubjs[[#This Row],[EStudID]]&amp;S1373,tblEnrolledStuds[AdmissionStatusID]&amp;tblEnrolledStuds[StudID],0))</f>
        <v>#N/A</v>
      </c>
    </row>
    <row r="1374" spans="2:25" x14ac:dyDescent="0.25">
      <c r="B1374">
        <v>1372</v>
      </c>
      <c r="C1374">
        <v>505</v>
      </c>
      <c r="D1374" s="22">
        <v>194</v>
      </c>
      <c r="P1374" t="str">
        <f t="shared" si="25"/>
        <v>(NULL,"505","194"),</v>
      </c>
      <c r="Q1374" t="str">
        <f>TextJoin(tblEnrolledSubjs[[#This Row],[CSubjID]:[EStudID]],"Value")</f>
        <v>"505","194"</v>
      </c>
      <c r="S1374">
        <f>LOOKUP(LOOKUP(tblEnrolledSubjs[[#This Row],[CSubjID]], tblClassSubjs[CSubjID],tblClassSubjs[ClassID]),tblClasses[ClassID],tblClasses[STermID])</f>
        <v>9</v>
      </c>
      <c r="T1374" t="str">
        <f>LOOKUP(S1374,tblSchoolTerms[STermID],tblSchoolTerms[SemesterID]&amp;" Semester "&amp;tblSchoolTerms[SchoolYear])</f>
        <v>2 Semester S.Y. 2014-2015</v>
      </c>
      <c r="W13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74" t="e">
        <f t="array" ref="Y1374">INDEX(tblEnrolledStuds[EStudID],MATCH(tblEnrolledSubjs[[#This Row],[EStudID]]&amp;S1374,tblEnrolledStuds[AdmissionStatusID]&amp;tblEnrolledStuds[StudID],0))</f>
        <v>#N/A</v>
      </c>
    </row>
    <row r="1375" spans="2:25" x14ac:dyDescent="0.25">
      <c r="B1375">
        <v>1373</v>
      </c>
      <c r="C1375">
        <v>505</v>
      </c>
      <c r="D1375" s="22">
        <v>195</v>
      </c>
      <c r="P1375" t="str">
        <f t="shared" si="25"/>
        <v>(NULL,"505","195"),</v>
      </c>
      <c r="Q1375" t="str">
        <f>TextJoin(tblEnrolledSubjs[[#This Row],[CSubjID]:[EStudID]],"Value")</f>
        <v>"505","195"</v>
      </c>
      <c r="S1375">
        <f>LOOKUP(LOOKUP(tblEnrolledSubjs[[#This Row],[CSubjID]], tblClassSubjs[CSubjID],tblClassSubjs[ClassID]),tblClasses[ClassID],tblClasses[STermID])</f>
        <v>9</v>
      </c>
      <c r="T1375" t="str">
        <f>LOOKUP(S1375,tblSchoolTerms[STermID],tblSchoolTerms[SemesterID]&amp;" Semester "&amp;tblSchoolTerms[SchoolYear])</f>
        <v>2 Semester S.Y. 2014-2015</v>
      </c>
      <c r="W13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75" t="e">
        <f t="array" ref="Y1375">INDEX(tblEnrolledStuds[EStudID],MATCH(tblEnrolledSubjs[[#This Row],[EStudID]]&amp;S1375,tblEnrolledStuds[AdmissionStatusID]&amp;tblEnrolledStuds[StudID],0))</f>
        <v>#N/A</v>
      </c>
    </row>
    <row r="1376" spans="2:25" x14ac:dyDescent="0.25">
      <c r="B1376">
        <v>1374</v>
      </c>
      <c r="C1376">
        <v>505</v>
      </c>
      <c r="D1376" s="22">
        <v>196</v>
      </c>
      <c r="P1376" t="str">
        <f t="shared" si="25"/>
        <v>(NULL,"505","196"),</v>
      </c>
      <c r="Q1376" t="str">
        <f>TextJoin(tblEnrolledSubjs[[#This Row],[CSubjID]:[EStudID]],"Value")</f>
        <v>"505","196"</v>
      </c>
      <c r="S1376">
        <f>LOOKUP(LOOKUP(tblEnrolledSubjs[[#This Row],[CSubjID]], tblClassSubjs[CSubjID],tblClassSubjs[ClassID]),tblClasses[ClassID],tblClasses[STermID])</f>
        <v>9</v>
      </c>
      <c r="T1376" t="str">
        <f>LOOKUP(S1376,tblSchoolTerms[STermID],tblSchoolTerms[SemesterID]&amp;" Semester "&amp;tblSchoolTerms[SchoolYear])</f>
        <v>2 Semester S.Y. 2014-2015</v>
      </c>
      <c r="W13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76" t="e">
        <f t="array" ref="Y1376">INDEX(tblEnrolledStuds[EStudID],MATCH(tblEnrolledSubjs[[#This Row],[EStudID]]&amp;S1376,tblEnrolledStuds[AdmissionStatusID]&amp;tblEnrolledStuds[StudID],0))</f>
        <v>#N/A</v>
      </c>
    </row>
    <row r="1377" spans="2:25" x14ac:dyDescent="0.25">
      <c r="B1377">
        <v>1375</v>
      </c>
      <c r="C1377">
        <v>506</v>
      </c>
      <c r="D1377" s="22">
        <v>191</v>
      </c>
      <c r="P1377" t="str">
        <f t="shared" si="25"/>
        <v>(NULL,"506","191"),</v>
      </c>
      <c r="Q1377" t="str">
        <f>TextJoin(tblEnrolledSubjs[[#This Row],[CSubjID]:[EStudID]],"Value")</f>
        <v>"506","191"</v>
      </c>
      <c r="S1377">
        <f>LOOKUP(LOOKUP(tblEnrolledSubjs[[#This Row],[CSubjID]], tblClassSubjs[CSubjID],tblClassSubjs[ClassID]),tblClasses[ClassID],tblClasses[STermID])</f>
        <v>9</v>
      </c>
      <c r="T1377" t="str">
        <f>LOOKUP(S1377,tblSchoolTerms[STermID],tblSchoolTerms[SemesterID]&amp;" Semester "&amp;tblSchoolTerms[SchoolYear])</f>
        <v>2 Semester S.Y. 2014-2015</v>
      </c>
      <c r="W13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77" t="e">
        <f t="array" ref="Y1377">INDEX(tblEnrolledStuds[EStudID],MATCH(tblEnrolledSubjs[[#This Row],[EStudID]]&amp;S1377,tblEnrolledStuds[AdmissionStatusID]&amp;tblEnrolledStuds[StudID],0))</f>
        <v>#N/A</v>
      </c>
    </row>
    <row r="1378" spans="2:25" x14ac:dyDescent="0.25">
      <c r="B1378">
        <v>1376</v>
      </c>
      <c r="C1378">
        <v>506</v>
      </c>
      <c r="D1378" s="22">
        <v>192</v>
      </c>
      <c r="P1378" t="str">
        <f t="shared" si="25"/>
        <v>(NULL,"506","192"),</v>
      </c>
      <c r="Q1378" t="str">
        <f>TextJoin(tblEnrolledSubjs[[#This Row],[CSubjID]:[EStudID]],"Value")</f>
        <v>"506","192"</v>
      </c>
      <c r="S1378">
        <f>LOOKUP(LOOKUP(tblEnrolledSubjs[[#This Row],[CSubjID]], tblClassSubjs[CSubjID],tblClassSubjs[ClassID]),tblClasses[ClassID],tblClasses[STermID])</f>
        <v>9</v>
      </c>
      <c r="T1378" t="str">
        <f>LOOKUP(S1378,tblSchoolTerms[STermID],tblSchoolTerms[SemesterID]&amp;" Semester "&amp;tblSchoolTerms[SchoolYear])</f>
        <v>2 Semester S.Y. 2014-2015</v>
      </c>
      <c r="W13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78" t="e">
        <f t="array" ref="Y1378">INDEX(tblEnrolledStuds[EStudID],MATCH(tblEnrolledSubjs[[#This Row],[EStudID]]&amp;S1378,tblEnrolledStuds[AdmissionStatusID]&amp;tblEnrolledStuds[StudID],0))</f>
        <v>#N/A</v>
      </c>
    </row>
    <row r="1379" spans="2:25" x14ac:dyDescent="0.25">
      <c r="B1379">
        <v>1377</v>
      </c>
      <c r="C1379">
        <v>506</v>
      </c>
      <c r="D1379" s="22">
        <v>193</v>
      </c>
      <c r="P1379" t="str">
        <f t="shared" si="25"/>
        <v>(NULL,"506","193"),</v>
      </c>
      <c r="Q1379" t="str">
        <f>TextJoin(tblEnrolledSubjs[[#This Row],[CSubjID]:[EStudID]],"Value")</f>
        <v>"506","193"</v>
      </c>
      <c r="S1379">
        <f>LOOKUP(LOOKUP(tblEnrolledSubjs[[#This Row],[CSubjID]], tblClassSubjs[CSubjID],tblClassSubjs[ClassID]),tblClasses[ClassID],tblClasses[STermID])</f>
        <v>9</v>
      </c>
      <c r="T1379" t="str">
        <f>LOOKUP(S1379,tblSchoolTerms[STermID],tblSchoolTerms[SemesterID]&amp;" Semester "&amp;tblSchoolTerms[SchoolYear])</f>
        <v>2 Semester S.Y. 2014-2015</v>
      </c>
      <c r="W13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79" t="e">
        <f t="array" ref="Y1379">INDEX(tblEnrolledStuds[EStudID],MATCH(tblEnrolledSubjs[[#This Row],[EStudID]]&amp;S1379,tblEnrolledStuds[AdmissionStatusID]&amp;tblEnrolledStuds[StudID],0))</f>
        <v>#N/A</v>
      </c>
    </row>
    <row r="1380" spans="2:25" x14ac:dyDescent="0.25">
      <c r="B1380">
        <v>1378</v>
      </c>
      <c r="C1380">
        <v>506</v>
      </c>
      <c r="D1380" s="22">
        <v>194</v>
      </c>
      <c r="P1380" t="str">
        <f t="shared" si="25"/>
        <v>(NULL,"506","194"),</v>
      </c>
      <c r="Q1380" t="str">
        <f>TextJoin(tblEnrolledSubjs[[#This Row],[CSubjID]:[EStudID]],"Value")</f>
        <v>"506","194"</v>
      </c>
      <c r="S1380">
        <f>LOOKUP(LOOKUP(tblEnrolledSubjs[[#This Row],[CSubjID]], tblClassSubjs[CSubjID],tblClassSubjs[ClassID]),tblClasses[ClassID],tblClasses[STermID])</f>
        <v>9</v>
      </c>
      <c r="T1380" t="str">
        <f>LOOKUP(S1380,tblSchoolTerms[STermID],tblSchoolTerms[SemesterID]&amp;" Semester "&amp;tblSchoolTerms[SchoolYear])</f>
        <v>2 Semester S.Y. 2014-2015</v>
      </c>
      <c r="W13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80" t="e">
        <f t="array" ref="Y1380">INDEX(tblEnrolledStuds[EStudID],MATCH(tblEnrolledSubjs[[#This Row],[EStudID]]&amp;S1380,tblEnrolledStuds[AdmissionStatusID]&amp;tblEnrolledStuds[StudID],0))</f>
        <v>#N/A</v>
      </c>
    </row>
    <row r="1381" spans="2:25" x14ac:dyDescent="0.25">
      <c r="B1381">
        <v>1379</v>
      </c>
      <c r="C1381">
        <v>506</v>
      </c>
      <c r="D1381" s="22">
        <v>195</v>
      </c>
      <c r="P1381" t="str">
        <f t="shared" si="25"/>
        <v>(NULL,"506","195"),</v>
      </c>
      <c r="Q1381" t="str">
        <f>TextJoin(tblEnrolledSubjs[[#This Row],[CSubjID]:[EStudID]],"Value")</f>
        <v>"506","195"</v>
      </c>
      <c r="S1381">
        <f>LOOKUP(LOOKUP(tblEnrolledSubjs[[#This Row],[CSubjID]], tblClassSubjs[CSubjID],tblClassSubjs[ClassID]),tblClasses[ClassID],tblClasses[STermID])</f>
        <v>9</v>
      </c>
      <c r="T1381" t="str">
        <f>LOOKUP(S1381,tblSchoolTerms[STermID],tblSchoolTerms[SemesterID]&amp;" Semester "&amp;tblSchoolTerms[SchoolYear])</f>
        <v>2 Semester S.Y. 2014-2015</v>
      </c>
      <c r="W13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81" t="e">
        <f t="array" ref="Y1381">INDEX(tblEnrolledStuds[EStudID],MATCH(tblEnrolledSubjs[[#This Row],[EStudID]]&amp;S1381,tblEnrolledStuds[AdmissionStatusID]&amp;tblEnrolledStuds[StudID],0))</f>
        <v>#N/A</v>
      </c>
    </row>
    <row r="1382" spans="2:25" x14ac:dyDescent="0.25">
      <c r="B1382">
        <v>1380</v>
      </c>
      <c r="C1382">
        <v>506</v>
      </c>
      <c r="D1382" s="22">
        <v>196</v>
      </c>
      <c r="P1382" t="str">
        <f t="shared" si="25"/>
        <v>(NULL,"506","196"),</v>
      </c>
      <c r="Q1382" t="str">
        <f>TextJoin(tblEnrolledSubjs[[#This Row],[CSubjID]:[EStudID]],"Value")</f>
        <v>"506","196"</v>
      </c>
      <c r="S1382">
        <f>LOOKUP(LOOKUP(tblEnrolledSubjs[[#This Row],[CSubjID]], tblClassSubjs[CSubjID],tblClassSubjs[ClassID]),tblClasses[ClassID],tblClasses[STermID])</f>
        <v>9</v>
      </c>
      <c r="T1382" t="str">
        <f>LOOKUP(S1382,tblSchoolTerms[STermID],tblSchoolTerms[SemesterID]&amp;" Semester "&amp;tblSchoolTerms[SchoolYear])</f>
        <v>2 Semester S.Y. 2014-2015</v>
      </c>
      <c r="W13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82" t="e">
        <f t="array" ref="Y1382">INDEX(tblEnrolledStuds[EStudID],MATCH(tblEnrolledSubjs[[#This Row],[EStudID]]&amp;S1382,tblEnrolledStuds[AdmissionStatusID]&amp;tblEnrolledStuds[StudID],0))</f>
        <v>#N/A</v>
      </c>
    </row>
    <row r="1383" spans="2:25" x14ac:dyDescent="0.25">
      <c r="B1383">
        <v>1381</v>
      </c>
      <c r="C1383">
        <v>507</v>
      </c>
      <c r="D1383" s="22">
        <v>191</v>
      </c>
      <c r="P1383" t="str">
        <f t="shared" si="25"/>
        <v>(NULL,"507","191"),</v>
      </c>
      <c r="Q1383" t="str">
        <f>TextJoin(tblEnrolledSubjs[[#This Row],[CSubjID]:[EStudID]],"Value")</f>
        <v>"507","191"</v>
      </c>
      <c r="S1383">
        <f>LOOKUP(LOOKUP(tblEnrolledSubjs[[#This Row],[CSubjID]], tblClassSubjs[CSubjID],tblClassSubjs[ClassID]),tblClasses[ClassID],tblClasses[STermID])</f>
        <v>9</v>
      </c>
      <c r="T1383" t="str">
        <f>LOOKUP(S1383,tblSchoolTerms[STermID],tblSchoolTerms[SemesterID]&amp;" Semester "&amp;tblSchoolTerms[SchoolYear])</f>
        <v>2 Semester S.Y. 2014-2015</v>
      </c>
      <c r="W13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83" t="e">
        <f t="array" ref="Y1383">INDEX(tblEnrolledStuds[EStudID],MATCH(tblEnrolledSubjs[[#This Row],[EStudID]]&amp;S1383,tblEnrolledStuds[AdmissionStatusID]&amp;tblEnrolledStuds[StudID],0))</f>
        <v>#N/A</v>
      </c>
    </row>
    <row r="1384" spans="2:25" x14ac:dyDescent="0.25">
      <c r="B1384">
        <v>1382</v>
      </c>
      <c r="C1384">
        <v>507</v>
      </c>
      <c r="D1384" s="22">
        <v>192</v>
      </c>
      <c r="P1384" t="str">
        <f t="shared" si="25"/>
        <v>(NULL,"507","192"),</v>
      </c>
      <c r="Q1384" t="str">
        <f>TextJoin(tblEnrolledSubjs[[#This Row],[CSubjID]:[EStudID]],"Value")</f>
        <v>"507","192"</v>
      </c>
      <c r="S1384">
        <f>LOOKUP(LOOKUP(tblEnrolledSubjs[[#This Row],[CSubjID]], tblClassSubjs[CSubjID],tblClassSubjs[ClassID]),tblClasses[ClassID],tblClasses[STermID])</f>
        <v>9</v>
      </c>
      <c r="T1384" t="str">
        <f>LOOKUP(S1384,tblSchoolTerms[STermID],tblSchoolTerms[SemesterID]&amp;" Semester "&amp;tblSchoolTerms[SchoolYear])</f>
        <v>2 Semester S.Y. 2014-2015</v>
      </c>
      <c r="W13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84" t="e">
        <f t="array" ref="Y1384">INDEX(tblEnrolledStuds[EStudID],MATCH(tblEnrolledSubjs[[#This Row],[EStudID]]&amp;S1384,tblEnrolledStuds[AdmissionStatusID]&amp;tblEnrolledStuds[StudID],0))</f>
        <v>#N/A</v>
      </c>
    </row>
    <row r="1385" spans="2:25" x14ac:dyDescent="0.25">
      <c r="B1385">
        <v>1383</v>
      </c>
      <c r="C1385">
        <v>507</v>
      </c>
      <c r="D1385" s="22">
        <v>193</v>
      </c>
      <c r="P1385" t="str">
        <f t="shared" si="25"/>
        <v>(NULL,"507","193"),</v>
      </c>
      <c r="Q1385" t="str">
        <f>TextJoin(tblEnrolledSubjs[[#This Row],[CSubjID]:[EStudID]],"Value")</f>
        <v>"507","193"</v>
      </c>
      <c r="S1385">
        <f>LOOKUP(LOOKUP(tblEnrolledSubjs[[#This Row],[CSubjID]], tblClassSubjs[CSubjID],tblClassSubjs[ClassID]),tblClasses[ClassID],tblClasses[STermID])</f>
        <v>9</v>
      </c>
      <c r="T1385" t="str">
        <f>LOOKUP(S1385,tblSchoolTerms[STermID],tblSchoolTerms[SemesterID]&amp;" Semester "&amp;tblSchoolTerms[SchoolYear])</f>
        <v>2 Semester S.Y. 2014-2015</v>
      </c>
      <c r="W138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85" t="e">
        <f t="array" ref="Y1385">INDEX(tblEnrolledStuds[EStudID],MATCH(tblEnrolledSubjs[[#This Row],[EStudID]]&amp;S1385,tblEnrolledStuds[AdmissionStatusID]&amp;tblEnrolledStuds[StudID],0))</f>
        <v>#N/A</v>
      </c>
    </row>
    <row r="1386" spans="2:25" x14ac:dyDescent="0.25">
      <c r="B1386">
        <v>1384</v>
      </c>
      <c r="C1386">
        <v>507</v>
      </c>
      <c r="D1386" s="22">
        <v>194</v>
      </c>
      <c r="P1386" t="str">
        <f t="shared" si="25"/>
        <v>(NULL,"507","194"),</v>
      </c>
      <c r="Q1386" t="str">
        <f>TextJoin(tblEnrolledSubjs[[#This Row],[CSubjID]:[EStudID]],"Value")</f>
        <v>"507","194"</v>
      </c>
      <c r="S1386">
        <f>LOOKUP(LOOKUP(tblEnrolledSubjs[[#This Row],[CSubjID]], tblClassSubjs[CSubjID],tblClassSubjs[ClassID]),tblClasses[ClassID],tblClasses[STermID])</f>
        <v>9</v>
      </c>
      <c r="T1386" t="str">
        <f>LOOKUP(S1386,tblSchoolTerms[STermID],tblSchoolTerms[SemesterID]&amp;" Semester "&amp;tblSchoolTerms[SchoolYear])</f>
        <v>2 Semester S.Y. 2014-2015</v>
      </c>
      <c r="W138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86" t="e">
        <f t="array" ref="Y1386">INDEX(tblEnrolledStuds[EStudID],MATCH(tblEnrolledSubjs[[#This Row],[EStudID]]&amp;S1386,tblEnrolledStuds[AdmissionStatusID]&amp;tblEnrolledStuds[StudID],0))</f>
        <v>#N/A</v>
      </c>
    </row>
    <row r="1387" spans="2:25" x14ac:dyDescent="0.25">
      <c r="B1387">
        <v>1385</v>
      </c>
      <c r="C1387">
        <v>507</v>
      </c>
      <c r="D1387" s="22">
        <v>195</v>
      </c>
      <c r="P1387" t="str">
        <f t="shared" si="25"/>
        <v>(NULL,"507","195"),</v>
      </c>
      <c r="Q1387" t="str">
        <f>TextJoin(tblEnrolledSubjs[[#This Row],[CSubjID]:[EStudID]],"Value")</f>
        <v>"507","195"</v>
      </c>
      <c r="S1387">
        <f>LOOKUP(LOOKUP(tblEnrolledSubjs[[#This Row],[CSubjID]], tblClassSubjs[CSubjID],tblClassSubjs[ClassID]),tblClasses[ClassID],tblClasses[STermID])</f>
        <v>9</v>
      </c>
      <c r="T1387" t="str">
        <f>LOOKUP(S1387,tblSchoolTerms[STermID],tblSchoolTerms[SemesterID]&amp;" Semester "&amp;tblSchoolTerms[SchoolYear])</f>
        <v>2 Semester S.Y. 2014-2015</v>
      </c>
      <c r="W138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87" t="e">
        <f t="array" ref="Y1387">INDEX(tblEnrolledStuds[EStudID],MATCH(tblEnrolledSubjs[[#This Row],[EStudID]]&amp;S1387,tblEnrolledStuds[AdmissionStatusID]&amp;tblEnrolledStuds[StudID],0))</f>
        <v>#N/A</v>
      </c>
    </row>
    <row r="1388" spans="2:25" x14ac:dyDescent="0.25">
      <c r="B1388">
        <v>1386</v>
      </c>
      <c r="C1388">
        <v>507</v>
      </c>
      <c r="D1388" s="22">
        <v>196</v>
      </c>
      <c r="P1388" t="str">
        <f t="shared" si="25"/>
        <v>(NULL,"507","196"),</v>
      </c>
      <c r="Q1388" t="str">
        <f>TextJoin(tblEnrolledSubjs[[#This Row],[CSubjID]:[EStudID]],"Value")</f>
        <v>"507","196"</v>
      </c>
      <c r="S1388">
        <f>LOOKUP(LOOKUP(tblEnrolledSubjs[[#This Row],[CSubjID]], tblClassSubjs[CSubjID],tblClassSubjs[ClassID]),tblClasses[ClassID],tblClasses[STermID])</f>
        <v>9</v>
      </c>
      <c r="T1388" t="str">
        <f>LOOKUP(S1388,tblSchoolTerms[STermID],tblSchoolTerms[SemesterID]&amp;" Semester "&amp;tblSchoolTerms[SchoolYear])</f>
        <v>2 Semester S.Y. 2014-2015</v>
      </c>
      <c r="W138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88" t="e">
        <f t="array" ref="Y1388">INDEX(tblEnrolledStuds[EStudID],MATCH(tblEnrolledSubjs[[#This Row],[EStudID]]&amp;S1388,tblEnrolledStuds[AdmissionStatusID]&amp;tblEnrolledStuds[StudID],0))</f>
        <v>#N/A</v>
      </c>
    </row>
    <row r="1389" spans="2:25" x14ac:dyDescent="0.25">
      <c r="B1389">
        <v>1387</v>
      </c>
      <c r="C1389">
        <v>508</v>
      </c>
      <c r="D1389" s="22">
        <v>191</v>
      </c>
      <c r="P1389" t="str">
        <f t="shared" si="25"/>
        <v>(NULL,"508","191"),</v>
      </c>
      <c r="Q1389" t="str">
        <f>TextJoin(tblEnrolledSubjs[[#This Row],[CSubjID]:[EStudID]],"Value")</f>
        <v>"508","191"</v>
      </c>
      <c r="S1389">
        <f>LOOKUP(LOOKUP(tblEnrolledSubjs[[#This Row],[CSubjID]], tblClassSubjs[CSubjID],tblClassSubjs[ClassID]),tblClasses[ClassID],tblClasses[STermID])</f>
        <v>9</v>
      </c>
      <c r="T1389" t="str">
        <f>LOOKUP(S1389,tblSchoolTerms[STermID],tblSchoolTerms[SemesterID]&amp;" Semester "&amp;tblSchoolTerms[SchoolYear])</f>
        <v>2 Semester S.Y. 2014-2015</v>
      </c>
      <c r="W138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89" t="e">
        <f t="array" ref="Y1389">INDEX(tblEnrolledStuds[EStudID],MATCH(tblEnrolledSubjs[[#This Row],[EStudID]]&amp;S1389,tblEnrolledStuds[AdmissionStatusID]&amp;tblEnrolledStuds[StudID],0))</f>
        <v>#N/A</v>
      </c>
    </row>
    <row r="1390" spans="2:25" x14ac:dyDescent="0.25">
      <c r="B1390">
        <v>1388</v>
      </c>
      <c r="C1390">
        <v>508</v>
      </c>
      <c r="D1390" s="22">
        <v>192</v>
      </c>
      <c r="P1390" t="str">
        <f t="shared" si="25"/>
        <v>(NULL,"508","192"),</v>
      </c>
      <c r="Q1390" t="str">
        <f>TextJoin(tblEnrolledSubjs[[#This Row],[CSubjID]:[EStudID]],"Value")</f>
        <v>"508","192"</v>
      </c>
      <c r="S1390">
        <f>LOOKUP(LOOKUP(tblEnrolledSubjs[[#This Row],[CSubjID]], tblClassSubjs[CSubjID],tblClassSubjs[ClassID]),tblClasses[ClassID],tblClasses[STermID])</f>
        <v>9</v>
      </c>
      <c r="T1390" t="str">
        <f>LOOKUP(S1390,tblSchoolTerms[STermID],tblSchoolTerms[SemesterID]&amp;" Semester "&amp;tblSchoolTerms[SchoolYear])</f>
        <v>2 Semester S.Y. 2014-2015</v>
      </c>
      <c r="W139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90" t="e">
        <f t="array" ref="Y1390">INDEX(tblEnrolledStuds[EStudID],MATCH(tblEnrolledSubjs[[#This Row],[EStudID]]&amp;S1390,tblEnrolledStuds[AdmissionStatusID]&amp;tblEnrolledStuds[StudID],0))</f>
        <v>#N/A</v>
      </c>
    </row>
    <row r="1391" spans="2:25" x14ac:dyDescent="0.25">
      <c r="B1391">
        <v>1389</v>
      </c>
      <c r="C1391">
        <v>508</v>
      </c>
      <c r="D1391" s="22">
        <v>193</v>
      </c>
      <c r="P1391" t="str">
        <f t="shared" si="25"/>
        <v>(NULL,"508","193"),</v>
      </c>
      <c r="Q1391" t="str">
        <f>TextJoin(tblEnrolledSubjs[[#This Row],[CSubjID]:[EStudID]],"Value")</f>
        <v>"508","193"</v>
      </c>
      <c r="S1391">
        <f>LOOKUP(LOOKUP(tblEnrolledSubjs[[#This Row],[CSubjID]], tblClassSubjs[CSubjID],tblClassSubjs[ClassID]),tblClasses[ClassID],tblClasses[STermID])</f>
        <v>9</v>
      </c>
      <c r="T1391" t="str">
        <f>LOOKUP(S1391,tblSchoolTerms[STermID],tblSchoolTerms[SemesterID]&amp;" Semester "&amp;tblSchoolTerms[SchoolYear])</f>
        <v>2 Semester S.Y. 2014-2015</v>
      </c>
      <c r="W139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91" t="e">
        <f t="array" ref="Y1391">INDEX(tblEnrolledStuds[EStudID],MATCH(tblEnrolledSubjs[[#This Row],[EStudID]]&amp;S1391,tblEnrolledStuds[AdmissionStatusID]&amp;tblEnrolledStuds[StudID],0))</f>
        <v>#N/A</v>
      </c>
    </row>
    <row r="1392" spans="2:25" x14ac:dyDescent="0.25">
      <c r="B1392">
        <v>1390</v>
      </c>
      <c r="C1392">
        <v>508</v>
      </c>
      <c r="D1392" s="22">
        <v>194</v>
      </c>
      <c r="P1392" t="str">
        <f t="shared" si="25"/>
        <v>(NULL,"508","194"),</v>
      </c>
      <c r="Q1392" t="str">
        <f>TextJoin(tblEnrolledSubjs[[#This Row],[CSubjID]:[EStudID]],"Value")</f>
        <v>"508","194"</v>
      </c>
      <c r="S1392">
        <f>LOOKUP(LOOKUP(tblEnrolledSubjs[[#This Row],[CSubjID]], tblClassSubjs[CSubjID],tblClassSubjs[ClassID]),tblClasses[ClassID],tblClasses[STermID])</f>
        <v>9</v>
      </c>
      <c r="T1392" t="str">
        <f>LOOKUP(S1392,tblSchoolTerms[STermID],tblSchoolTerms[SemesterID]&amp;" Semester "&amp;tblSchoolTerms[SchoolYear])</f>
        <v>2 Semester S.Y. 2014-2015</v>
      </c>
      <c r="W139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92" t="e">
        <f t="array" ref="Y1392">INDEX(tblEnrolledStuds[EStudID],MATCH(tblEnrolledSubjs[[#This Row],[EStudID]]&amp;S1392,tblEnrolledStuds[AdmissionStatusID]&amp;tblEnrolledStuds[StudID],0))</f>
        <v>#N/A</v>
      </c>
    </row>
    <row r="1393" spans="2:25" x14ac:dyDescent="0.25">
      <c r="B1393">
        <v>1391</v>
      </c>
      <c r="C1393">
        <v>508</v>
      </c>
      <c r="D1393" s="22">
        <v>195</v>
      </c>
      <c r="P1393" t="str">
        <f t="shared" si="25"/>
        <v>(NULL,"508","195"),</v>
      </c>
      <c r="Q1393" t="str">
        <f>TextJoin(tblEnrolledSubjs[[#This Row],[CSubjID]:[EStudID]],"Value")</f>
        <v>"508","195"</v>
      </c>
      <c r="S1393">
        <f>LOOKUP(LOOKUP(tblEnrolledSubjs[[#This Row],[CSubjID]], tblClassSubjs[CSubjID],tblClassSubjs[ClassID]),tblClasses[ClassID],tblClasses[STermID])</f>
        <v>9</v>
      </c>
      <c r="T1393" t="str">
        <f>LOOKUP(S1393,tblSchoolTerms[STermID],tblSchoolTerms[SemesterID]&amp;" Semester "&amp;tblSchoolTerms[SchoolYear])</f>
        <v>2 Semester S.Y. 2014-2015</v>
      </c>
      <c r="W139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93" t="e">
        <f t="array" ref="Y1393">INDEX(tblEnrolledStuds[EStudID],MATCH(tblEnrolledSubjs[[#This Row],[EStudID]]&amp;S1393,tblEnrolledStuds[AdmissionStatusID]&amp;tblEnrolledStuds[StudID],0))</f>
        <v>#N/A</v>
      </c>
    </row>
    <row r="1394" spans="2:25" x14ac:dyDescent="0.25">
      <c r="B1394">
        <v>1392</v>
      </c>
      <c r="C1394">
        <v>508</v>
      </c>
      <c r="D1394" s="22">
        <v>196</v>
      </c>
      <c r="P1394" t="str">
        <f t="shared" si="25"/>
        <v>(NULL,"508","196"),</v>
      </c>
      <c r="Q1394" t="str">
        <f>TextJoin(tblEnrolledSubjs[[#This Row],[CSubjID]:[EStudID]],"Value")</f>
        <v>"508","196"</v>
      </c>
      <c r="S1394">
        <f>LOOKUP(LOOKUP(tblEnrolledSubjs[[#This Row],[CSubjID]], tblClassSubjs[CSubjID],tblClassSubjs[ClassID]),tblClasses[ClassID],tblClasses[STermID])</f>
        <v>9</v>
      </c>
      <c r="T1394" t="str">
        <f>LOOKUP(S1394,tblSchoolTerms[STermID],tblSchoolTerms[SemesterID]&amp;" Semester "&amp;tblSchoolTerms[SchoolYear])</f>
        <v>2 Semester S.Y. 2014-2015</v>
      </c>
      <c r="W139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94" t="e">
        <f t="array" ref="Y1394">INDEX(tblEnrolledStuds[EStudID],MATCH(tblEnrolledSubjs[[#This Row],[EStudID]]&amp;S1394,tblEnrolledStuds[AdmissionStatusID]&amp;tblEnrolledStuds[StudID],0))</f>
        <v>#N/A</v>
      </c>
    </row>
    <row r="1395" spans="2:25" x14ac:dyDescent="0.25">
      <c r="B1395">
        <v>1393</v>
      </c>
      <c r="C1395">
        <v>509</v>
      </c>
      <c r="D1395" s="22">
        <v>191</v>
      </c>
      <c r="P1395" t="str">
        <f t="shared" si="25"/>
        <v>(NULL,"509","191"),</v>
      </c>
      <c r="Q1395" t="str">
        <f>TextJoin(tblEnrolledSubjs[[#This Row],[CSubjID]:[EStudID]],"Value")</f>
        <v>"509","191"</v>
      </c>
      <c r="S1395">
        <f>LOOKUP(LOOKUP(tblEnrolledSubjs[[#This Row],[CSubjID]], tblClassSubjs[CSubjID],tblClassSubjs[ClassID]),tblClasses[ClassID],tblClasses[STermID])</f>
        <v>9</v>
      </c>
      <c r="T1395" t="str">
        <f>LOOKUP(S1395,tblSchoolTerms[STermID],tblSchoolTerms[SemesterID]&amp;" Semester "&amp;tblSchoolTerms[SchoolYear])</f>
        <v>2 Semester S.Y. 2014-2015</v>
      </c>
      <c r="W139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95" t="e">
        <f t="array" ref="Y1395">INDEX(tblEnrolledStuds[EStudID],MATCH(tblEnrolledSubjs[[#This Row],[EStudID]]&amp;S1395,tblEnrolledStuds[AdmissionStatusID]&amp;tblEnrolledStuds[StudID],0))</f>
        <v>#N/A</v>
      </c>
    </row>
    <row r="1396" spans="2:25" x14ac:dyDescent="0.25">
      <c r="B1396">
        <v>1394</v>
      </c>
      <c r="C1396">
        <v>509</v>
      </c>
      <c r="D1396" s="22">
        <v>192</v>
      </c>
      <c r="P1396" t="str">
        <f t="shared" si="25"/>
        <v>(NULL,"509","192"),</v>
      </c>
      <c r="Q1396" t="str">
        <f>TextJoin(tblEnrolledSubjs[[#This Row],[CSubjID]:[EStudID]],"Value")</f>
        <v>"509","192"</v>
      </c>
      <c r="S1396">
        <f>LOOKUP(LOOKUP(tblEnrolledSubjs[[#This Row],[CSubjID]], tblClassSubjs[CSubjID],tblClassSubjs[ClassID]),tblClasses[ClassID],tblClasses[STermID])</f>
        <v>9</v>
      </c>
      <c r="T1396" t="str">
        <f>LOOKUP(S1396,tblSchoolTerms[STermID],tblSchoolTerms[SemesterID]&amp;" Semester "&amp;tblSchoolTerms[SchoolYear])</f>
        <v>2 Semester S.Y. 2014-2015</v>
      </c>
      <c r="W139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96" t="e">
        <f t="array" ref="Y1396">INDEX(tblEnrolledStuds[EStudID],MATCH(tblEnrolledSubjs[[#This Row],[EStudID]]&amp;S1396,tblEnrolledStuds[AdmissionStatusID]&amp;tblEnrolledStuds[StudID],0))</f>
        <v>#N/A</v>
      </c>
    </row>
    <row r="1397" spans="2:25" x14ac:dyDescent="0.25">
      <c r="B1397">
        <v>1395</v>
      </c>
      <c r="C1397">
        <v>509</v>
      </c>
      <c r="D1397" s="22">
        <v>193</v>
      </c>
      <c r="P1397" t="str">
        <f t="shared" si="25"/>
        <v>(NULL,"509","193"),</v>
      </c>
      <c r="Q1397" t="str">
        <f>TextJoin(tblEnrolledSubjs[[#This Row],[CSubjID]:[EStudID]],"Value")</f>
        <v>"509","193"</v>
      </c>
      <c r="S1397">
        <f>LOOKUP(LOOKUP(tblEnrolledSubjs[[#This Row],[CSubjID]], tblClassSubjs[CSubjID],tblClassSubjs[ClassID]),tblClasses[ClassID],tblClasses[STermID])</f>
        <v>9</v>
      </c>
      <c r="T1397" t="str">
        <f>LOOKUP(S1397,tblSchoolTerms[STermID],tblSchoolTerms[SemesterID]&amp;" Semester "&amp;tblSchoolTerms[SchoolYear])</f>
        <v>2 Semester S.Y. 2014-2015</v>
      </c>
      <c r="W139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97" t="e">
        <f t="array" ref="Y1397">INDEX(tblEnrolledStuds[EStudID],MATCH(tblEnrolledSubjs[[#This Row],[EStudID]]&amp;S1397,tblEnrolledStuds[AdmissionStatusID]&amp;tblEnrolledStuds[StudID],0))</f>
        <v>#N/A</v>
      </c>
    </row>
    <row r="1398" spans="2:25" x14ac:dyDescent="0.25">
      <c r="B1398">
        <v>1396</v>
      </c>
      <c r="C1398">
        <v>509</v>
      </c>
      <c r="D1398" s="22">
        <v>194</v>
      </c>
      <c r="P1398" t="str">
        <f t="shared" si="25"/>
        <v>(NULL,"509","194"),</v>
      </c>
      <c r="Q1398" t="str">
        <f>TextJoin(tblEnrolledSubjs[[#This Row],[CSubjID]:[EStudID]],"Value")</f>
        <v>"509","194"</v>
      </c>
      <c r="S1398">
        <f>LOOKUP(LOOKUP(tblEnrolledSubjs[[#This Row],[CSubjID]], tblClassSubjs[CSubjID],tblClassSubjs[ClassID]),tblClasses[ClassID],tblClasses[STermID])</f>
        <v>9</v>
      </c>
      <c r="T1398" t="str">
        <f>LOOKUP(S1398,tblSchoolTerms[STermID],tblSchoolTerms[SemesterID]&amp;" Semester "&amp;tblSchoolTerms[SchoolYear])</f>
        <v>2 Semester S.Y. 2014-2015</v>
      </c>
      <c r="W139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398" t="e">
        <f t="array" ref="Y1398">INDEX(tblEnrolledStuds[EStudID],MATCH(tblEnrolledSubjs[[#This Row],[EStudID]]&amp;S1398,tblEnrolledStuds[AdmissionStatusID]&amp;tblEnrolledStuds[StudID],0))</f>
        <v>#N/A</v>
      </c>
    </row>
    <row r="1399" spans="2:25" x14ac:dyDescent="0.25">
      <c r="B1399">
        <v>1397</v>
      </c>
      <c r="C1399">
        <v>509</v>
      </c>
      <c r="D1399" s="22">
        <v>195</v>
      </c>
      <c r="P1399" t="str">
        <f t="shared" si="25"/>
        <v>(NULL,"509","195"),</v>
      </c>
      <c r="Q1399" t="str">
        <f>TextJoin(tblEnrolledSubjs[[#This Row],[CSubjID]:[EStudID]],"Value")</f>
        <v>"509","195"</v>
      </c>
      <c r="S1399">
        <f>LOOKUP(LOOKUP(tblEnrolledSubjs[[#This Row],[CSubjID]], tblClassSubjs[CSubjID],tblClassSubjs[ClassID]),tblClasses[ClassID],tblClasses[STermID])</f>
        <v>9</v>
      </c>
      <c r="T1399" t="str">
        <f>LOOKUP(S1399,tblSchoolTerms[STermID],tblSchoolTerms[SemesterID]&amp;" Semester "&amp;tblSchoolTerms[SchoolYear])</f>
        <v>2 Semester S.Y. 2014-2015</v>
      </c>
      <c r="W139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399" t="e">
        <f t="array" ref="Y1399">INDEX(tblEnrolledStuds[EStudID],MATCH(tblEnrolledSubjs[[#This Row],[EStudID]]&amp;S1399,tblEnrolledStuds[AdmissionStatusID]&amp;tblEnrolledStuds[StudID],0))</f>
        <v>#N/A</v>
      </c>
    </row>
    <row r="1400" spans="2:25" x14ac:dyDescent="0.25">
      <c r="B1400">
        <v>1398</v>
      </c>
      <c r="C1400">
        <v>509</v>
      </c>
      <c r="D1400" s="22">
        <v>196</v>
      </c>
      <c r="P1400" t="str">
        <f t="shared" si="25"/>
        <v>(NULL,"509","196"),</v>
      </c>
      <c r="Q1400" t="str">
        <f>TextJoin(tblEnrolledSubjs[[#This Row],[CSubjID]:[EStudID]],"Value")</f>
        <v>"509","196"</v>
      </c>
      <c r="S1400">
        <f>LOOKUP(LOOKUP(tblEnrolledSubjs[[#This Row],[CSubjID]], tblClassSubjs[CSubjID],tblClassSubjs[ClassID]),tblClasses[ClassID],tblClasses[STermID])</f>
        <v>9</v>
      </c>
      <c r="T1400" t="str">
        <f>LOOKUP(S1400,tblSchoolTerms[STermID],tblSchoolTerms[SemesterID]&amp;" Semester "&amp;tblSchoolTerms[SchoolYear])</f>
        <v>2 Semester S.Y. 2014-2015</v>
      </c>
      <c r="W140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00" t="e">
        <f t="array" ref="Y1400">INDEX(tblEnrolledStuds[EStudID],MATCH(tblEnrolledSubjs[[#This Row],[EStudID]]&amp;S1400,tblEnrolledStuds[AdmissionStatusID]&amp;tblEnrolledStuds[StudID],0))</f>
        <v>#N/A</v>
      </c>
    </row>
    <row r="1401" spans="2:25" x14ac:dyDescent="0.25">
      <c r="B1401">
        <v>1399</v>
      </c>
      <c r="C1401">
        <v>510</v>
      </c>
      <c r="D1401" s="22">
        <v>191</v>
      </c>
      <c r="P1401" t="str">
        <f t="shared" si="25"/>
        <v>(NULL,"510","191"),</v>
      </c>
      <c r="Q1401" t="str">
        <f>TextJoin(tblEnrolledSubjs[[#This Row],[CSubjID]:[EStudID]],"Value")</f>
        <v>"510","191"</v>
      </c>
      <c r="S1401">
        <f>LOOKUP(LOOKUP(tblEnrolledSubjs[[#This Row],[CSubjID]], tblClassSubjs[CSubjID],tblClassSubjs[ClassID]),tblClasses[ClassID],tblClasses[STermID])</f>
        <v>9</v>
      </c>
      <c r="T1401" t="str">
        <f>LOOKUP(S1401,tblSchoolTerms[STermID],tblSchoolTerms[SemesterID]&amp;" Semester "&amp;tblSchoolTerms[SchoolYear])</f>
        <v>2 Semester S.Y. 2014-2015</v>
      </c>
      <c r="W140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01" t="e">
        <f t="array" ref="Y1401">INDEX(tblEnrolledStuds[EStudID],MATCH(tblEnrolledSubjs[[#This Row],[EStudID]]&amp;S1401,tblEnrolledStuds[AdmissionStatusID]&amp;tblEnrolledStuds[StudID],0))</f>
        <v>#N/A</v>
      </c>
    </row>
    <row r="1402" spans="2:25" x14ac:dyDescent="0.25">
      <c r="B1402">
        <v>1400</v>
      </c>
      <c r="C1402">
        <v>510</v>
      </c>
      <c r="D1402" s="22">
        <v>192</v>
      </c>
      <c r="P1402" t="str">
        <f t="shared" si="25"/>
        <v>(NULL,"510","192"),</v>
      </c>
      <c r="Q1402" t="str">
        <f>TextJoin(tblEnrolledSubjs[[#This Row],[CSubjID]:[EStudID]],"Value")</f>
        <v>"510","192"</v>
      </c>
      <c r="S1402">
        <f>LOOKUP(LOOKUP(tblEnrolledSubjs[[#This Row],[CSubjID]], tblClassSubjs[CSubjID],tblClassSubjs[ClassID]),tblClasses[ClassID],tblClasses[STermID])</f>
        <v>9</v>
      </c>
      <c r="T1402" t="str">
        <f>LOOKUP(S1402,tblSchoolTerms[STermID],tblSchoolTerms[SemesterID]&amp;" Semester "&amp;tblSchoolTerms[SchoolYear])</f>
        <v>2 Semester S.Y. 2014-2015</v>
      </c>
      <c r="W140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02" t="e">
        <f t="array" ref="Y1402">INDEX(tblEnrolledStuds[EStudID],MATCH(tblEnrolledSubjs[[#This Row],[EStudID]]&amp;S1402,tblEnrolledStuds[AdmissionStatusID]&amp;tblEnrolledStuds[StudID],0))</f>
        <v>#N/A</v>
      </c>
    </row>
    <row r="1403" spans="2:25" x14ac:dyDescent="0.25">
      <c r="B1403">
        <v>1401</v>
      </c>
      <c r="C1403">
        <v>510</v>
      </c>
      <c r="D1403" s="22">
        <v>193</v>
      </c>
      <c r="P1403" t="str">
        <f t="shared" si="25"/>
        <v>(NULL,"510","193"),</v>
      </c>
      <c r="Q1403" t="str">
        <f>TextJoin(tblEnrolledSubjs[[#This Row],[CSubjID]:[EStudID]],"Value")</f>
        <v>"510","193"</v>
      </c>
      <c r="S1403">
        <f>LOOKUP(LOOKUP(tblEnrolledSubjs[[#This Row],[CSubjID]], tblClassSubjs[CSubjID],tblClassSubjs[ClassID]),tblClasses[ClassID],tblClasses[STermID])</f>
        <v>9</v>
      </c>
      <c r="T1403" t="str">
        <f>LOOKUP(S1403,tblSchoolTerms[STermID],tblSchoolTerms[SemesterID]&amp;" Semester "&amp;tblSchoolTerms[SchoolYear])</f>
        <v>2 Semester S.Y. 2014-2015</v>
      </c>
      <c r="W140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03" t="e">
        <f t="array" ref="Y1403">INDEX(tblEnrolledStuds[EStudID],MATCH(tblEnrolledSubjs[[#This Row],[EStudID]]&amp;S1403,tblEnrolledStuds[AdmissionStatusID]&amp;tblEnrolledStuds[StudID],0))</f>
        <v>#N/A</v>
      </c>
    </row>
    <row r="1404" spans="2:25" x14ac:dyDescent="0.25">
      <c r="B1404">
        <v>1402</v>
      </c>
      <c r="C1404">
        <v>510</v>
      </c>
      <c r="D1404" s="22">
        <v>194</v>
      </c>
      <c r="P1404" t="str">
        <f t="shared" si="25"/>
        <v>(NULL,"510","194"),</v>
      </c>
      <c r="Q1404" t="str">
        <f>TextJoin(tblEnrolledSubjs[[#This Row],[CSubjID]:[EStudID]],"Value")</f>
        <v>"510","194"</v>
      </c>
      <c r="S1404">
        <f>LOOKUP(LOOKUP(tblEnrolledSubjs[[#This Row],[CSubjID]], tblClassSubjs[CSubjID],tblClassSubjs[ClassID]),tblClasses[ClassID],tblClasses[STermID])</f>
        <v>9</v>
      </c>
      <c r="T1404" t="str">
        <f>LOOKUP(S1404,tblSchoolTerms[STermID],tblSchoolTerms[SemesterID]&amp;" Semester "&amp;tblSchoolTerms[SchoolYear])</f>
        <v>2 Semester S.Y. 2014-2015</v>
      </c>
      <c r="W140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04" t="e">
        <f t="array" ref="Y1404">INDEX(tblEnrolledStuds[EStudID],MATCH(tblEnrolledSubjs[[#This Row],[EStudID]]&amp;S1404,tblEnrolledStuds[AdmissionStatusID]&amp;tblEnrolledStuds[StudID],0))</f>
        <v>#N/A</v>
      </c>
    </row>
    <row r="1405" spans="2:25" x14ac:dyDescent="0.25">
      <c r="B1405">
        <v>1403</v>
      </c>
      <c r="C1405">
        <v>510</v>
      </c>
      <c r="D1405" s="22">
        <v>195</v>
      </c>
      <c r="P1405" t="str">
        <f t="shared" si="25"/>
        <v>(NULL,"510","195"),</v>
      </c>
      <c r="Q1405" t="str">
        <f>TextJoin(tblEnrolledSubjs[[#This Row],[CSubjID]:[EStudID]],"Value")</f>
        <v>"510","195"</v>
      </c>
      <c r="S1405">
        <f>LOOKUP(LOOKUP(tblEnrolledSubjs[[#This Row],[CSubjID]], tblClassSubjs[CSubjID],tblClassSubjs[ClassID]),tblClasses[ClassID],tblClasses[STermID])</f>
        <v>9</v>
      </c>
      <c r="T1405" t="str">
        <f>LOOKUP(S1405,tblSchoolTerms[STermID],tblSchoolTerms[SemesterID]&amp;" Semester "&amp;tblSchoolTerms[SchoolYear])</f>
        <v>2 Semester S.Y. 2014-2015</v>
      </c>
      <c r="W140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05" t="e">
        <f t="array" ref="Y1405">INDEX(tblEnrolledStuds[EStudID],MATCH(tblEnrolledSubjs[[#This Row],[EStudID]]&amp;S1405,tblEnrolledStuds[AdmissionStatusID]&amp;tblEnrolledStuds[StudID],0))</f>
        <v>#N/A</v>
      </c>
    </row>
    <row r="1406" spans="2:25" x14ac:dyDescent="0.25">
      <c r="B1406">
        <v>1404</v>
      </c>
      <c r="C1406">
        <v>510</v>
      </c>
      <c r="D1406" s="22">
        <v>196</v>
      </c>
      <c r="P1406" t="str">
        <f t="shared" si="25"/>
        <v>(NULL,"510","196"),</v>
      </c>
      <c r="Q1406" t="str">
        <f>TextJoin(tblEnrolledSubjs[[#This Row],[CSubjID]:[EStudID]],"Value")</f>
        <v>"510","196"</v>
      </c>
      <c r="S1406">
        <f>LOOKUP(LOOKUP(tblEnrolledSubjs[[#This Row],[CSubjID]], tblClassSubjs[CSubjID],tblClassSubjs[ClassID]),tblClasses[ClassID],tblClasses[STermID])</f>
        <v>9</v>
      </c>
      <c r="T1406" t="str">
        <f>LOOKUP(S1406,tblSchoolTerms[STermID],tblSchoolTerms[SemesterID]&amp;" Semester "&amp;tblSchoolTerms[SchoolYear])</f>
        <v>2 Semester S.Y. 2014-2015</v>
      </c>
      <c r="W140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06" t="e">
        <f t="array" ref="Y1406">INDEX(tblEnrolledStuds[EStudID],MATCH(tblEnrolledSubjs[[#This Row],[EStudID]]&amp;S1406,tblEnrolledStuds[AdmissionStatusID]&amp;tblEnrolledStuds[StudID],0))</f>
        <v>#N/A</v>
      </c>
    </row>
    <row r="1407" spans="2:25" x14ac:dyDescent="0.25">
      <c r="B1407">
        <v>1405</v>
      </c>
      <c r="C1407">
        <v>511</v>
      </c>
      <c r="D1407" s="22">
        <v>191</v>
      </c>
      <c r="P1407" t="str">
        <f t="shared" si="25"/>
        <v>(NULL,"511","191"),</v>
      </c>
      <c r="Q1407" t="str">
        <f>TextJoin(tblEnrolledSubjs[[#This Row],[CSubjID]:[EStudID]],"Value")</f>
        <v>"511","191"</v>
      </c>
      <c r="S1407">
        <f>LOOKUP(LOOKUP(tblEnrolledSubjs[[#This Row],[CSubjID]], tblClassSubjs[CSubjID],tblClassSubjs[ClassID]),tblClasses[ClassID],tblClasses[STermID])</f>
        <v>9</v>
      </c>
      <c r="T1407" t="str">
        <f>LOOKUP(S1407,tblSchoolTerms[STermID],tblSchoolTerms[SemesterID]&amp;" Semester "&amp;tblSchoolTerms[SchoolYear])</f>
        <v>2 Semester S.Y. 2014-2015</v>
      </c>
      <c r="W140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07" t="e">
        <f t="array" ref="Y1407">INDEX(tblEnrolledStuds[EStudID],MATCH(tblEnrolledSubjs[[#This Row],[EStudID]]&amp;S1407,tblEnrolledStuds[AdmissionStatusID]&amp;tblEnrolledStuds[StudID],0))</f>
        <v>#N/A</v>
      </c>
    </row>
    <row r="1408" spans="2:25" x14ac:dyDescent="0.25">
      <c r="B1408">
        <v>1406</v>
      </c>
      <c r="C1408">
        <v>511</v>
      </c>
      <c r="D1408" s="22">
        <v>192</v>
      </c>
      <c r="P1408" t="str">
        <f t="shared" si="25"/>
        <v>(NULL,"511","192"),</v>
      </c>
      <c r="Q1408" t="str">
        <f>TextJoin(tblEnrolledSubjs[[#This Row],[CSubjID]:[EStudID]],"Value")</f>
        <v>"511","192"</v>
      </c>
      <c r="S1408">
        <f>LOOKUP(LOOKUP(tblEnrolledSubjs[[#This Row],[CSubjID]], tblClassSubjs[CSubjID],tblClassSubjs[ClassID]),tblClasses[ClassID],tblClasses[STermID])</f>
        <v>9</v>
      </c>
      <c r="T1408" t="str">
        <f>LOOKUP(S1408,tblSchoolTerms[STermID],tblSchoolTerms[SemesterID]&amp;" Semester "&amp;tblSchoolTerms[SchoolYear])</f>
        <v>2 Semester S.Y. 2014-2015</v>
      </c>
      <c r="W140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08" t="e">
        <f t="array" ref="Y1408">INDEX(tblEnrolledStuds[EStudID],MATCH(tblEnrolledSubjs[[#This Row],[EStudID]]&amp;S1408,tblEnrolledStuds[AdmissionStatusID]&amp;tblEnrolledStuds[StudID],0))</f>
        <v>#N/A</v>
      </c>
    </row>
    <row r="1409" spans="2:25" x14ac:dyDescent="0.25">
      <c r="B1409">
        <v>1407</v>
      </c>
      <c r="C1409">
        <v>511</v>
      </c>
      <c r="D1409" s="22">
        <v>193</v>
      </c>
      <c r="P1409" t="str">
        <f t="shared" si="25"/>
        <v>(NULL,"511","193"),</v>
      </c>
      <c r="Q1409" t="str">
        <f>TextJoin(tblEnrolledSubjs[[#This Row],[CSubjID]:[EStudID]],"Value")</f>
        <v>"511","193"</v>
      </c>
      <c r="S1409">
        <f>LOOKUP(LOOKUP(tblEnrolledSubjs[[#This Row],[CSubjID]], tblClassSubjs[CSubjID],tblClassSubjs[ClassID]),tblClasses[ClassID],tblClasses[STermID])</f>
        <v>9</v>
      </c>
      <c r="T1409" t="str">
        <f>LOOKUP(S1409,tblSchoolTerms[STermID],tblSchoolTerms[SemesterID]&amp;" Semester "&amp;tblSchoolTerms[SchoolYear])</f>
        <v>2 Semester S.Y. 2014-2015</v>
      </c>
      <c r="W140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09" t="e">
        <f t="array" ref="Y1409">INDEX(tblEnrolledStuds[EStudID],MATCH(tblEnrolledSubjs[[#This Row],[EStudID]]&amp;S1409,tblEnrolledStuds[AdmissionStatusID]&amp;tblEnrolledStuds[StudID],0))</f>
        <v>#N/A</v>
      </c>
    </row>
    <row r="1410" spans="2:25" x14ac:dyDescent="0.25">
      <c r="B1410">
        <v>1408</v>
      </c>
      <c r="C1410">
        <v>511</v>
      </c>
      <c r="D1410" s="22">
        <v>194</v>
      </c>
      <c r="P1410" t="str">
        <f t="shared" si="25"/>
        <v>(NULL,"511","194"),</v>
      </c>
      <c r="Q1410" t="str">
        <f>TextJoin(tblEnrolledSubjs[[#This Row],[CSubjID]:[EStudID]],"Value")</f>
        <v>"511","194"</v>
      </c>
      <c r="S1410">
        <f>LOOKUP(LOOKUP(tblEnrolledSubjs[[#This Row],[CSubjID]], tblClassSubjs[CSubjID],tblClassSubjs[ClassID]),tblClasses[ClassID],tblClasses[STermID])</f>
        <v>9</v>
      </c>
      <c r="T1410" t="str">
        <f>LOOKUP(S1410,tblSchoolTerms[STermID],tblSchoolTerms[SemesterID]&amp;" Semester "&amp;tblSchoolTerms[SchoolYear])</f>
        <v>2 Semester S.Y. 2014-2015</v>
      </c>
      <c r="W141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10" t="e">
        <f t="array" ref="Y1410">INDEX(tblEnrolledStuds[EStudID],MATCH(tblEnrolledSubjs[[#This Row],[EStudID]]&amp;S1410,tblEnrolledStuds[AdmissionStatusID]&amp;tblEnrolledStuds[StudID],0))</f>
        <v>#N/A</v>
      </c>
    </row>
    <row r="1411" spans="2:25" x14ac:dyDescent="0.25">
      <c r="B1411">
        <v>1409</v>
      </c>
      <c r="C1411">
        <v>511</v>
      </c>
      <c r="D1411" s="22">
        <v>195</v>
      </c>
      <c r="P1411" t="str">
        <f t="shared" si="25"/>
        <v>(NULL,"511","195"),</v>
      </c>
      <c r="Q1411" t="str">
        <f>TextJoin(tblEnrolledSubjs[[#This Row],[CSubjID]:[EStudID]],"Value")</f>
        <v>"511","195"</v>
      </c>
      <c r="S1411">
        <f>LOOKUP(LOOKUP(tblEnrolledSubjs[[#This Row],[CSubjID]], tblClassSubjs[CSubjID],tblClassSubjs[ClassID]),tblClasses[ClassID],tblClasses[STermID])</f>
        <v>9</v>
      </c>
      <c r="T1411" t="str">
        <f>LOOKUP(S1411,tblSchoolTerms[STermID],tblSchoolTerms[SemesterID]&amp;" Semester "&amp;tblSchoolTerms[SchoolYear])</f>
        <v>2 Semester S.Y. 2014-2015</v>
      </c>
      <c r="W141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11" t="e">
        <f t="array" ref="Y1411">INDEX(tblEnrolledStuds[EStudID],MATCH(tblEnrolledSubjs[[#This Row],[EStudID]]&amp;S1411,tblEnrolledStuds[AdmissionStatusID]&amp;tblEnrolledStuds[StudID],0))</f>
        <v>#N/A</v>
      </c>
    </row>
    <row r="1412" spans="2:25" x14ac:dyDescent="0.25">
      <c r="B1412">
        <v>1410</v>
      </c>
      <c r="C1412">
        <v>511</v>
      </c>
      <c r="D1412" s="22">
        <v>196</v>
      </c>
      <c r="P1412" t="str">
        <f t="shared" ref="P1412:P1475" si="26">"(NULL,"&amp;Q1412&amp;")"&amp;IF(P1413&lt;&gt;"",",",";")</f>
        <v>(NULL,"511","196"),</v>
      </c>
      <c r="Q1412" t="str">
        <f>TextJoin(tblEnrolledSubjs[[#This Row],[CSubjID]:[EStudID]],"Value")</f>
        <v>"511","196"</v>
      </c>
      <c r="S1412">
        <f>LOOKUP(LOOKUP(tblEnrolledSubjs[[#This Row],[CSubjID]], tblClassSubjs[CSubjID],tblClassSubjs[ClassID]),tblClasses[ClassID],tblClasses[STermID])</f>
        <v>9</v>
      </c>
      <c r="T1412" t="str">
        <f>LOOKUP(S1412,tblSchoolTerms[STermID],tblSchoolTerms[SemesterID]&amp;" Semester "&amp;tblSchoolTerms[SchoolYear])</f>
        <v>2 Semester S.Y. 2014-2015</v>
      </c>
      <c r="W141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12" t="e">
        <f t="array" ref="Y1412">INDEX(tblEnrolledStuds[EStudID],MATCH(tblEnrolledSubjs[[#This Row],[EStudID]]&amp;S1412,tblEnrolledStuds[AdmissionStatusID]&amp;tblEnrolledStuds[StudID],0))</f>
        <v>#N/A</v>
      </c>
    </row>
    <row r="1413" spans="2:25" x14ac:dyDescent="0.25">
      <c r="B1413">
        <v>1411</v>
      </c>
      <c r="C1413">
        <v>512</v>
      </c>
      <c r="D1413" s="22">
        <v>191</v>
      </c>
      <c r="P1413" t="str">
        <f t="shared" si="26"/>
        <v>(NULL,"512","191"),</v>
      </c>
      <c r="Q1413" t="str">
        <f>TextJoin(tblEnrolledSubjs[[#This Row],[CSubjID]:[EStudID]],"Value")</f>
        <v>"512","191"</v>
      </c>
      <c r="S1413">
        <f>LOOKUP(LOOKUP(tblEnrolledSubjs[[#This Row],[CSubjID]], tblClassSubjs[CSubjID],tblClassSubjs[ClassID]),tblClasses[ClassID],tblClasses[STermID])</f>
        <v>9</v>
      </c>
      <c r="T1413" t="str">
        <f>LOOKUP(S1413,tblSchoolTerms[STermID],tblSchoolTerms[SemesterID]&amp;" Semester "&amp;tblSchoolTerms[SchoolYear])</f>
        <v>2 Semester S.Y. 2014-2015</v>
      </c>
      <c r="W141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13" t="e">
        <f t="array" ref="Y1413">INDEX(tblEnrolledStuds[EStudID],MATCH(tblEnrolledSubjs[[#This Row],[EStudID]]&amp;S1413,tblEnrolledStuds[AdmissionStatusID]&amp;tblEnrolledStuds[StudID],0))</f>
        <v>#N/A</v>
      </c>
    </row>
    <row r="1414" spans="2:25" x14ac:dyDescent="0.25">
      <c r="B1414">
        <v>1412</v>
      </c>
      <c r="C1414">
        <v>512</v>
      </c>
      <c r="D1414" s="22">
        <v>192</v>
      </c>
      <c r="P1414" t="str">
        <f t="shared" si="26"/>
        <v>(NULL,"512","192"),</v>
      </c>
      <c r="Q1414" t="str">
        <f>TextJoin(tblEnrolledSubjs[[#This Row],[CSubjID]:[EStudID]],"Value")</f>
        <v>"512","192"</v>
      </c>
      <c r="S1414">
        <f>LOOKUP(LOOKUP(tblEnrolledSubjs[[#This Row],[CSubjID]], tblClassSubjs[CSubjID],tblClassSubjs[ClassID]),tblClasses[ClassID],tblClasses[STermID])</f>
        <v>9</v>
      </c>
      <c r="T1414" t="str">
        <f>LOOKUP(S1414,tblSchoolTerms[STermID],tblSchoolTerms[SemesterID]&amp;" Semester "&amp;tblSchoolTerms[SchoolYear])</f>
        <v>2 Semester S.Y. 2014-2015</v>
      </c>
      <c r="W141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14" t="e">
        <f t="array" ref="Y1414">INDEX(tblEnrolledStuds[EStudID],MATCH(tblEnrolledSubjs[[#This Row],[EStudID]]&amp;S1414,tblEnrolledStuds[AdmissionStatusID]&amp;tblEnrolledStuds[StudID],0))</f>
        <v>#N/A</v>
      </c>
    </row>
    <row r="1415" spans="2:25" x14ac:dyDescent="0.25">
      <c r="B1415">
        <v>1413</v>
      </c>
      <c r="C1415">
        <v>512</v>
      </c>
      <c r="D1415" s="22">
        <v>193</v>
      </c>
      <c r="P1415" t="str">
        <f t="shared" si="26"/>
        <v>(NULL,"512","193"),</v>
      </c>
      <c r="Q1415" t="str">
        <f>TextJoin(tblEnrolledSubjs[[#This Row],[CSubjID]:[EStudID]],"Value")</f>
        <v>"512","193"</v>
      </c>
      <c r="S1415">
        <f>LOOKUP(LOOKUP(tblEnrolledSubjs[[#This Row],[CSubjID]], tblClassSubjs[CSubjID],tblClassSubjs[ClassID]),tblClasses[ClassID],tblClasses[STermID])</f>
        <v>9</v>
      </c>
      <c r="T1415" t="str">
        <f>LOOKUP(S1415,tblSchoolTerms[STermID],tblSchoolTerms[SemesterID]&amp;" Semester "&amp;tblSchoolTerms[SchoolYear])</f>
        <v>2 Semester S.Y. 2014-2015</v>
      </c>
      <c r="W141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15" t="e">
        <f t="array" ref="Y1415">INDEX(tblEnrolledStuds[EStudID],MATCH(tblEnrolledSubjs[[#This Row],[EStudID]]&amp;S1415,tblEnrolledStuds[AdmissionStatusID]&amp;tblEnrolledStuds[StudID],0))</f>
        <v>#N/A</v>
      </c>
    </row>
    <row r="1416" spans="2:25" x14ac:dyDescent="0.25">
      <c r="B1416">
        <v>1414</v>
      </c>
      <c r="C1416">
        <v>512</v>
      </c>
      <c r="D1416" s="22">
        <v>194</v>
      </c>
      <c r="P1416" t="str">
        <f t="shared" si="26"/>
        <v>(NULL,"512","194"),</v>
      </c>
      <c r="Q1416" t="str">
        <f>TextJoin(tblEnrolledSubjs[[#This Row],[CSubjID]:[EStudID]],"Value")</f>
        <v>"512","194"</v>
      </c>
      <c r="S1416">
        <f>LOOKUP(LOOKUP(tblEnrolledSubjs[[#This Row],[CSubjID]], tblClassSubjs[CSubjID],tblClassSubjs[ClassID]),tblClasses[ClassID],tblClasses[STermID])</f>
        <v>9</v>
      </c>
      <c r="T1416" t="str">
        <f>LOOKUP(S1416,tblSchoolTerms[STermID],tblSchoolTerms[SemesterID]&amp;" Semester "&amp;tblSchoolTerms[SchoolYear])</f>
        <v>2 Semester S.Y. 2014-2015</v>
      </c>
      <c r="W141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16" t="e">
        <f t="array" ref="Y1416">INDEX(tblEnrolledStuds[EStudID],MATCH(tblEnrolledSubjs[[#This Row],[EStudID]]&amp;S1416,tblEnrolledStuds[AdmissionStatusID]&amp;tblEnrolledStuds[StudID],0))</f>
        <v>#N/A</v>
      </c>
    </row>
    <row r="1417" spans="2:25" x14ac:dyDescent="0.25">
      <c r="B1417">
        <v>1415</v>
      </c>
      <c r="C1417">
        <v>512</v>
      </c>
      <c r="D1417" s="22">
        <v>195</v>
      </c>
      <c r="P1417" t="str">
        <f t="shared" si="26"/>
        <v>(NULL,"512","195"),</v>
      </c>
      <c r="Q1417" t="str">
        <f>TextJoin(tblEnrolledSubjs[[#This Row],[CSubjID]:[EStudID]],"Value")</f>
        <v>"512","195"</v>
      </c>
      <c r="S1417">
        <f>LOOKUP(LOOKUP(tblEnrolledSubjs[[#This Row],[CSubjID]], tblClassSubjs[CSubjID],tblClassSubjs[ClassID]),tblClasses[ClassID],tblClasses[STermID])</f>
        <v>9</v>
      </c>
      <c r="T1417" t="str">
        <f>LOOKUP(S1417,tblSchoolTerms[STermID],tblSchoolTerms[SemesterID]&amp;" Semester "&amp;tblSchoolTerms[SchoolYear])</f>
        <v>2 Semester S.Y. 2014-2015</v>
      </c>
      <c r="W141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17" t="e">
        <f t="array" ref="Y1417">INDEX(tblEnrolledStuds[EStudID],MATCH(tblEnrolledSubjs[[#This Row],[EStudID]]&amp;S1417,tblEnrolledStuds[AdmissionStatusID]&amp;tblEnrolledStuds[StudID],0))</f>
        <v>#N/A</v>
      </c>
    </row>
    <row r="1418" spans="2:25" x14ac:dyDescent="0.25">
      <c r="B1418">
        <v>1416</v>
      </c>
      <c r="C1418">
        <v>512</v>
      </c>
      <c r="D1418" s="22">
        <v>196</v>
      </c>
      <c r="P1418" t="str">
        <f t="shared" si="26"/>
        <v>(NULL,"512","196"),</v>
      </c>
      <c r="Q1418" t="str">
        <f>TextJoin(tblEnrolledSubjs[[#This Row],[CSubjID]:[EStudID]],"Value")</f>
        <v>"512","196"</v>
      </c>
      <c r="S1418">
        <f>LOOKUP(LOOKUP(tblEnrolledSubjs[[#This Row],[CSubjID]], tblClassSubjs[CSubjID],tblClassSubjs[ClassID]),tblClasses[ClassID],tblClasses[STermID])</f>
        <v>9</v>
      </c>
      <c r="T1418" t="str">
        <f>LOOKUP(S1418,tblSchoolTerms[STermID],tblSchoolTerms[SemesterID]&amp;" Semester "&amp;tblSchoolTerms[SchoolYear])</f>
        <v>2 Semester S.Y. 2014-2015</v>
      </c>
      <c r="W141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18" t="e">
        <f t="array" ref="Y1418">INDEX(tblEnrolledStuds[EStudID],MATCH(tblEnrolledSubjs[[#This Row],[EStudID]]&amp;S1418,tblEnrolledStuds[AdmissionStatusID]&amp;tblEnrolledStuds[StudID],0))</f>
        <v>#N/A</v>
      </c>
    </row>
    <row r="1419" spans="2:25" x14ac:dyDescent="0.25">
      <c r="B1419">
        <v>1417</v>
      </c>
      <c r="C1419">
        <v>513</v>
      </c>
      <c r="D1419" s="22">
        <v>191</v>
      </c>
      <c r="P1419" t="str">
        <f t="shared" si="26"/>
        <v>(NULL,"513","191"),</v>
      </c>
      <c r="Q1419" t="str">
        <f>TextJoin(tblEnrolledSubjs[[#This Row],[CSubjID]:[EStudID]],"Value")</f>
        <v>"513","191"</v>
      </c>
      <c r="S1419">
        <f>LOOKUP(LOOKUP(tblEnrolledSubjs[[#This Row],[CSubjID]], tblClassSubjs[CSubjID],tblClassSubjs[ClassID]),tblClasses[ClassID],tblClasses[STermID])</f>
        <v>9</v>
      </c>
      <c r="T1419" t="str">
        <f>LOOKUP(S1419,tblSchoolTerms[STermID],tblSchoolTerms[SemesterID]&amp;" Semester "&amp;tblSchoolTerms[SchoolYear])</f>
        <v>2 Semester S.Y. 2014-2015</v>
      </c>
      <c r="W141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19" t="e">
        <f t="array" ref="Y1419">INDEX(tblEnrolledStuds[EStudID],MATCH(tblEnrolledSubjs[[#This Row],[EStudID]]&amp;S1419,tblEnrolledStuds[AdmissionStatusID]&amp;tblEnrolledStuds[StudID],0))</f>
        <v>#N/A</v>
      </c>
    </row>
    <row r="1420" spans="2:25" x14ac:dyDescent="0.25">
      <c r="B1420">
        <v>1418</v>
      </c>
      <c r="C1420">
        <v>513</v>
      </c>
      <c r="D1420" s="22">
        <v>192</v>
      </c>
      <c r="P1420" t="str">
        <f t="shared" si="26"/>
        <v>(NULL,"513","192"),</v>
      </c>
      <c r="Q1420" t="str">
        <f>TextJoin(tblEnrolledSubjs[[#This Row],[CSubjID]:[EStudID]],"Value")</f>
        <v>"513","192"</v>
      </c>
      <c r="S1420">
        <f>LOOKUP(LOOKUP(tblEnrolledSubjs[[#This Row],[CSubjID]], tblClassSubjs[CSubjID],tblClassSubjs[ClassID]),tblClasses[ClassID],tblClasses[STermID])</f>
        <v>9</v>
      </c>
      <c r="T1420" t="str">
        <f>LOOKUP(S1420,tblSchoolTerms[STermID],tblSchoolTerms[SemesterID]&amp;" Semester "&amp;tblSchoolTerms[SchoolYear])</f>
        <v>2 Semester S.Y. 2014-2015</v>
      </c>
      <c r="W142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20" t="e">
        <f t="array" ref="Y1420">INDEX(tblEnrolledStuds[EStudID],MATCH(tblEnrolledSubjs[[#This Row],[EStudID]]&amp;S1420,tblEnrolledStuds[AdmissionStatusID]&amp;tblEnrolledStuds[StudID],0))</f>
        <v>#N/A</v>
      </c>
    </row>
    <row r="1421" spans="2:25" x14ac:dyDescent="0.25">
      <c r="B1421">
        <v>1419</v>
      </c>
      <c r="C1421">
        <v>513</v>
      </c>
      <c r="D1421" s="22">
        <v>193</v>
      </c>
      <c r="P1421" t="str">
        <f t="shared" si="26"/>
        <v>(NULL,"513","193"),</v>
      </c>
      <c r="Q1421" t="str">
        <f>TextJoin(tblEnrolledSubjs[[#This Row],[CSubjID]:[EStudID]],"Value")</f>
        <v>"513","193"</v>
      </c>
      <c r="S1421">
        <f>LOOKUP(LOOKUP(tblEnrolledSubjs[[#This Row],[CSubjID]], tblClassSubjs[CSubjID],tblClassSubjs[ClassID]),tblClasses[ClassID],tblClasses[STermID])</f>
        <v>9</v>
      </c>
      <c r="T1421" t="str">
        <f>LOOKUP(S1421,tblSchoolTerms[STermID],tblSchoolTerms[SemesterID]&amp;" Semester "&amp;tblSchoolTerms[SchoolYear])</f>
        <v>2 Semester S.Y. 2014-2015</v>
      </c>
      <c r="W142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21" t="e">
        <f t="array" ref="Y1421">INDEX(tblEnrolledStuds[EStudID],MATCH(tblEnrolledSubjs[[#This Row],[EStudID]]&amp;S1421,tblEnrolledStuds[AdmissionStatusID]&amp;tblEnrolledStuds[StudID],0))</f>
        <v>#N/A</v>
      </c>
    </row>
    <row r="1422" spans="2:25" x14ac:dyDescent="0.25">
      <c r="B1422">
        <v>1420</v>
      </c>
      <c r="C1422">
        <v>513</v>
      </c>
      <c r="D1422" s="22">
        <v>194</v>
      </c>
      <c r="P1422" t="str">
        <f t="shared" si="26"/>
        <v>(NULL,"513","194"),</v>
      </c>
      <c r="Q1422" t="str">
        <f>TextJoin(tblEnrolledSubjs[[#This Row],[CSubjID]:[EStudID]],"Value")</f>
        <v>"513","194"</v>
      </c>
      <c r="S1422">
        <f>LOOKUP(LOOKUP(tblEnrolledSubjs[[#This Row],[CSubjID]], tblClassSubjs[CSubjID],tblClassSubjs[ClassID]),tblClasses[ClassID],tblClasses[STermID])</f>
        <v>9</v>
      </c>
      <c r="T1422" t="str">
        <f>LOOKUP(S1422,tblSchoolTerms[STermID],tblSchoolTerms[SemesterID]&amp;" Semester "&amp;tblSchoolTerms[SchoolYear])</f>
        <v>2 Semester S.Y. 2014-2015</v>
      </c>
      <c r="W142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22" t="e">
        <f t="array" ref="Y1422">INDEX(tblEnrolledStuds[EStudID],MATCH(tblEnrolledSubjs[[#This Row],[EStudID]]&amp;S1422,tblEnrolledStuds[AdmissionStatusID]&amp;tblEnrolledStuds[StudID],0))</f>
        <v>#N/A</v>
      </c>
    </row>
    <row r="1423" spans="2:25" x14ac:dyDescent="0.25">
      <c r="B1423">
        <v>1421</v>
      </c>
      <c r="C1423">
        <v>513</v>
      </c>
      <c r="D1423" s="22">
        <v>195</v>
      </c>
      <c r="P1423" t="str">
        <f t="shared" si="26"/>
        <v>(NULL,"513","195"),</v>
      </c>
      <c r="Q1423" t="str">
        <f>TextJoin(tblEnrolledSubjs[[#This Row],[CSubjID]:[EStudID]],"Value")</f>
        <v>"513","195"</v>
      </c>
      <c r="S1423">
        <f>LOOKUP(LOOKUP(tblEnrolledSubjs[[#This Row],[CSubjID]], tblClassSubjs[CSubjID],tblClassSubjs[ClassID]),tblClasses[ClassID],tblClasses[STermID])</f>
        <v>9</v>
      </c>
      <c r="T1423" t="str">
        <f>LOOKUP(S1423,tblSchoolTerms[STermID],tblSchoolTerms[SemesterID]&amp;" Semester "&amp;tblSchoolTerms[SchoolYear])</f>
        <v>2 Semester S.Y. 2014-2015</v>
      </c>
      <c r="W142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23" t="e">
        <f t="array" ref="Y1423">INDEX(tblEnrolledStuds[EStudID],MATCH(tblEnrolledSubjs[[#This Row],[EStudID]]&amp;S1423,tblEnrolledStuds[AdmissionStatusID]&amp;tblEnrolledStuds[StudID],0))</f>
        <v>#N/A</v>
      </c>
    </row>
    <row r="1424" spans="2:25" x14ac:dyDescent="0.25">
      <c r="B1424">
        <v>1422</v>
      </c>
      <c r="C1424">
        <v>513</v>
      </c>
      <c r="D1424" s="22">
        <v>196</v>
      </c>
      <c r="P1424" t="str">
        <f t="shared" si="26"/>
        <v>(NULL,"513","196"),</v>
      </c>
      <c r="Q1424" t="str">
        <f>TextJoin(tblEnrolledSubjs[[#This Row],[CSubjID]:[EStudID]],"Value")</f>
        <v>"513","196"</v>
      </c>
      <c r="S1424">
        <f>LOOKUP(LOOKUP(tblEnrolledSubjs[[#This Row],[CSubjID]], tblClassSubjs[CSubjID],tblClassSubjs[ClassID]),tblClasses[ClassID],tblClasses[STermID])</f>
        <v>9</v>
      </c>
      <c r="T1424" t="str">
        <f>LOOKUP(S1424,tblSchoolTerms[STermID],tblSchoolTerms[SemesterID]&amp;" Semester "&amp;tblSchoolTerms[SchoolYear])</f>
        <v>2 Semester S.Y. 2014-2015</v>
      </c>
      <c r="W142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24" t="e">
        <f t="array" ref="Y1424">INDEX(tblEnrolledStuds[EStudID],MATCH(tblEnrolledSubjs[[#This Row],[EStudID]]&amp;S1424,tblEnrolledStuds[AdmissionStatusID]&amp;tblEnrolledStuds[StudID],0))</f>
        <v>#N/A</v>
      </c>
    </row>
    <row r="1425" spans="2:25" x14ac:dyDescent="0.25">
      <c r="B1425">
        <v>1423</v>
      </c>
      <c r="C1425">
        <v>514</v>
      </c>
      <c r="D1425" s="22">
        <v>191</v>
      </c>
      <c r="P1425" t="str">
        <f t="shared" si="26"/>
        <v>(NULL,"514","191"),</v>
      </c>
      <c r="Q1425" t="str">
        <f>TextJoin(tblEnrolledSubjs[[#This Row],[CSubjID]:[EStudID]],"Value")</f>
        <v>"514","191"</v>
      </c>
      <c r="S1425">
        <f>LOOKUP(LOOKUP(tblEnrolledSubjs[[#This Row],[CSubjID]], tblClassSubjs[CSubjID],tblClassSubjs[ClassID]),tblClasses[ClassID],tblClasses[STermID])</f>
        <v>9</v>
      </c>
      <c r="T1425" t="str">
        <f>LOOKUP(S1425,tblSchoolTerms[STermID],tblSchoolTerms[SemesterID]&amp;" Semester "&amp;tblSchoolTerms[SchoolYear])</f>
        <v>2 Semester S.Y. 2014-2015</v>
      </c>
      <c r="W142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25" t="e">
        <f t="array" ref="Y1425">INDEX(tblEnrolledStuds[EStudID],MATCH(tblEnrolledSubjs[[#This Row],[EStudID]]&amp;S1425,tblEnrolledStuds[AdmissionStatusID]&amp;tblEnrolledStuds[StudID],0))</f>
        <v>#N/A</v>
      </c>
    </row>
    <row r="1426" spans="2:25" x14ac:dyDescent="0.25">
      <c r="B1426">
        <v>1424</v>
      </c>
      <c r="C1426">
        <v>514</v>
      </c>
      <c r="D1426" s="22">
        <v>192</v>
      </c>
      <c r="P1426" t="str">
        <f t="shared" si="26"/>
        <v>(NULL,"514","192"),</v>
      </c>
      <c r="Q1426" t="str">
        <f>TextJoin(tblEnrolledSubjs[[#This Row],[CSubjID]:[EStudID]],"Value")</f>
        <v>"514","192"</v>
      </c>
      <c r="S1426">
        <f>LOOKUP(LOOKUP(tblEnrolledSubjs[[#This Row],[CSubjID]], tblClassSubjs[CSubjID],tblClassSubjs[ClassID]),tblClasses[ClassID],tblClasses[STermID])</f>
        <v>9</v>
      </c>
      <c r="T1426" t="str">
        <f>LOOKUP(S1426,tblSchoolTerms[STermID],tblSchoolTerms[SemesterID]&amp;" Semester "&amp;tblSchoolTerms[SchoolYear])</f>
        <v>2 Semester S.Y. 2014-2015</v>
      </c>
      <c r="W142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26" t="e">
        <f t="array" ref="Y1426">INDEX(tblEnrolledStuds[EStudID],MATCH(tblEnrolledSubjs[[#This Row],[EStudID]]&amp;S1426,tblEnrolledStuds[AdmissionStatusID]&amp;tblEnrolledStuds[StudID],0))</f>
        <v>#N/A</v>
      </c>
    </row>
    <row r="1427" spans="2:25" x14ac:dyDescent="0.25">
      <c r="B1427">
        <v>1425</v>
      </c>
      <c r="C1427">
        <v>514</v>
      </c>
      <c r="D1427" s="22">
        <v>193</v>
      </c>
      <c r="P1427" t="str">
        <f t="shared" si="26"/>
        <v>(NULL,"514","193"),</v>
      </c>
      <c r="Q1427" t="str">
        <f>TextJoin(tblEnrolledSubjs[[#This Row],[CSubjID]:[EStudID]],"Value")</f>
        <v>"514","193"</v>
      </c>
      <c r="S1427">
        <f>LOOKUP(LOOKUP(tblEnrolledSubjs[[#This Row],[CSubjID]], tblClassSubjs[CSubjID],tblClassSubjs[ClassID]),tblClasses[ClassID],tblClasses[STermID])</f>
        <v>9</v>
      </c>
      <c r="T1427" t="str">
        <f>LOOKUP(S1427,tblSchoolTerms[STermID],tblSchoolTerms[SemesterID]&amp;" Semester "&amp;tblSchoolTerms[SchoolYear])</f>
        <v>2 Semester S.Y. 2014-2015</v>
      </c>
      <c r="W142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27" t="e">
        <f t="array" ref="Y1427">INDEX(tblEnrolledStuds[EStudID],MATCH(tblEnrolledSubjs[[#This Row],[EStudID]]&amp;S1427,tblEnrolledStuds[AdmissionStatusID]&amp;tblEnrolledStuds[StudID],0))</f>
        <v>#N/A</v>
      </c>
    </row>
    <row r="1428" spans="2:25" x14ac:dyDescent="0.25">
      <c r="B1428">
        <v>1426</v>
      </c>
      <c r="C1428">
        <v>514</v>
      </c>
      <c r="D1428" s="22">
        <v>194</v>
      </c>
      <c r="P1428" t="str">
        <f t="shared" si="26"/>
        <v>(NULL,"514","194"),</v>
      </c>
      <c r="Q1428" t="str">
        <f>TextJoin(tblEnrolledSubjs[[#This Row],[CSubjID]:[EStudID]],"Value")</f>
        <v>"514","194"</v>
      </c>
      <c r="S1428">
        <f>LOOKUP(LOOKUP(tblEnrolledSubjs[[#This Row],[CSubjID]], tblClassSubjs[CSubjID],tblClassSubjs[ClassID]),tblClasses[ClassID],tblClasses[STermID])</f>
        <v>9</v>
      </c>
      <c r="T1428" t="str">
        <f>LOOKUP(S1428,tblSchoolTerms[STermID],tblSchoolTerms[SemesterID]&amp;" Semester "&amp;tblSchoolTerms[SchoolYear])</f>
        <v>2 Semester S.Y. 2014-2015</v>
      </c>
      <c r="W142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28" t="e">
        <f t="array" ref="Y1428">INDEX(tblEnrolledStuds[EStudID],MATCH(tblEnrolledSubjs[[#This Row],[EStudID]]&amp;S1428,tblEnrolledStuds[AdmissionStatusID]&amp;tblEnrolledStuds[StudID],0))</f>
        <v>#N/A</v>
      </c>
    </row>
    <row r="1429" spans="2:25" x14ac:dyDescent="0.25">
      <c r="B1429">
        <v>1427</v>
      </c>
      <c r="C1429">
        <v>514</v>
      </c>
      <c r="D1429" s="22">
        <v>195</v>
      </c>
      <c r="P1429" t="str">
        <f t="shared" si="26"/>
        <v>(NULL,"514","195"),</v>
      </c>
      <c r="Q1429" t="str">
        <f>TextJoin(tblEnrolledSubjs[[#This Row],[CSubjID]:[EStudID]],"Value")</f>
        <v>"514","195"</v>
      </c>
      <c r="S1429">
        <f>LOOKUP(LOOKUP(tblEnrolledSubjs[[#This Row],[CSubjID]], tblClassSubjs[CSubjID],tblClassSubjs[ClassID]),tblClasses[ClassID],tblClasses[STermID])</f>
        <v>9</v>
      </c>
      <c r="T1429" t="str">
        <f>LOOKUP(S1429,tblSchoolTerms[STermID],tblSchoolTerms[SemesterID]&amp;" Semester "&amp;tblSchoolTerms[SchoolYear])</f>
        <v>2 Semester S.Y. 2014-2015</v>
      </c>
      <c r="W142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Aguilo, Christian Joy</v>
      </c>
      <c r="Y1429" t="e">
        <f t="array" ref="Y1429">INDEX(tblEnrolledStuds[EStudID],MATCH(tblEnrolledSubjs[[#This Row],[EStudID]]&amp;S1429,tblEnrolledStuds[AdmissionStatusID]&amp;tblEnrolledStuds[StudID],0))</f>
        <v>#N/A</v>
      </c>
    </row>
    <row r="1430" spans="2:25" x14ac:dyDescent="0.25">
      <c r="B1430">
        <v>1428</v>
      </c>
      <c r="C1430">
        <v>514</v>
      </c>
      <c r="D1430" s="22">
        <v>196</v>
      </c>
      <c r="I1430">
        <v>9</v>
      </c>
      <c r="P1430" t="str">
        <f t="shared" si="26"/>
        <v>(NULL,"514","196"),</v>
      </c>
      <c r="Q1430" t="str">
        <f>TextJoin(tblEnrolledSubjs[[#This Row],[CSubjID]:[EStudID]],"Value")</f>
        <v>"514","196"</v>
      </c>
      <c r="S1430">
        <f>LOOKUP(LOOKUP(tblEnrolledSubjs[[#This Row],[CSubjID]], tblClassSubjs[CSubjID],tblClassSubjs[ClassID]),tblClasses[ClassID],tblClasses[STermID])</f>
        <v>9</v>
      </c>
      <c r="T1430" t="str">
        <f>LOOKUP(S1430,tblSchoolTerms[STermID],tblSchoolTerms[SemesterID]&amp;" Semester "&amp;tblSchoolTerms[SchoolYear])</f>
        <v>2 Semester S.Y. 2014-2015</v>
      </c>
      <c r="W143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30" t="e">
        <f t="array" ref="Y1430">INDEX(tblEnrolledStuds[EStudID],MATCH(tblEnrolledSubjs[[#This Row],[EStudID]]&amp;S1430,tblEnrolledStuds[AdmissionStatusID]&amp;tblEnrolledStuds[StudID],0))</f>
        <v>#N/A</v>
      </c>
    </row>
    <row r="1431" spans="2:25" x14ac:dyDescent="0.25">
      <c r="B1431">
        <v>1429</v>
      </c>
      <c r="C1431">
        <v>568</v>
      </c>
      <c r="D1431" s="22">
        <v>197</v>
      </c>
      <c r="F1431" s="28"/>
      <c r="G1431" s="28"/>
      <c r="H1431" s="28"/>
      <c r="I1431" s="28">
        <v>10</v>
      </c>
      <c r="P1431" t="str">
        <f t="shared" si="26"/>
        <v>(NULL,"568","197"),</v>
      </c>
      <c r="Q1431" t="str">
        <f>TextJoin(tblEnrolledSubjs[[#This Row],[CSubjID]:[EStudID]],"Value")</f>
        <v>"568","197"</v>
      </c>
      <c r="S1431">
        <f>LOOKUP(LOOKUP(tblEnrolledSubjs[[#This Row],[CSubjID]], tblClassSubjs[CSubjID],tblClassSubjs[ClassID]),tblClasses[ClassID],tblClasses[STermID])</f>
        <v>10</v>
      </c>
      <c r="T1431" t="str">
        <f>LOOKUP(S1431,tblSchoolTerms[STermID],tblSchoolTerms[SemesterID]&amp;" Semester "&amp;tblSchoolTerms[SchoolYear])</f>
        <v>1 Semester S.Y. 2014-2015</v>
      </c>
      <c r="W143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31" t="e">
        <f t="array" ref="Y1431">INDEX(tblEnrolledStuds[EStudID],MATCH(tblEnrolledSubjs[[#This Row],[EStudID]]&amp;S1431,tblEnrolledStuds[AdmissionStatusID]&amp;tblEnrolledStuds[StudID],0))</f>
        <v>#N/A</v>
      </c>
    </row>
    <row r="1432" spans="2:25" x14ac:dyDescent="0.25">
      <c r="B1432">
        <v>1430</v>
      </c>
      <c r="C1432">
        <v>568</v>
      </c>
      <c r="D1432" s="22">
        <v>198</v>
      </c>
      <c r="P1432" t="str">
        <f t="shared" si="26"/>
        <v>(NULL,"568","198"),</v>
      </c>
      <c r="Q1432" t="str">
        <f>TextJoin(tblEnrolledSubjs[[#This Row],[CSubjID]:[EStudID]],"Value")</f>
        <v>"568","198"</v>
      </c>
      <c r="S1432">
        <f>LOOKUP(LOOKUP(tblEnrolledSubjs[[#This Row],[CSubjID]], tblClassSubjs[CSubjID],tblClassSubjs[ClassID]),tblClasses[ClassID],tblClasses[STermID])</f>
        <v>10</v>
      </c>
      <c r="T1432" t="str">
        <f>LOOKUP(S1432,tblSchoolTerms[STermID],tblSchoolTerms[SemesterID]&amp;" Semester "&amp;tblSchoolTerms[SchoolYear])</f>
        <v>1 Semester S.Y. 2014-2015</v>
      </c>
      <c r="W143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32" t="e">
        <f t="array" ref="Y1432">INDEX(tblEnrolledStuds[EStudID],MATCH(tblEnrolledSubjs[[#This Row],[EStudID]]&amp;S1432,tblEnrolledStuds[AdmissionStatusID]&amp;tblEnrolledStuds[StudID],0))</f>
        <v>#N/A</v>
      </c>
    </row>
    <row r="1433" spans="2:25" x14ac:dyDescent="0.25">
      <c r="B1433">
        <v>1431</v>
      </c>
      <c r="C1433">
        <v>568</v>
      </c>
      <c r="D1433" s="22">
        <v>199</v>
      </c>
      <c r="P1433" t="str">
        <f t="shared" si="26"/>
        <v>(NULL,"568","199"),</v>
      </c>
      <c r="Q1433" t="str">
        <f>TextJoin(tblEnrolledSubjs[[#This Row],[CSubjID]:[EStudID]],"Value")</f>
        <v>"568","199"</v>
      </c>
      <c r="S1433">
        <f>LOOKUP(LOOKUP(tblEnrolledSubjs[[#This Row],[CSubjID]], tblClassSubjs[CSubjID],tblClassSubjs[ClassID]),tblClasses[ClassID],tblClasses[STermID])</f>
        <v>10</v>
      </c>
      <c r="T1433" t="str">
        <f>LOOKUP(S1433,tblSchoolTerms[STermID],tblSchoolTerms[SemesterID]&amp;" Semester "&amp;tblSchoolTerms[SchoolYear])</f>
        <v>1 Semester S.Y. 2014-2015</v>
      </c>
      <c r="W143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33" t="e">
        <f t="array" ref="Y1433">INDEX(tblEnrolledStuds[EStudID],MATCH(tblEnrolledSubjs[[#This Row],[EStudID]]&amp;S1433,tblEnrolledStuds[AdmissionStatusID]&amp;tblEnrolledStuds[StudID],0))</f>
        <v>#N/A</v>
      </c>
    </row>
    <row r="1434" spans="2:25" x14ac:dyDescent="0.25">
      <c r="B1434">
        <v>1432</v>
      </c>
      <c r="C1434">
        <v>568</v>
      </c>
      <c r="D1434" s="22">
        <v>200</v>
      </c>
      <c r="P1434" t="str">
        <f t="shared" si="26"/>
        <v>(NULL,"568","200"),</v>
      </c>
      <c r="Q1434" t="str">
        <f>TextJoin(tblEnrolledSubjs[[#This Row],[CSubjID]:[EStudID]],"Value")</f>
        <v>"568","200"</v>
      </c>
      <c r="S1434">
        <f>LOOKUP(LOOKUP(tblEnrolledSubjs[[#This Row],[CSubjID]], tblClassSubjs[CSubjID],tblClassSubjs[ClassID]),tblClasses[ClassID],tblClasses[STermID])</f>
        <v>10</v>
      </c>
      <c r="T1434" t="str">
        <f>LOOKUP(S1434,tblSchoolTerms[STermID],tblSchoolTerms[SemesterID]&amp;" Semester "&amp;tblSchoolTerms[SchoolYear])</f>
        <v>1 Semester S.Y. 2014-2015</v>
      </c>
      <c r="W143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34" t="e">
        <f t="array" ref="Y1434">INDEX(tblEnrolledStuds[EStudID],MATCH(tblEnrolledSubjs[[#This Row],[EStudID]]&amp;S1434,tblEnrolledStuds[AdmissionStatusID]&amp;tblEnrolledStuds[StudID],0))</f>
        <v>#N/A</v>
      </c>
    </row>
    <row r="1435" spans="2:25" x14ac:dyDescent="0.25">
      <c r="B1435">
        <v>1433</v>
      </c>
      <c r="C1435">
        <v>568</v>
      </c>
      <c r="D1435" s="22">
        <v>201</v>
      </c>
      <c r="P1435" t="str">
        <f t="shared" si="26"/>
        <v>(NULL,"568","201"),</v>
      </c>
      <c r="Q1435" t="str">
        <f>TextJoin(tblEnrolledSubjs[[#This Row],[CSubjID]:[EStudID]],"Value")</f>
        <v>"568","201"</v>
      </c>
      <c r="S1435">
        <f>LOOKUP(LOOKUP(tblEnrolledSubjs[[#This Row],[CSubjID]], tblClassSubjs[CSubjID],tblClassSubjs[ClassID]),tblClasses[ClassID],tblClasses[STermID])</f>
        <v>10</v>
      </c>
      <c r="T1435" t="str">
        <f>LOOKUP(S1435,tblSchoolTerms[STermID],tblSchoolTerms[SemesterID]&amp;" Semester "&amp;tblSchoolTerms[SchoolYear])</f>
        <v>1 Semester S.Y. 2014-2015</v>
      </c>
      <c r="W143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35" t="e">
        <f t="array" ref="Y1435">INDEX(tblEnrolledStuds[EStudID],MATCH(tblEnrolledSubjs[[#This Row],[EStudID]]&amp;S1435,tblEnrolledStuds[AdmissionStatusID]&amp;tblEnrolledStuds[StudID],0))</f>
        <v>#N/A</v>
      </c>
    </row>
    <row r="1436" spans="2:25" x14ac:dyDescent="0.25">
      <c r="B1436">
        <v>1434</v>
      </c>
      <c r="C1436">
        <v>568</v>
      </c>
      <c r="D1436" s="22">
        <v>202</v>
      </c>
      <c r="P1436" t="str">
        <f t="shared" si="26"/>
        <v>(NULL,"568","202"),</v>
      </c>
      <c r="Q1436" t="str">
        <f>TextJoin(tblEnrolledSubjs[[#This Row],[CSubjID]:[EStudID]],"Value")</f>
        <v>"568","202"</v>
      </c>
      <c r="S1436">
        <f>LOOKUP(LOOKUP(tblEnrolledSubjs[[#This Row],[CSubjID]], tblClassSubjs[CSubjID],tblClassSubjs[ClassID]),tblClasses[ClassID],tblClasses[STermID])</f>
        <v>10</v>
      </c>
      <c r="T1436" t="str">
        <f>LOOKUP(S1436,tblSchoolTerms[STermID],tblSchoolTerms[SemesterID]&amp;" Semester "&amp;tblSchoolTerms[SchoolYear])</f>
        <v>1 Semester S.Y. 2014-2015</v>
      </c>
      <c r="W143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36" t="e">
        <f t="array" ref="Y1436">INDEX(tblEnrolledStuds[EStudID],MATCH(tblEnrolledSubjs[[#This Row],[EStudID]]&amp;S1436,tblEnrolledStuds[AdmissionStatusID]&amp;tblEnrolledStuds[StudID],0))</f>
        <v>#N/A</v>
      </c>
    </row>
    <row r="1437" spans="2:25" x14ac:dyDescent="0.25">
      <c r="B1437">
        <v>1435</v>
      </c>
      <c r="C1437">
        <v>569</v>
      </c>
      <c r="D1437" s="22">
        <v>197</v>
      </c>
      <c r="P1437" t="str">
        <f t="shared" si="26"/>
        <v>(NULL,"569","197"),</v>
      </c>
      <c r="Q1437" t="str">
        <f>TextJoin(tblEnrolledSubjs[[#This Row],[CSubjID]:[EStudID]],"Value")</f>
        <v>"569","197"</v>
      </c>
      <c r="S1437">
        <f>LOOKUP(LOOKUP(tblEnrolledSubjs[[#This Row],[CSubjID]], tblClassSubjs[CSubjID],tblClassSubjs[ClassID]),tblClasses[ClassID],tblClasses[STermID])</f>
        <v>10</v>
      </c>
      <c r="T1437" t="str">
        <f>LOOKUP(S1437,tblSchoolTerms[STermID],tblSchoolTerms[SemesterID]&amp;" Semester "&amp;tblSchoolTerms[SchoolYear])</f>
        <v>1 Semester S.Y. 2014-2015</v>
      </c>
      <c r="W143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37" t="e">
        <f t="array" ref="Y1437">INDEX(tblEnrolledStuds[EStudID],MATCH(tblEnrolledSubjs[[#This Row],[EStudID]]&amp;S1437,tblEnrolledStuds[AdmissionStatusID]&amp;tblEnrolledStuds[StudID],0))</f>
        <v>#N/A</v>
      </c>
    </row>
    <row r="1438" spans="2:25" x14ac:dyDescent="0.25">
      <c r="B1438">
        <v>1436</v>
      </c>
      <c r="C1438">
        <v>569</v>
      </c>
      <c r="D1438" s="22">
        <v>198</v>
      </c>
      <c r="P1438" t="str">
        <f t="shared" si="26"/>
        <v>(NULL,"569","198"),</v>
      </c>
      <c r="Q1438" t="str">
        <f>TextJoin(tblEnrolledSubjs[[#This Row],[CSubjID]:[EStudID]],"Value")</f>
        <v>"569","198"</v>
      </c>
      <c r="S1438">
        <f>LOOKUP(LOOKUP(tblEnrolledSubjs[[#This Row],[CSubjID]], tblClassSubjs[CSubjID],tblClassSubjs[ClassID]),tblClasses[ClassID],tblClasses[STermID])</f>
        <v>10</v>
      </c>
      <c r="T1438" t="str">
        <f>LOOKUP(S1438,tblSchoolTerms[STermID],tblSchoolTerms[SemesterID]&amp;" Semester "&amp;tblSchoolTerms[SchoolYear])</f>
        <v>1 Semester S.Y. 2014-2015</v>
      </c>
      <c r="W143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38" t="e">
        <f t="array" ref="Y1438">INDEX(tblEnrolledStuds[EStudID],MATCH(tblEnrolledSubjs[[#This Row],[EStudID]]&amp;S1438,tblEnrolledStuds[AdmissionStatusID]&amp;tblEnrolledStuds[StudID],0))</f>
        <v>#N/A</v>
      </c>
    </row>
    <row r="1439" spans="2:25" x14ac:dyDescent="0.25">
      <c r="B1439">
        <v>1437</v>
      </c>
      <c r="C1439">
        <v>569</v>
      </c>
      <c r="D1439" s="22">
        <v>199</v>
      </c>
      <c r="P1439" t="str">
        <f t="shared" si="26"/>
        <v>(NULL,"569","199"),</v>
      </c>
      <c r="Q1439" t="str">
        <f>TextJoin(tblEnrolledSubjs[[#This Row],[CSubjID]:[EStudID]],"Value")</f>
        <v>"569","199"</v>
      </c>
      <c r="S1439">
        <f>LOOKUP(LOOKUP(tblEnrolledSubjs[[#This Row],[CSubjID]], tblClassSubjs[CSubjID],tblClassSubjs[ClassID]),tblClasses[ClassID],tblClasses[STermID])</f>
        <v>10</v>
      </c>
      <c r="T1439" t="str">
        <f>LOOKUP(S1439,tblSchoolTerms[STermID],tblSchoolTerms[SemesterID]&amp;" Semester "&amp;tblSchoolTerms[SchoolYear])</f>
        <v>1 Semester S.Y. 2014-2015</v>
      </c>
      <c r="W143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39" t="e">
        <f t="array" ref="Y1439">INDEX(tblEnrolledStuds[EStudID],MATCH(tblEnrolledSubjs[[#This Row],[EStudID]]&amp;S1439,tblEnrolledStuds[AdmissionStatusID]&amp;tblEnrolledStuds[StudID],0))</f>
        <v>#N/A</v>
      </c>
    </row>
    <row r="1440" spans="2:25" x14ac:dyDescent="0.25">
      <c r="B1440">
        <v>1438</v>
      </c>
      <c r="C1440">
        <v>569</v>
      </c>
      <c r="D1440" s="22">
        <v>200</v>
      </c>
      <c r="P1440" t="str">
        <f t="shared" si="26"/>
        <v>(NULL,"569","200"),</v>
      </c>
      <c r="Q1440" t="str">
        <f>TextJoin(tblEnrolledSubjs[[#This Row],[CSubjID]:[EStudID]],"Value")</f>
        <v>"569","200"</v>
      </c>
      <c r="S1440">
        <f>LOOKUP(LOOKUP(tblEnrolledSubjs[[#This Row],[CSubjID]], tblClassSubjs[CSubjID],tblClassSubjs[ClassID]),tblClasses[ClassID],tblClasses[STermID])</f>
        <v>10</v>
      </c>
      <c r="T1440" t="str">
        <f>LOOKUP(S1440,tblSchoolTerms[STermID],tblSchoolTerms[SemesterID]&amp;" Semester "&amp;tblSchoolTerms[SchoolYear])</f>
        <v>1 Semester S.Y. 2014-2015</v>
      </c>
      <c r="W144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40" t="e">
        <f t="array" ref="Y1440">INDEX(tblEnrolledStuds[EStudID],MATCH(tblEnrolledSubjs[[#This Row],[EStudID]]&amp;S1440,tblEnrolledStuds[AdmissionStatusID]&amp;tblEnrolledStuds[StudID],0))</f>
        <v>#N/A</v>
      </c>
    </row>
    <row r="1441" spans="2:25" x14ac:dyDescent="0.25">
      <c r="B1441">
        <v>1439</v>
      </c>
      <c r="C1441">
        <v>569</v>
      </c>
      <c r="D1441" s="22">
        <v>201</v>
      </c>
      <c r="P1441" t="str">
        <f t="shared" si="26"/>
        <v>(NULL,"569","201"),</v>
      </c>
      <c r="Q1441" t="str">
        <f>TextJoin(tblEnrolledSubjs[[#This Row],[CSubjID]:[EStudID]],"Value")</f>
        <v>"569","201"</v>
      </c>
      <c r="S1441">
        <f>LOOKUP(LOOKUP(tblEnrolledSubjs[[#This Row],[CSubjID]], tblClassSubjs[CSubjID],tblClassSubjs[ClassID]),tblClasses[ClassID],tblClasses[STermID])</f>
        <v>10</v>
      </c>
      <c r="T1441" t="str">
        <f>LOOKUP(S1441,tblSchoolTerms[STermID],tblSchoolTerms[SemesterID]&amp;" Semester "&amp;tblSchoolTerms[SchoolYear])</f>
        <v>1 Semester S.Y. 2014-2015</v>
      </c>
      <c r="W144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41" t="e">
        <f t="array" ref="Y1441">INDEX(tblEnrolledStuds[EStudID],MATCH(tblEnrolledSubjs[[#This Row],[EStudID]]&amp;S1441,tblEnrolledStuds[AdmissionStatusID]&amp;tblEnrolledStuds[StudID],0))</f>
        <v>#N/A</v>
      </c>
    </row>
    <row r="1442" spans="2:25" x14ac:dyDescent="0.25">
      <c r="B1442">
        <v>1440</v>
      </c>
      <c r="C1442">
        <v>569</v>
      </c>
      <c r="D1442" s="22">
        <v>202</v>
      </c>
      <c r="P1442" t="str">
        <f t="shared" si="26"/>
        <v>(NULL,"569","202"),</v>
      </c>
      <c r="Q1442" t="str">
        <f>TextJoin(tblEnrolledSubjs[[#This Row],[CSubjID]:[EStudID]],"Value")</f>
        <v>"569","202"</v>
      </c>
      <c r="S1442">
        <f>LOOKUP(LOOKUP(tblEnrolledSubjs[[#This Row],[CSubjID]], tblClassSubjs[CSubjID],tblClassSubjs[ClassID]),tblClasses[ClassID],tblClasses[STermID])</f>
        <v>10</v>
      </c>
      <c r="T1442" t="str">
        <f>LOOKUP(S1442,tblSchoolTerms[STermID],tblSchoolTerms[SemesterID]&amp;" Semester "&amp;tblSchoolTerms[SchoolYear])</f>
        <v>1 Semester S.Y. 2014-2015</v>
      </c>
      <c r="W144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42" t="e">
        <f t="array" ref="Y1442">INDEX(tblEnrolledStuds[EStudID],MATCH(tblEnrolledSubjs[[#This Row],[EStudID]]&amp;S1442,tblEnrolledStuds[AdmissionStatusID]&amp;tblEnrolledStuds[StudID],0))</f>
        <v>#N/A</v>
      </c>
    </row>
    <row r="1443" spans="2:25" x14ac:dyDescent="0.25">
      <c r="B1443">
        <v>1441</v>
      </c>
      <c r="C1443">
        <v>570</v>
      </c>
      <c r="D1443" s="22">
        <v>197</v>
      </c>
      <c r="P1443" t="str">
        <f t="shared" si="26"/>
        <v>(NULL,"570","197"),</v>
      </c>
      <c r="Q1443" t="str">
        <f>TextJoin(tblEnrolledSubjs[[#This Row],[CSubjID]:[EStudID]],"Value")</f>
        <v>"570","197"</v>
      </c>
      <c r="S1443">
        <f>LOOKUP(LOOKUP(tblEnrolledSubjs[[#This Row],[CSubjID]], tblClassSubjs[CSubjID],tblClassSubjs[ClassID]),tblClasses[ClassID],tblClasses[STermID])</f>
        <v>10</v>
      </c>
      <c r="T1443" t="str">
        <f>LOOKUP(S1443,tblSchoolTerms[STermID],tblSchoolTerms[SemesterID]&amp;" Semester "&amp;tblSchoolTerms[SchoolYear])</f>
        <v>1 Semester S.Y. 2014-2015</v>
      </c>
      <c r="W144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43" t="e">
        <f t="array" ref="Y1443">INDEX(tblEnrolledStuds[EStudID],MATCH(tblEnrolledSubjs[[#This Row],[EStudID]]&amp;S1443,tblEnrolledStuds[AdmissionStatusID]&amp;tblEnrolledStuds[StudID],0))</f>
        <v>#N/A</v>
      </c>
    </row>
    <row r="1444" spans="2:25" x14ac:dyDescent="0.25">
      <c r="B1444">
        <v>1442</v>
      </c>
      <c r="C1444">
        <v>570</v>
      </c>
      <c r="D1444" s="22">
        <v>198</v>
      </c>
      <c r="P1444" t="str">
        <f t="shared" si="26"/>
        <v>(NULL,"570","198"),</v>
      </c>
      <c r="Q1444" t="str">
        <f>TextJoin(tblEnrolledSubjs[[#This Row],[CSubjID]:[EStudID]],"Value")</f>
        <v>"570","198"</v>
      </c>
      <c r="S1444">
        <f>LOOKUP(LOOKUP(tblEnrolledSubjs[[#This Row],[CSubjID]], tblClassSubjs[CSubjID],tblClassSubjs[ClassID]),tblClasses[ClassID],tblClasses[STermID])</f>
        <v>10</v>
      </c>
      <c r="T1444" t="str">
        <f>LOOKUP(S1444,tblSchoolTerms[STermID],tblSchoolTerms[SemesterID]&amp;" Semester "&amp;tblSchoolTerms[SchoolYear])</f>
        <v>1 Semester S.Y. 2014-2015</v>
      </c>
      <c r="W144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44" t="e">
        <f t="array" ref="Y1444">INDEX(tblEnrolledStuds[EStudID],MATCH(tblEnrolledSubjs[[#This Row],[EStudID]]&amp;S1444,tblEnrolledStuds[AdmissionStatusID]&amp;tblEnrolledStuds[StudID],0))</f>
        <v>#N/A</v>
      </c>
    </row>
    <row r="1445" spans="2:25" x14ac:dyDescent="0.25">
      <c r="B1445">
        <v>1443</v>
      </c>
      <c r="C1445">
        <v>570</v>
      </c>
      <c r="D1445" s="22">
        <v>199</v>
      </c>
      <c r="P1445" t="str">
        <f t="shared" si="26"/>
        <v>(NULL,"570","199"),</v>
      </c>
      <c r="Q1445" t="str">
        <f>TextJoin(tblEnrolledSubjs[[#This Row],[CSubjID]:[EStudID]],"Value")</f>
        <v>"570","199"</v>
      </c>
      <c r="S1445">
        <f>LOOKUP(LOOKUP(tblEnrolledSubjs[[#This Row],[CSubjID]], tblClassSubjs[CSubjID],tblClassSubjs[ClassID]),tblClasses[ClassID],tblClasses[STermID])</f>
        <v>10</v>
      </c>
      <c r="T1445" t="str">
        <f>LOOKUP(S1445,tblSchoolTerms[STermID],tblSchoolTerms[SemesterID]&amp;" Semester "&amp;tblSchoolTerms[SchoolYear])</f>
        <v>1 Semester S.Y. 2014-2015</v>
      </c>
      <c r="W144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45" t="e">
        <f t="array" ref="Y1445">INDEX(tblEnrolledStuds[EStudID],MATCH(tblEnrolledSubjs[[#This Row],[EStudID]]&amp;S1445,tblEnrolledStuds[AdmissionStatusID]&amp;tblEnrolledStuds[StudID],0))</f>
        <v>#N/A</v>
      </c>
    </row>
    <row r="1446" spans="2:25" x14ac:dyDescent="0.25">
      <c r="B1446">
        <v>1444</v>
      </c>
      <c r="C1446">
        <v>570</v>
      </c>
      <c r="D1446" s="22">
        <v>200</v>
      </c>
      <c r="P1446" t="str">
        <f t="shared" si="26"/>
        <v>(NULL,"570","200"),</v>
      </c>
      <c r="Q1446" t="str">
        <f>TextJoin(tblEnrolledSubjs[[#This Row],[CSubjID]:[EStudID]],"Value")</f>
        <v>"570","200"</v>
      </c>
      <c r="S1446">
        <f>LOOKUP(LOOKUP(tblEnrolledSubjs[[#This Row],[CSubjID]], tblClassSubjs[CSubjID],tblClassSubjs[ClassID]),tblClasses[ClassID],tblClasses[STermID])</f>
        <v>10</v>
      </c>
      <c r="T1446" t="str">
        <f>LOOKUP(S1446,tblSchoolTerms[STermID],tblSchoolTerms[SemesterID]&amp;" Semester "&amp;tblSchoolTerms[SchoolYear])</f>
        <v>1 Semester S.Y. 2014-2015</v>
      </c>
      <c r="W144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46" t="e">
        <f t="array" ref="Y1446">INDEX(tblEnrolledStuds[EStudID],MATCH(tblEnrolledSubjs[[#This Row],[EStudID]]&amp;S1446,tblEnrolledStuds[AdmissionStatusID]&amp;tblEnrolledStuds[StudID],0))</f>
        <v>#N/A</v>
      </c>
    </row>
    <row r="1447" spans="2:25" x14ac:dyDescent="0.25">
      <c r="B1447">
        <v>1445</v>
      </c>
      <c r="C1447">
        <v>570</v>
      </c>
      <c r="D1447" s="22">
        <v>201</v>
      </c>
      <c r="P1447" t="str">
        <f t="shared" si="26"/>
        <v>(NULL,"570","201"),</v>
      </c>
      <c r="Q1447" t="str">
        <f>TextJoin(tblEnrolledSubjs[[#This Row],[CSubjID]:[EStudID]],"Value")</f>
        <v>"570","201"</v>
      </c>
      <c r="S1447">
        <f>LOOKUP(LOOKUP(tblEnrolledSubjs[[#This Row],[CSubjID]], tblClassSubjs[CSubjID],tblClassSubjs[ClassID]),tblClasses[ClassID],tblClasses[STermID])</f>
        <v>10</v>
      </c>
      <c r="T1447" t="str">
        <f>LOOKUP(S1447,tblSchoolTerms[STermID],tblSchoolTerms[SemesterID]&amp;" Semester "&amp;tblSchoolTerms[SchoolYear])</f>
        <v>1 Semester S.Y. 2014-2015</v>
      </c>
      <c r="W144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47" t="e">
        <f t="array" ref="Y1447">INDEX(tblEnrolledStuds[EStudID],MATCH(tblEnrolledSubjs[[#This Row],[EStudID]]&amp;S1447,tblEnrolledStuds[AdmissionStatusID]&amp;tblEnrolledStuds[StudID],0))</f>
        <v>#N/A</v>
      </c>
    </row>
    <row r="1448" spans="2:25" x14ac:dyDescent="0.25">
      <c r="B1448">
        <v>1446</v>
      </c>
      <c r="C1448">
        <v>570</v>
      </c>
      <c r="D1448" s="22">
        <v>202</v>
      </c>
      <c r="P1448" t="str">
        <f t="shared" si="26"/>
        <v>(NULL,"570","202"),</v>
      </c>
      <c r="Q1448" t="str">
        <f>TextJoin(tblEnrolledSubjs[[#This Row],[CSubjID]:[EStudID]],"Value")</f>
        <v>"570","202"</v>
      </c>
      <c r="S1448">
        <f>LOOKUP(LOOKUP(tblEnrolledSubjs[[#This Row],[CSubjID]], tblClassSubjs[CSubjID],tblClassSubjs[ClassID]),tblClasses[ClassID],tblClasses[STermID])</f>
        <v>10</v>
      </c>
      <c r="T1448" t="str">
        <f>LOOKUP(S1448,tblSchoolTerms[STermID],tblSchoolTerms[SemesterID]&amp;" Semester "&amp;tblSchoolTerms[SchoolYear])</f>
        <v>1 Semester S.Y. 2014-2015</v>
      </c>
      <c r="W144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48" t="e">
        <f t="array" ref="Y1448">INDEX(tblEnrolledStuds[EStudID],MATCH(tblEnrolledSubjs[[#This Row],[EStudID]]&amp;S1448,tblEnrolledStuds[AdmissionStatusID]&amp;tblEnrolledStuds[StudID],0))</f>
        <v>#N/A</v>
      </c>
    </row>
    <row r="1449" spans="2:25" x14ac:dyDescent="0.25">
      <c r="B1449">
        <v>1447</v>
      </c>
      <c r="C1449">
        <v>571</v>
      </c>
      <c r="D1449" s="22">
        <v>197</v>
      </c>
      <c r="P1449" t="str">
        <f t="shared" si="26"/>
        <v>(NULL,"571","197"),</v>
      </c>
      <c r="Q1449" t="str">
        <f>TextJoin(tblEnrolledSubjs[[#This Row],[CSubjID]:[EStudID]],"Value")</f>
        <v>"571","197"</v>
      </c>
      <c r="S1449">
        <f>LOOKUP(LOOKUP(tblEnrolledSubjs[[#This Row],[CSubjID]], tblClassSubjs[CSubjID],tblClassSubjs[ClassID]),tblClasses[ClassID],tblClasses[STermID])</f>
        <v>10</v>
      </c>
      <c r="T1449" t="str">
        <f>LOOKUP(S1449,tblSchoolTerms[STermID],tblSchoolTerms[SemesterID]&amp;" Semester "&amp;tblSchoolTerms[SchoolYear])</f>
        <v>1 Semester S.Y. 2014-2015</v>
      </c>
      <c r="W144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49" t="e">
        <f t="array" ref="Y1449">INDEX(tblEnrolledStuds[EStudID],MATCH(tblEnrolledSubjs[[#This Row],[EStudID]]&amp;S1449,tblEnrolledStuds[AdmissionStatusID]&amp;tblEnrolledStuds[StudID],0))</f>
        <v>#N/A</v>
      </c>
    </row>
    <row r="1450" spans="2:25" x14ac:dyDescent="0.25">
      <c r="B1450">
        <v>1448</v>
      </c>
      <c r="C1450">
        <v>571</v>
      </c>
      <c r="D1450" s="22">
        <v>198</v>
      </c>
      <c r="P1450" t="str">
        <f t="shared" si="26"/>
        <v>(NULL,"571","198"),</v>
      </c>
      <c r="Q1450" t="str">
        <f>TextJoin(tblEnrolledSubjs[[#This Row],[CSubjID]:[EStudID]],"Value")</f>
        <v>"571","198"</v>
      </c>
      <c r="S1450">
        <f>LOOKUP(LOOKUP(tblEnrolledSubjs[[#This Row],[CSubjID]], tblClassSubjs[CSubjID],tblClassSubjs[ClassID]),tblClasses[ClassID],tblClasses[STermID])</f>
        <v>10</v>
      </c>
      <c r="T1450" t="str">
        <f>LOOKUP(S1450,tblSchoolTerms[STermID],tblSchoolTerms[SemesterID]&amp;" Semester "&amp;tblSchoolTerms[SchoolYear])</f>
        <v>1 Semester S.Y. 2014-2015</v>
      </c>
      <c r="W145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50" t="e">
        <f t="array" ref="Y1450">INDEX(tblEnrolledStuds[EStudID],MATCH(tblEnrolledSubjs[[#This Row],[EStudID]]&amp;S1450,tblEnrolledStuds[AdmissionStatusID]&amp;tblEnrolledStuds[StudID],0))</f>
        <v>#N/A</v>
      </c>
    </row>
    <row r="1451" spans="2:25" x14ac:dyDescent="0.25">
      <c r="B1451">
        <v>1449</v>
      </c>
      <c r="C1451">
        <v>571</v>
      </c>
      <c r="D1451" s="22">
        <v>199</v>
      </c>
      <c r="P1451" t="str">
        <f t="shared" si="26"/>
        <v>(NULL,"571","199"),</v>
      </c>
      <c r="Q1451" t="str">
        <f>TextJoin(tblEnrolledSubjs[[#This Row],[CSubjID]:[EStudID]],"Value")</f>
        <v>"571","199"</v>
      </c>
      <c r="S1451">
        <f>LOOKUP(LOOKUP(tblEnrolledSubjs[[#This Row],[CSubjID]], tblClassSubjs[CSubjID],tblClassSubjs[ClassID]),tblClasses[ClassID],tblClasses[STermID])</f>
        <v>10</v>
      </c>
      <c r="T1451" t="str">
        <f>LOOKUP(S1451,tblSchoolTerms[STermID],tblSchoolTerms[SemesterID]&amp;" Semester "&amp;tblSchoolTerms[SchoolYear])</f>
        <v>1 Semester S.Y. 2014-2015</v>
      </c>
      <c r="W145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51" t="e">
        <f t="array" ref="Y1451">INDEX(tblEnrolledStuds[EStudID],MATCH(tblEnrolledSubjs[[#This Row],[EStudID]]&amp;S1451,tblEnrolledStuds[AdmissionStatusID]&amp;tblEnrolledStuds[StudID],0))</f>
        <v>#N/A</v>
      </c>
    </row>
    <row r="1452" spans="2:25" x14ac:dyDescent="0.25">
      <c r="B1452">
        <v>1450</v>
      </c>
      <c r="C1452">
        <v>571</v>
      </c>
      <c r="D1452" s="22">
        <v>200</v>
      </c>
      <c r="P1452" t="str">
        <f t="shared" si="26"/>
        <v>(NULL,"571","200"),</v>
      </c>
      <c r="Q1452" t="str">
        <f>TextJoin(tblEnrolledSubjs[[#This Row],[CSubjID]:[EStudID]],"Value")</f>
        <v>"571","200"</v>
      </c>
      <c r="S1452">
        <f>LOOKUP(LOOKUP(tblEnrolledSubjs[[#This Row],[CSubjID]], tblClassSubjs[CSubjID],tblClassSubjs[ClassID]),tblClasses[ClassID],tblClasses[STermID])</f>
        <v>10</v>
      </c>
      <c r="T1452" t="str">
        <f>LOOKUP(S1452,tblSchoolTerms[STermID],tblSchoolTerms[SemesterID]&amp;" Semester "&amp;tblSchoolTerms[SchoolYear])</f>
        <v>1 Semester S.Y. 2014-2015</v>
      </c>
      <c r="W145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52" t="e">
        <f t="array" ref="Y1452">INDEX(tblEnrolledStuds[EStudID],MATCH(tblEnrolledSubjs[[#This Row],[EStudID]]&amp;S1452,tblEnrolledStuds[AdmissionStatusID]&amp;tblEnrolledStuds[StudID],0))</f>
        <v>#N/A</v>
      </c>
    </row>
    <row r="1453" spans="2:25" x14ac:dyDescent="0.25">
      <c r="B1453">
        <v>1451</v>
      </c>
      <c r="C1453">
        <v>571</v>
      </c>
      <c r="D1453" s="22">
        <v>201</v>
      </c>
      <c r="P1453" t="str">
        <f t="shared" si="26"/>
        <v>(NULL,"571","201"),</v>
      </c>
      <c r="Q1453" t="str">
        <f>TextJoin(tblEnrolledSubjs[[#This Row],[CSubjID]:[EStudID]],"Value")</f>
        <v>"571","201"</v>
      </c>
      <c r="S1453">
        <f>LOOKUP(LOOKUP(tblEnrolledSubjs[[#This Row],[CSubjID]], tblClassSubjs[CSubjID],tblClassSubjs[ClassID]),tblClasses[ClassID],tblClasses[STermID])</f>
        <v>10</v>
      </c>
      <c r="T1453" t="str">
        <f>LOOKUP(S1453,tblSchoolTerms[STermID],tblSchoolTerms[SemesterID]&amp;" Semester "&amp;tblSchoolTerms[SchoolYear])</f>
        <v>1 Semester S.Y. 2014-2015</v>
      </c>
      <c r="W145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53" t="e">
        <f t="array" ref="Y1453">INDEX(tblEnrolledStuds[EStudID],MATCH(tblEnrolledSubjs[[#This Row],[EStudID]]&amp;S1453,tblEnrolledStuds[AdmissionStatusID]&amp;tblEnrolledStuds[StudID],0))</f>
        <v>#N/A</v>
      </c>
    </row>
    <row r="1454" spans="2:25" x14ac:dyDescent="0.25">
      <c r="B1454">
        <v>1452</v>
      </c>
      <c r="C1454">
        <v>571</v>
      </c>
      <c r="D1454" s="22">
        <v>202</v>
      </c>
      <c r="P1454" t="str">
        <f t="shared" si="26"/>
        <v>(NULL,"571","202"),</v>
      </c>
      <c r="Q1454" t="str">
        <f>TextJoin(tblEnrolledSubjs[[#This Row],[CSubjID]:[EStudID]],"Value")</f>
        <v>"571","202"</v>
      </c>
      <c r="S1454">
        <f>LOOKUP(LOOKUP(tblEnrolledSubjs[[#This Row],[CSubjID]], tblClassSubjs[CSubjID],tblClassSubjs[ClassID]),tblClasses[ClassID],tblClasses[STermID])</f>
        <v>10</v>
      </c>
      <c r="T1454" t="str">
        <f>LOOKUP(S1454,tblSchoolTerms[STermID],tblSchoolTerms[SemesterID]&amp;" Semester "&amp;tblSchoolTerms[SchoolYear])</f>
        <v>1 Semester S.Y. 2014-2015</v>
      </c>
      <c r="W145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54" t="e">
        <f t="array" ref="Y1454">INDEX(tblEnrolledStuds[EStudID],MATCH(tblEnrolledSubjs[[#This Row],[EStudID]]&amp;S1454,tblEnrolledStuds[AdmissionStatusID]&amp;tblEnrolledStuds[StudID],0))</f>
        <v>#N/A</v>
      </c>
    </row>
    <row r="1455" spans="2:25" x14ac:dyDescent="0.25">
      <c r="B1455">
        <v>1453</v>
      </c>
      <c r="C1455">
        <v>572</v>
      </c>
      <c r="D1455" s="22">
        <v>197</v>
      </c>
      <c r="P1455" t="str">
        <f t="shared" si="26"/>
        <v>(NULL,"572","197"),</v>
      </c>
      <c r="Q1455" t="str">
        <f>TextJoin(tblEnrolledSubjs[[#This Row],[CSubjID]:[EStudID]],"Value")</f>
        <v>"572","197"</v>
      </c>
      <c r="S1455">
        <f>LOOKUP(LOOKUP(tblEnrolledSubjs[[#This Row],[CSubjID]], tblClassSubjs[CSubjID],tblClassSubjs[ClassID]),tblClasses[ClassID],tblClasses[STermID])</f>
        <v>10</v>
      </c>
      <c r="T1455" t="str">
        <f>LOOKUP(S1455,tblSchoolTerms[STermID],tblSchoolTerms[SemesterID]&amp;" Semester "&amp;tblSchoolTerms[SchoolYear])</f>
        <v>1 Semester S.Y. 2014-2015</v>
      </c>
      <c r="W145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55" t="e">
        <f t="array" ref="Y1455">INDEX(tblEnrolledStuds[EStudID],MATCH(tblEnrolledSubjs[[#This Row],[EStudID]]&amp;S1455,tblEnrolledStuds[AdmissionStatusID]&amp;tblEnrolledStuds[StudID],0))</f>
        <v>#N/A</v>
      </c>
    </row>
    <row r="1456" spans="2:25" x14ac:dyDescent="0.25">
      <c r="B1456">
        <v>1454</v>
      </c>
      <c r="C1456">
        <v>572</v>
      </c>
      <c r="D1456" s="22">
        <v>198</v>
      </c>
      <c r="P1456" t="str">
        <f t="shared" si="26"/>
        <v>(NULL,"572","198"),</v>
      </c>
      <c r="Q1456" t="str">
        <f>TextJoin(tblEnrolledSubjs[[#This Row],[CSubjID]:[EStudID]],"Value")</f>
        <v>"572","198"</v>
      </c>
      <c r="S1456">
        <f>LOOKUP(LOOKUP(tblEnrolledSubjs[[#This Row],[CSubjID]], tblClassSubjs[CSubjID],tblClassSubjs[ClassID]),tblClasses[ClassID],tblClasses[STermID])</f>
        <v>10</v>
      </c>
      <c r="T1456" t="str">
        <f>LOOKUP(S1456,tblSchoolTerms[STermID],tblSchoolTerms[SemesterID]&amp;" Semester "&amp;tblSchoolTerms[SchoolYear])</f>
        <v>1 Semester S.Y. 2014-2015</v>
      </c>
      <c r="W145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56" t="e">
        <f t="array" ref="Y1456">INDEX(tblEnrolledStuds[EStudID],MATCH(tblEnrolledSubjs[[#This Row],[EStudID]]&amp;S1456,tblEnrolledStuds[AdmissionStatusID]&amp;tblEnrolledStuds[StudID],0))</f>
        <v>#N/A</v>
      </c>
    </row>
    <row r="1457" spans="2:25" x14ac:dyDescent="0.25">
      <c r="B1457">
        <v>1455</v>
      </c>
      <c r="C1457">
        <v>572</v>
      </c>
      <c r="D1457" s="22">
        <v>199</v>
      </c>
      <c r="P1457" t="str">
        <f t="shared" si="26"/>
        <v>(NULL,"572","199"),</v>
      </c>
      <c r="Q1457" t="str">
        <f>TextJoin(tblEnrolledSubjs[[#This Row],[CSubjID]:[EStudID]],"Value")</f>
        <v>"572","199"</v>
      </c>
      <c r="S1457">
        <f>LOOKUP(LOOKUP(tblEnrolledSubjs[[#This Row],[CSubjID]], tblClassSubjs[CSubjID],tblClassSubjs[ClassID]),tblClasses[ClassID],tblClasses[STermID])</f>
        <v>10</v>
      </c>
      <c r="T1457" t="str">
        <f>LOOKUP(S1457,tblSchoolTerms[STermID],tblSchoolTerms[SemesterID]&amp;" Semester "&amp;tblSchoolTerms[SchoolYear])</f>
        <v>1 Semester S.Y. 2014-2015</v>
      </c>
      <c r="W145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57" t="e">
        <f t="array" ref="Y1457">INDEX(tblEnrolledStuds[EStudID],MATCH(tblEnrolledSubjs[[#This Row],[EStudID]]&amp;S1457,tblEnrolledStuds[AdmissionStatusID]&amp;tblEnrolledStuds[StudID],0))</f>
        <v>#N/A</v>
      </c>
    </row>
    <row r="1458" spans="2:25" x14ac:dyDescent="0.25">
      <c r="B1458">
        <v>1456</v>
      </c>
      <c r="C1458">
        <v>572</v>
      </c>
      <c r="D1458" s="22">
        <v>200</v>
      </c>
      <c r="P1458" t="str">
        <f t="shared" si="26"/>
        <v>(NULL,"572","200"),</v>
      </c>
      <c r="Q1458" t="str">
        <f>TextJoin(tblEnrolledSubjs[[#This Row],[CSubjID]:[EStudID]],"Value")</f>
        <v>"572","200"</v>
      </c>
      <c r="S1458">
        <f>LOOKUP(LOOKUP(tblEnrolledSubjs[[#This Row],[CSubjID]], tblClassSubjs[CSubjID],tblClassSubjs[ClassID]),tblClasses[ClassID],tblClasses[STermID])</f>
        <v>10</v>
      </c>
      <c r="T1458" t="str">
        <f>LOOKUP(S1458,tblSchoolTerms[STermID],tblSchoolTerms[SemesterID]&amp;" Semester "&amp;tblSchoolTerms[SchoolYear])</f>
        <v>1 Semester S.Y. 2014-2015</v>
      </c>
      <c r="W145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58" t="e">
        <f t="array" ref="Y1458">INDEX(tblEnrolledStuds[EStudID],MATCH(tblEnrolledSubjs[[#This Row],[EStudID]]&amp;S1458,tblEnrolledStuds[AdmissionStatusID]&amp;tblEnrolledStuds[StudID],0))</f>
        <v>#N/A</v>
      </c>
    </row>
    <row r="1459" spans="2:25" x14ac:dyDescent="0.25">
      <c r="B1459">
        <v>1457</v>
      </c>
      <c r="C1459">
        <v>572</v>
      </c>
      <c r="D1459" s="22">
        <v>201</v>
      </c>
      <c r="P1459" t="str">
        <f t="shared" si="26"/>
        <v>(NULL,"572","201"),</v>
      </c>
      <c r="Q1459" t="str">
        <f>TextJoin(tblEnrolledSubjs[[#This Row],[CSubjID]:[EStudID]],"Value")</f>
        <v>"572","201"</v>
      </c>
      <c r="S1459">
        <f>LOOKUP(LOOKUP(tblEnrolledSubjs[[#This Row],[CSubjID]], tblClassSubjs[CSubjID],tblClassSubjs[ClassID]),tblClasses[ClassID],tblClasses[STermID])</f>
        <v>10</v>
      </c>
      <c r="T1459" t="str">
        <f>LOOKUP(S1459,tblSchoolTerms[STermID],tblSchoolTerms[SemesterID]&amp;" Semester "&amp;tblSchoolTerms[SchoolYear])</f>
        <v>1 Semester S.Y. 2014-2015</v>
      </c>
      <c r="W145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59" t="e">
        <f t="array" ref="Y1459">INDEX(tblEnrolledStuds[EStudID],MATCH(tblEnrolledSubjs[[#This Row],[EStudID]]&amp;S1459,tblEnrolledStuds[AdmissionStatusID]&amp;tblEnrolledStuds[StudID],0))</f>
        <v>#N/A</v>
      </c>
    </row>
    <row r="1460" spans="2:25" x14ac:dyDescent="0.25">
      <c r="B1460">
        <v>1458</v>
      </c>
      <c r="C1460">
        <v>572</v>
      </c>
      <c r="D1460" s="22">
        <v>202</v>
      </c>
      <c r="P1460" t="str">
        <f t="shared" si="26"/>
        <v>(NULL,"572","202"),</v>
      </c>
      <c r="Q1460" t="str">
        <f>TextJoin(tblEnrolledSubjs[[#This Row],[CSubjID]:[EStudID]],"Value")</f>
        <v>"572","202"</v>
      </c>
      <c r="S1460">
        <f>LOOKUP(LOOKUP(tblEnrolledSubjs[[#This Row],[CSubjID]], tblClassSubjs[CSubjID],tblClassSubjs[ClassID]),tblClasses[ClassID],tblClasses[STermID])</f>
        <v>10</v>
      </c>
      <c r="T1460" t="str">
        <f>LOOKUP(S1460,tblSchoolTerms[STermID],tblSchoolTerms[SemesterID]&amp;" Semester "&amp;tblSchoolTerms[SchoolYear])</f>
        <v>1 Semester S.Y. 2014-2015</v>
      </c>
      <c r="W146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60" t="e">
        <f t="array" ref="Y1460">INDEX(tblEnrolledStuds[EStudID],MATCH(tblEnrolledSubjs[[#This Row],[EStudID]]&amp;S1460,tblEnrolledStuds[AdmissionStatusID]&amp;tblEnrolledStuds[StudID],0))</f>
        <v>#N/A</v>
      </c>
    </row>
    <row r="1461" spans="2:25" x14ac:dyDescent="0.25">
      <c r="B1461">
        <v>1459</v>
      </c>
      <c r="C1461">
        <v>573</v>
      </c>
      <c r="D1461" s="22">
        <v>197</v>
      </c>
      <c r="P1461" t="str">
        <f t="shared" si="26"/>
        <v>(NULL,"573","197"),</v>
      </c>
      <c r="Q1461" t="str">
        <f>TextJoin(tblEnrolledSubjs[[#This Row],[CSubjID]:[EStudID]],"Value")</f>
        <v>"573","197"</v>
      </c>
      <c r="S1461">
        <f>LOOKUP(LOOKUP(tblEnrolledSubjs[[#This Row],[CSubjID]], tblClassSubjs[CSubjID],tblClassSubjs[ClassID]),tblClasses[ClassID],tblClasses[STermID])</f>
        <v>10</v>
      </c>
      <c r="T1461" t="str">
        <f>LOOKUP(S1461,tblSchoolTerms[STermID],tblSchoolTerms[SemesterID]&amp;" Semester "&amp;tblSchoolTerms[SchoolYear])</f>
        <v>1 Semester S.Y. 2014-2015</v>
      </c>
      <c r="W146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61" t="e">
        <f t="array" ref="Y1461">INDEX(tblEnrolledStuds[EStudID],MATCH(tblEnrolledSubjs[[#This Row],[EStudID]]&amp;S1461,tblEnrolledStuds[AdmissionStatusID]&amp;tblEnrolledStuds[StudID],0))</f>
        <v>#N/A</v>
      </c>
    </row>
    <row r="1462" spans="2:25" x14ac:dyDescent="0.25">
      <c r="B1462">
        <v>1460</v>
      </c>
      <c r="C1462">
        <v>573</v>
      </c>
      <c r="D1462" s="22">
        <v>198</v>
      </c>
      <c r="P1462" t="str">
        <f t="shared" si="26"/>
        <v>(NULL,"573","198"),</v>
      </c>
      <c r="Q1462" t="str">
        <f>TextJoin(tblEnrolledSubjs[[#This Row],[CSubjID]:[EStudID]],"Value")</f>
        <v>"573","198"</v>
      </c>
      <c r="S1462">
        <f>LOOKUP(LOOKUP(tblEnrolledSubjs[[#This Row],[CSubjID]], tblClassSubjs[CSubjID],tblClassSubjs[ClassID]),tblClasses[ClassID],tblClasses[STermID])</f>
        <v>10</v>
      </c>
      <c r="T1462" t="str">
        <f>LOOKUP(S1462,tblSchoolTerms[STermID],tblSchoolTerms[SemesterID]&amp;" Semester "&amp;tblSchoolTerms[SchoolYear])</f>
        <v>1 Semester S.Y. 2014-2015</v>
      </c>
      <c r="W146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62" t="e">
        <f t="array" ref="Y1462">INDEX(tblEnrolledStuds[EStudID],MATCH(tblEnrolledSubjs[[#This Row],[EStudID]]&amp;S1462,tblEnrolledStuds[AdmissionStatusID]&amp;tblEnrolledStuds[StudID],0))</f>
        <v>#N/A</v>
      </c>
    </row>
    <row r="1463" spans="2:25" x14ac:dyDescent="0.25">
      <c r="B1463">
        <v>1461</v>
      </c>
      <c r="C1463">
        <v>573</v>
      </c>
      <c r="D1463" s="22">
        <v>199</v>
      </c>
      <c r="P1463" t="str">
        <f t="shared" si="26"/>
        <v>(NULL,"573","199"),</v>
      </c>
      <c r="Q1463" t="str">
        <f>TextJoin(tblEnrolledSubjs[[#This Row],[CSubjID]:[EStudID]],"Value")</f>
        <v>"573","199"</v>
      </c>
      <c r="S1463">
        <f>LOOKUP(LOOKUP(tblEnrolledSubjs[[#This Row],[CSubjID]], tblClassSubjs[CSubjID],tblClassSubjs[ClassID]),tblClasses[ClassID],tblClasses[STermID])</f>
        <v>10</v>
      </c>
      <c r="T1463" t="str">
        <f>LOOKUP(S1463,tblSchoolTerms[STermID],tblSchoolTerms[SemesterID]&amp;" Semester "&amp;tblSchoolTerms[SchoolYear])</f>
        <v>1 Semester S.Y. 2014-2015</v>
      </c>
      <c r="W146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63" t="e">
        <f t="array" ref="Y1463">INDEX(tblEnrolledStuds[EStudID],MATCH(tblEnrolledSubjs[[#This Row],[EStudID]]&amp;S1463,tblEnrolledStuds[AdmissionStatusID]&amp;tblEnrolledStuds[StudID],0))</f>
        <v>#N/A</v>
      </c>
    </row>
    <row r="1464" spans="2:25" x14ac:dyDescent="0.25">
      <c r="B1464">
        <v>1462</v>
      </c>
      <c r="C1464">
        <v>573</v>
      </c>
      <c r="D1464" s="22">
        <v>200</v>
      </c>
      <c r="P1464" t="str">
        <f t="shared" si="26"/>
        <v>(NULL,"573","200"),</v>
      </c>
      <c r="Q1464" t="str">
        <f>TextJoin(tblEnrolledSubjs[[#This Row],[CSubjID]:[EStudID]],"Value")</f>
        <v>"573","200"</v>
      </c>
      <c r="S1464">
        <f>LOOKUP(LOOKUP(tblEnrolledSubjs[[#This Row],[CSubjID]], tblClassSubjs[CSubjID],tblClassSubjs[ClassID]),tblClasses[ClassID],tblClasses[STermID])</f>
        <v>10</v>
      </c>
      <c r="T1464" t="str">
        <f>LOOKUP(S1464,tblSchoolTerms[STermID],tblSchoolTerms[SemesterID]&amp;" Semester "&amp;tblSchoolTerms[SchoolYear])</f>
        <v>1 Semester S.Y. 2014-2015</v>
      </c>
      <c r="W146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64" t="e">
        <f t="array" ref="Y1464">INDEX(tblEnrolledStuds[EStudID],MATCH(tblEnrolledSubjs[[#This Row],[EStudID]]&amp;S1464,tblEnrolledStuds[AdmissionStatusID]&amp;tblEnrolledStuds[StudID],0))</f>
        <v>#N/A</v>
      </c>
    </row>
    <row r="1465" spans="2:25" x14ac:dyDescent="0.25">
      <c r="B1465">
        <v>1463</v>
      </c>
      <c r="C1465">
        <v>573</v>
      </c>
      <c r="D1465" s="22">
        <v>201</v>
      </c>
      <c r="P1465" t="str">
        <f t="shared" si="26"/>
        <v>(NULL,"573","201"),</v>
      </c>
      <c r="Q1465" t="str">
        <f>TextJoin(tblEnrolledSubjs[[#This Row],[CSubjID]:[EStudID]],"Value")</f>
        <v>"573","201"</v>
      </c>
      <c r="S1465">
        <f>LOOKUP(LOOKUP(tblEnrolledSubjs[[#This Row],[CSubjID]], tblClassSubjs[CSubjID],tblClassSubjs[ClassID]),tblClasses[ClassID],tblClasses[STermID])</f>
        <v>10</v>
      </c>
      <c r="T1465" t="str">
        <f>LOOKUP(S1465,tblSchoolTerms[STermID],tblSchoolTerms[SemesterID]&amp;" Semester "&amp;tblSchoolTerms[SchoolYear])</f>
        <v>1 Semester S.Y. 2014-2015</v>
      </c>
      <c r="W146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65" t="e">
        <f t="array" ref="Y1465">INDEX(tblEnrolledStuds[EStudID],MATCH(tblEnrolledSubjs[[#This Row],[EStudID]]&amp;S1465,tblEnrolledStuds[AdmissionStatusID]&amp;tblEnrolledStuds[StudID],0))</f>
        <v>#N/A</v>
      </c>
    </row>
    <row r="1466" spans="2:25" x14ac:dyDescent="0.25">
      <c r="B1466">
        <v>1464</v>
      </c>
      <c r="C1466">
        <v>573</v>
      </c>
      <c r="D1466" s="22">
        <v>202</v>
      </c>
      <c r="P1466" t="str">
        <f t="shared" si="26"/>
        <v>(NULL,"573","202"),</v>
      </c>
      <c r="Q1466" t="str">
        <f>TextJoin(tblEnrolledSubjs[[#This Row],[CSubjID]:[EStudID]],"Value")</f>
        <v>"573","202"</v>
      </c>
      <c r="S1466">
        <f>LOOKUP(LOOKUP(tblEnrolledSubjs[[#This Row],[CSubjID]], tblClassSubjs[CSubjID],tblClassSubjs[ClassID]),tblClasses[ClassID],tblClasses[STermID])</f>
        <v>10</v>
      </c>
      <c r="T1466" t="str">
        <f>LOOKUP(S1466,tblSchoolTerms[STermID],tblSchoolTerms[SemesterID]&amp;" Semester "&amp;tblSchoolTerms[SchoolYear])</f>
        <v>1 Semester S.Y. 2014-2015</v>
      </c>
      <c r="W146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66" t="e">
        <f t="array" ref="Y1466">INDEX(tblEnrolledStuds[EStudID],MATCH(tblEnrolledSubjs[[#This Row],[EStudID]]&amp;S1466,tblEnrolledStuds[AdmissionStatusID]&amp;tblEnrolledStuds[StudID],0))</f>
        <v>#N/A</v>
      </c>
    </row>
    <row r="1467" spans="2:25" x14ac:dyDescent="0.25">
      <c r="B1467">
        <v>1465</v>
      </c>
      <c r="C1467">
        <v>574</v>
      </c>
      <c r="D1467" s="22">
        <v>197</v>
      </c>
      <c r="P1467" t="str">
        <f t="shared" si="26"/>
        <v>(NULL,"574","197"),</v>
      </c>
      <c r="Q1467" t="str">
        <f>TextJoin(tblEnrolledSubjs[[#This Row],[CSubjID]:[EStudID]],"Value")</f>
        <v>"574","197"</v>
      </c>
      <c r="S1467">
        <f>LOOKUP(LOOKUP(tblEnrolledSubjs[[#This Row],[CSubjID]], tblClassSubjs[CSubjID],tblClassSubjs[ClassID]),tblClasses[ClassID],tblClasses[STermID])</f>
        <v>10</v>
      </c>
      <c r="T1467" t="str">
        <f>LOOKUP(S1467,tblSchoolTerms[STermID],tblSchoolTerms[SemesterID]&amp;" Semester "&amp;tblSchoolTerms[SchoolYear])</f>
        <v>1 Semester S.Y. 2014-2015</v>
      </c>
      <c r="W146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67" t="e">
        <f t="array" ref="Y1467">INDEX(tblEnrolledStuds[EStudID],MATCH(tblEnrolledSubjs[[#This Row],[EStudID]]&amp;S1467,tblEnrolledStuds[AdmissionStatusID]&amp;tblEnrolledStuds[StudID],0))</f>
        <v>#N/A</v>
      </c>
    </row>
    <row r="1468" spans="2:25" x14ac:dyDescent="0.25">
      <c r="B1468">
        <v>1466</v>
      </c>
      <c r="C1468">
        <v>574</v>
      </c>
      <c r="D1468" s="22">
        <v>198</v>
      </c>
      <c r="P1468" t="str">
        <f t="shared" si="26"/>
        <v>(NULL,"574","198"),</v>
      </c>
      <c r="Q1468" t="str">
        <f>TextJoin(tblEnrolledSubjs[[#This Row],[CSubjID]:[EStudID]],"Value")</f>
        <v>"574","198"</v>
      </c>
      <c r="S1468">
        <f>LOOKUP(LOOKUP(tblEnrolledSubjs[[#This Row],[CSubjID]], tblClassSubjs[CSubjID],tblClassSubjs[ClassID]),tblClasses[ClassID],tblClasses[STermID])</f>
        <v>10</v>
      </c>
      <c r="T1468" t="str">
        <f>LOOKUP(S1468,tblSchoolTerms[STermID],tblSchoolTerms[SemesterID]&amp;" Semester "&amp;tblSchoolTerms[SchoolYear])</f>
        <v>1 Semester S.Y. 2014-2015</v>
      </c>
      <c r="W146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68" t="e">
        <f t="array" ref="Y1468">INDEX(tblEnrolledStuds[EStudID],MATCH(tblEnrolledSubjs[[#This Row],[EStudID]]&amp;S1468,tblEnrolledStuds[AdmissionStatusID]&amp;tblEnrolledStuds[StudID],0))</f>
        <v>#N/A</v>
      </c>
    </row>
    <row r="1469" spans="2:25" x14ac:dyDescent="0.25">
      <c r="B1469">
        <v>1467</v>
      </c>
      <c r="C1469">
        <v>574</v>
      </c>
      <c r="D1469" s="22">
        <v>199</v>
      </c>
      <c r="P1469" t="str">
        <f t="shared" si="26"/>
        <v>(NULL,"574","199"),</v>
      </c>
      <c r="Q1469" t="str">
        <f>TextJoin(tblEnrolledSubjs[[#This Row],[CSubjID]:[EStudID]],"Value")</f>
        <v>"574","199"</v>
      </c>
      <c r="S1469">
        <f>LOOKUP(LOOKUP(tblEnrolledSubjs[[#This Row],[CSubjID]], tblClassSubjs[CSubjID],tblClassSubjs[ClassID]),tblClasses[ClassID],tblClasses[STermID])</f>
        <v>10</v>
      </c>
      <c r="T1469" t="str">
        <f>LOOKUP(S1469,tblSchoolTerms[STermID],tblSchoolTerms[SemesterID]&amp;" Semester "&amp;tblSchoolTerms[SchoolYear])</f>
        <v>1 Semester S.Y. 2014-2015</v>
      </c>
      <c r="W146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69" t="e">
        <f t="array" ref="Y1469">INDEX(tblEnrolledStuds[EStudID],MATCH(tblEnrolledSubjs[[#This Row],[EStudID]]&amp;S1469,tblEnrolledStuds[AdmissionStatusID]&amp;tblEnrolledStuds[StudID],0))</f>
        <v>#N/A</v>
      </c>
    </row>
    <row r="1470" spans="2:25" x14ac:dyDescent="0.25">
      <c r="B1470">
        <v>1468</v>
      </c>
      <c r="C1470">
        <v>574</v>
      </c>
      <c r="D1470" s="22">
        <v>200</v>
      </c>
      <c r="P1470" t="str">
        <f t="shared" si="26"/>
        <v>(NULL,"574","200"),</v>
      </c>
      <c r="Q1470" t="str">
        <f>TextJoin(tblEnrolledSubjs[[#This Row],[CSubjID]:[EStudID]],"Value")</f>
        <v>"574","200"</v>
      </c>
      <c r="S1470">
        <f>LOOKUP(LOOKUP(tblEnrolledSubjs[[#This Row],[CSubjID]], tblClassSubjs[CSubjID],tblClassSubjs[ClassID]),tblClasses[ClassID],tblClasses[STermID])</f>
        <v>10</v>
      </c>
      <c r="T1470" t="str">
        <f>LOOKUP(S1470,tblSchoolTerms[STermID],tblSchoolTerms[SemesterID]&amp;" Semester "&amp;tblSchoolTerms[SchoolYear])</f>
        <v>1 Semester S.Y. 2014-2015</v>
      </c>
      <c r="W147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70" t="e">
        <f t="array" ref="Y1470">INDEX(tblEnrolledStuds[EStudID],MATCH(tblEnrolledSubjs[[#This Row],[EStudID]]&amp;S1470,tblEnrolledStuds[AdmissionStatusID]&amp;tblEnrolledStuds[StudID],0))</f>
        <v>#N/A</v>
      </c>
    </row>
    <row r="1471" spans="2:25" x14ac:dyDescent="0.25">
      <c r="B1471">
        <v>1469</v>
      </c>
      <c r="C1471">
        <v>574</v>
      </c>
      <c r="D1471" s="22">
        <v>201</v>
      </c>
      <c r="P1471" t="str">
        <f t="shared" si="26"/>
        <v>(NULL,"574","201"),</v>
      </c>
      <c r="Q1471" t="str">
        <f>TextJoin(tblEnrolledSubjs[[#This Row],[CSubjID]:[EStudID]],"Value")</f>
        <v>"574","201"</v>
      </c>
      <c r="S1471">
        <f>LOOKUP(LOOKUP(tblEnrolledSubjs[[#This Row],[CSubjID]], tblClassSubjs[CSubjID],tblClassSubjs[ClassID]),tblClasses[ClassID],tblClasses[STermID])</f>
        <v>10</v>
      </c>
      <c r="T1471" t="str">
        <f>LOOKUP(S1471,tblSchoolTerms[STermID],tblSchoolTerms[SemesterID]&amp;" Semester "&amp;tblSchoolTerms[SchoolYear])</f>
        <v>1 Semester S.Y. 2014-2015</v>
      </c>
      <c r="W147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71" t="e">
        <f t="array" ref="Y1471">INDEX(tblEnrolledStuds[EStudID],MATCH(tblEnrolledSubjs[[#This Row],[EStudID]]&amp;S1471,tblEnrolledStuds[AdmissionStatusID]&amp;tblEnrolledStuds[StudID],0))</f>
        <v>#N/A</v>
      </c>
    </row>
    <row r="1472" spans="2:25" x14ac:dyDescent="0.25">
      <c r="B1472">
        <v>1470</v>
      </c>
      <c r="C1472">
        <v>574</v>
      </c>
      <c r="D1472" s="22">
        <v>202</v>
      </c>
      <c r="P1472" t="str">
        <f t="shared" si="26"/>
        <v>(NULL,"574","202"),</v>
      </c>
      <c r="Q1472" t="str">
        <f>TextJoin(tblEnrolledSubjs[[#This Row],[CSubjID]:[EStudID]],"Value")</f>
        <v>"574","202"</v>
      </c>
      <c r="S1472">
        <f>LOOKUP(LOOKUP(tblEnrolledSubjs[[#This Row],[CSubjID]], tblClassSubjs[CSubjID],tblClassSubjs[ClassID]),tblClasses[ClassID],tblClasses[STermID])</f>
        <v>10</v>
      </c>
      <c r="T1472" t="str">
        <f>LOOKUP(S1472,tblSchoolTerms[STermID],tblSchoolTerms[SemesterID]&amp;" Semester "&amp;tblSchoolTerms[SchoolYear])</f>
        <v>1 Semester S.Y. 2014-2015</v>
      </c>
      <c r="W147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72" t="e">
        <f t="array" ref="Y1472">INDEX(tblEnrolledStuds[EStudID],MATCH(tblEnrolledSubjs[[#This Row],[EStudID]]&amp;S1472,tblEnrolledStuds[AdmissionStatusID]&amp;tblEnrolledStuds[StudID],0))</f>
        <v>#N/A</v>
      </c>
    </row>
    <row r="1473" spans="2:25" x14ac:dyDescent="0.25">
      <c r="B1473">
        <v>1471</v>
      </c>
      <c r="C1473">
        <v>575</v>
      </c>
      <c r="D1473" s="22">
        <v>197</v>
      </c>
      <c r="P1473" t="str">
        <f t="shared" si="26"/>
        <v>(NULL,"575","197"),</v>
      </c>
      <c r="Q1473" t="str">
        <f>TextJoin(tblEnrolledSubjs[[#This Row],[CSubjID]:[EStudID]],"Value")</f>
        <v>"575","197"</v>
      </c>
      <c r="S1473">
        <f>LOOKUP(LOOKUP(tblEnrolledSubjs[[#This Row],[CSubjID]], tblClassSubjs[CSubjID],tblClassSubjs[ClassID]),tblClasses[ClassID],tblClasses[STermID])</f>
        <v>10</v>
      </c>
      <c r="T1473" t="str">
        <f>LOOKUP(S1473,tblSchoolTerms[STermID],tblSchoolTerms[SemesterID]&amp;" Semester "&amp;tblSchoolTerms[SchoolYear])</f>
        <v>1 Semester S.Y. 2014-2015</v>
      </c>
      <c r="W147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73" t="e">
        <f t="array" ref="Y1473">INDEX(tblEnrolledStuds[EStudID],MATCH(tblEnrolledSubjs[[#This Row],[EStudID]]&amp;S1473,tblEnrolledStuds[AdmissionStatusID]&amp;tblEnrolledStuds[StudID],0))</f>
        <v>#N/A</v>
      </c>
    </row>
    <row r="1474" spans="2:25" x14ac:dyDescent="0.25">
      <c r="B1474">
        <v>1472</v>
      </c>
      <c r="C1474">
        <v>575</v>
      </c>
      <c r="D1474" s="22">
        <v>198</v>
      </c>
      <c r="P1474" t="str">
        <f t="shared" si="26"/>
        <v>(NULL,"575","198"),</v>
      </c>
      <c r="Q1474" t="str">
        <f>TextJoin(tblEnrolledSubjs[[#This Row],[CSubjID]:[EStudID]],"Value")</f>
        <v>"575","198"</v>
      </c>
      <c r="S1474">
        <f>LOOKUP(LOOKUP(tblEnrolledSubjs[[#This Row],[CSubjID]], tblClassSubjs[CSubjID],tblClassSubjs[ClassID]),tblClasses[ClassID],tblClasses[STermID])</f>
        <v>10</v>
      </c>
      <c r="T1474" t="str">
        <f>LOOKUP(S1474,tblSchoolTerms[STermID],tblSchoolTerms[SemesterID]&amp;" Semester "&amp;tblSchoolTerms[SchoolYear])</f>
        <v>1 Semester S.Y. 2014-2015</v>
      </c>
      <c r="W147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74" t="e">
        <f t="array" ref="Y1474">INDEX(tblEnrolledStuds[EStudID],MATCH(tblEnrolledSubjs[[#This Row],[EStudID]]&amp;S1474,tblEnrolledStuds[AdmissionStatusID]&amp;tblEnrolledStuds[StudID],0))</f>
        <v>#N/A</v>
      </c>
    </row>
    <row r="1475" spans="2:25" x14ac:dyDescent="0.25">
      <c r="B1475">
        <v>1473</v>
      </c>
      <c r="C1475">
        <v>575</v>
      </c>
      <c r="D1475" s="22">
        <v>199</v>
      </c>
      <c r="P1475" t="str">
        <f t="shared" si="26"/>
        <v>(NULL,"575","199"),</v>
      </c>
      <c r="Q1475" t="str">
        <f>TextJoin(tblEnrolledSubjs[[#This Row],[CSubjID]:[EStudID]],"Value")</f>
        <v>"575","199"</v>
      </c>
      <c r="S1475">
        <f>LOOKUP(LOOKUP(tblEnrolledSubjs[[#This Row],[CSubjID]], tblClassSubjs[CSubjID],tblClassSubjs[ClassID]),tblClasses[ClassID],tblClasses[STermID])</f>
        <v>10</v>
      </c>
      <c r="T1475" t="str">
        <f>LOOKUP(S1475,tblSchoolTerms[STermID],tblSchoolTerms[SemesterID]&amp;" Semester "&amp;tblSchoolTerms[SchoolYear])</f>
        <v>1 Semester S.Y. 2014-2015</v>
      </c>
      <c r="W1475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75" t="e">
        <f t="array" ref="Y1475">INDEX(tblEnrolledStuds[EStudID],MATCH(tblEnrolledSubjs[[#This Row],[EStudID]]&amp;S1475,tblEnrolledStuds[AdmissionStatusID]&amp;tblEnrolledStuds[StudID],0))</f>
        <v>#N/A</v>
      </c>
    </row>
    <row r="1476" spans="2:25" x14ac:dyDescent="0.25">
      <c r="B1476">
        <v>1474</v>
      </c>
      <c r="C1476">
        <v>575</v>
      </c>
      <c r="D1476" s="22">
        <v>200</v>
      </c>
      <c r="P1476" t="str">
        <f t="shared" ref="P1476:P1484" si="27">"(NULL,"&amp;Q1476&amp;")"&amp;IF(P1477&lt;&gt;"",",",";")</f>
        <v>(NULL,"575","200"),</v>
      </c>
      <c r="Q1476" t="str">
        <f>TextJoin(tblEnrolledSubjs[[#This Row],[CSubjID]:[EStudID]],"Value")</f>
        <v>"575","200"</v>
      </c>
      <c r="S1476">
        <f>LOOKUP(LOOKUP(tblEnrolledSubjs[[#This Row],[CSubjID]], tblClassSubjs[CSubjID],tblClassSubjs[ClassID]),tblClasses[ClassID],tblClasses[STermID])</f>
        <v>10</v>
      </c>
      <c r="T1476" t="str">
        <f>LOOKUP(S1476,tblSchoolTerms[STermID],tblSchoolTerms[SemesterID]&amp;" Semester "&amp;tblSchoolTerms[SchoolYear])</f>
        <v>1 Semester S.Y. 2014-2015</v>
      </c>
      <c r="W1476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76" t="e">
        <f t="array" ref="Y1476">INDEX(tblEnrolledStuds[EStudID],MATCH(tblEnrolledSubjs[[#This Row],[EStudID]]&amp;S1476,tblEnrolledStuds[AdmissionStatusID]&amp;tblEnrolledStuds[StudID],0))</f>
        <v>#N/A</v>
      </c>
    </row>
    <row r="1477" spans="2:25" x14ac:dyDescent="0.25">
      <c r="B1477">
        <v>1475</v>
      </c>
      <c r="C1477">
        <v>575</v>
      </c>
      <c r="D1477" s="22">
        <v>201</v>
      </c>
      <c r="P1477" t="str">
        <f t="shared" si="27"/>
        <v>(NULL,"575","201"),</v>
      </c>
      <c r="Q1477" t="str">
        <f>TextJoin(tblEnrolledSubjs[[#This Row],[CSubjID]:[EStudID]],"Value")</f>
        <v>"575","201"</v>
      </c>
      <c r="S1477">
        <f>LOOKUP(LOOKUP(tblEnrolledSubjs[[#This Row],[CSubjID]], tblClassSubjs[CSubjID],tblClassSubjs[ClassID]),tblClasses[ClassID],tblClasses[STermID])</f>
        <v>10</v>
      </c>
      <c r="T1477" t="str">
        <f>LOOKUP(S1477,tblSchoolTerms[STermID],tblSchoolTerms[SemesterID]&amp;" Semester "&amp;tblSchoolTerms[SchoolYear])</f>
        <v>1 Semester S.Y. 2014-2015</v>
      </c>
      <c r="W1477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77" t="e">
        <f t="array" ref="Y1477">INDEX(tblEnrolledStuds[EStudID],MATCH(tblEnrolledSubjs[[#This Row],[EStudID]]&amp;S1477,tblEnrolledStuds[AdmissionStatusID]&amp;tblEnrolledStuds[StudID],0))</f>
        <v>#N/A</v>
      </c>
    </row>
    <row r="1478" spans="2:25" x14ac:dyDescent="0.25">
      <c r="B1478">
        <v>1476</v>
      </c>
      <c r="C1478">
        <v>575</v>
      </c>
      <c r="D1478" s="22">
        <v>202</v>
      </c>
      <c r="P1478" t="str">
        <f t="shared" si="27"/>
        <v>(NULL,"575","202"),</v>
      </c>
      <c r="Q1478" t="str">
        <f>TextJoin(tblEnrolledSubjs[[#This Row],[CSubjID]:[EStudID]],"Value")</f>
        <v>"575","202"</v>
      </c>
      <c r="S1478">
        <f>LOOKUP(LOOKUP(tblEnrolledSubjs[[#This Row],[CSubjID]], tblClassSubjs[CSubjID],tblClassSubjs[ClassID]),tblClasses[ClassID],tblClasses[STermID])</f>
        <v>10</v>
      </c>
      <c r="T1478" t="str">
        <f>LOOKUP(S1478,tblSchoolTerms[STermID],tblSchoolTerms[SemesterID]&amp;" Semester "&amp;tblSchoolTerms[SchoolYear])</f>
        <v>1 Semester S.Y. 2014-2015</v>
      </c>
      <c r="W1478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78" t="e">
        <f t="array" ref="Y1478">INDEX(tblEnrolledStuds[EStudID],MATCH(tblEnrolledSubjs[[#This Row],[EStudID]]&amp;S1478,tblEnrolledStuds[AdmissionStatusID]&amp;tblEnrolledStuds[StudID],0))</f>
        <v>#N/A</v>
      </c>
    </row>
    <row r="1479" spans="2:25" x14ac:dyDescent="0.25">
      <c r="B1479">
        <v>1477</v>
      </c>
      <c r="C1479">
        <v>576</v>
      </c>
      <c r="D1479" s="22">
        <v>197</v>
      </c>
      <c r="P1479" t="str">
        <f t="shared" si="27"/>
        <v>(NULL,"576","197"),</v>
      </c>
      <c r="Q1479" t="str">
        <f>TextJoin(tblEnrolledSubjs[[#This Row],[CSubjID]:[EStudID]],"Value")</f>
        <v>"576","197"</v>
      </c>
      <c r="S1479">
        <f>LOOKUP(LOOKUP(tblEnrolledSubjs[[#This Row],[CSubjID]], tblClassSubjs[CSubjID],tblClassSubjs[ClassID]),tblClasses[ClassID],tblClasses[STermID])</f>
        <v>10</v>
      </c>
      <c r="T1479" t="str">
        <f>LOOKUP(S1479,tblSchoolTerms[STermID],tblSchoolTerms[SemesterID]&amp;" Semester "&amp;tblSchoolTerms[SchoolYear])</f>
        <v>1 Semester S.Y. 2014-2015</v>
      </c>
      <c r="W1479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79" t="e">
        <f t="array" ref="Y1479">INDEX(tblEnrolledStuds[EStudID],MATCH(tblEnrolledSubjs[[#This Row],[EStudID]]&amp;S1479,tblEnrolledStuds[AdmissionStatusID]&amp;tblEnrolledStuds[StudID],0))</f>
        <v>#N/A</v>
      </c>
    </row>
    <row r="1480" spans="2:25" x14ac:dyDescent="0.25">
      <c r="B1480">
        <v>1478</v>
      </c>
      <c r="C1480">
        <v>576</v>
      </c>
      <c r="D1480" s="22">
        <v>198</v>
      </c>
      <c r="P1480" t="str">
        <f t="shared" si="27"/>
        <v>(NULL,"576","198"),</v>
      </c>
      <c r="Q1480" t="str">
        <f>TextJoin(tblEnrolledSubjs[[#This Row],[CSubjID]:[EStudID]],"Value")</f>
        <v>"576","198"</v>
      </c>
      <c r="S1480">
        <f>LOOKUP(LOOKUP(tblEnrolledSubjs[[#This Row],[CSubjID]], tblClassSubjs[CSubjID],tblClassSubjs[ClassID]),tblClasses[ClassID],tblClasses[STermID])</f>
        <v>10</v>
      </c>
      <c r="T1480" t="str">
        <f>LOOKUP(S1480,tblSchoolTerms[STermID],tblSchoolTerms[SemesterID]&amp;" Semester "&amp;tblSchoolTerms[SchoolYear])</f>
        <v>1 Semester S.Y. 2014-2015</v>
      </c>
      <c r="W1480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80" t="e">
        <f t="array" ref="Y1480">INDEX(tblEnrolledStuds[EStudID],MATCH(tblEnrolledSubjs[[#This Row],[EStudID]]&amp;S1480,tblEnrolledStuds[AdmissionStatusID]&amp;tblEnrolledStuds[StudID],0))</f>
        <v>#N/A</v>
      </c>
    </row>
    <row r="1481" spans="2:25" x14ac:dyDescent="0.25">
      <c r="B1481">
        <v>1479</v>
      </c>
      <c r="C1481">
        <v>576</v>
      </c>
      <c r="D1481" s="22">
        <v>199</v>
      </c>
      <c r="P1481" t="str">
        <f t="shared" si="27"/>
        <v>(NULL,"576","199"),</v>
      </c>
      <c r="Q1481" t="str">
        <f>TextJoin(tblEnrolledSubjs[[#This Row],[CSubjID]:[EStudID]],"Value")</f>
        <v>"576","199"</v>
      </c>
      <c r="S1481">
        <f>LOOKUP(LOOKUP(tblEnrolledSubjs[[#This Row],[CSubjID]], tblClassSubjs[CSubjID],tblClassSubjs[ClassID]),tblClasses[ClassID],tblClasses[STermID])</f>
        <v>10</v>
      </c>
      <c r="T1481" t="str">
        <f>LOOKUP(S1481,tblSchoolTerms[STermID],tblSchoolTerms[SemesterID]&amp;" Semester "&amp;tblSchoolTerms[SchoolYear])</f>
        <v>1 Semester S.Y. 2014-2015</v>
      </c>
      <c r="W1481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81" t="e">
        <f t="array" ref="Y1481">INDEX(tblEnrolledStuds[EStudID],MATCH(tblEnrolledSubjs[[#This Row],[EStudID]]&amp;S1481,tblEnrolledStuds[AdmissionStatusID]&amp;tblEnrolledStuds[StudID],0))</f>
        <v>#N/A</v>
      </c>
    </row>
    <row r="1482" spans="2:25" x14ac:dyDescent="0.25">
      <c r="B1482">
        <v>1480</v>
      </c>
      <c r="C1482">
        <v>576</v>
      </c>
      <c r="D1482" s="22">
        <v>200</v>
      </c>
      <c r="P1482" t="str">
        <f t="shared" si="27"/>
        <v>(NULL,"576","200"),</v>
      </c>
      <c r="Q1482" t="str">
        <f>TextJoin(tblEnrolledSubjs[[#This Row],[CSubjID]:[EStudID]],"Value")</f>
        <v>"576","200"</v>
      </c>
      <c r="S1482">
        <f>LOOKUP(LOOKUP(tblEnrolledSubjs[[#This Row],[CSubjID]], tblClassSubjs[CSubjID],tblClassSubjs[ClassID]),tblClasses[ClassID],tblClasses[STermID])</f>
        <v>10</v>
      </c>
      <c r="T1482" t="str">
        <f>LOOKUP(S1482,tblSchoolTerms[STermID],tblSchoolTerms[SemesterID]&amp;" Semester "&amp;tblSchoolTerms[SchoolYear])</f>
        <v>1 Semester S.Y. 2014-2015</v>
      </c>
      <c r="W1482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82" t="e">
        <f t="array" ref="Y1482">INDEX(tblEnrolledStuds[EStudID],MATCH(tblEnrolledSubjs[[#This Row],[EStudID]]&amp;S1482,tblEnrolledStuds[AdmissionStatusID]&amp;tblEnrolledStuds[StudID],0))</f>
        <v>#N/A</v>
      </c>
    </row>
    <row r="1483" spans="2:25" x14ac:dyDescent="0.25">
      <c r="B1483">
        <v>1481</v>
      </c>
      <c r="C1483">
        <v>576</v>
      </c>
      <c r="D1483" s="22">
        <v>201</v>
      </c>
      <c r="P1483" t="str">
        <f t="shared" si="27"/>
        <v>(NULL,"576","201"),</v>
      </c>
      <c r="Q1483" t="str">
        <f>TextJoin(tblEnrolledSubjs[[#This Row],[CSubjID]:[EStudID]],"Value")</f>
        <v>"576","201"</v>
      </c>
      <c r="S1483">
        <f>LOOKUP(LOOKUP(tblEnrolledSubjs[[#This Row],[CSubjID]], tblClassSubjs[CSubjID],tblClassSubjs[ClassID]),tblClasses[ClassID],tblClasses[STermID])</f>
        <v>10</v>
      </c>
      <c r="T1483" t="str">
        <f>LOOKUP(S1483,tblSchoolTerms[STermID],tblSchoolTerms[SemesterID]&amp;" Semester "&amp;tblSchoolTerms[SchoolYear])</f>
        <v>1 Semester S.Y. 2014-2015</v>
      </c>
      <c r="W1483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Abejo, Jay-R</v>
      </c>
      <c r="Y1483" t="e">
        <f t="array" ref="Y1483">INDEX(tblEnrolledStuds[EStudID],MATCH(tblEnrolledSubjs[[#This Row],[EStudID]]&amp;S1483,tblEnrolledStuds[AdmissionStatusID]&amp;tblEnrolledStuds[StudID],0))</f>
        <v>#N/A</v>
      </c>
    </row>
    <row r="1484" spans="2:25" x14ac:dyDescent="0.25">
      <c r="B1484">
        <v>1482</v>
      </c>
      <c r="C1484">
        <v>576</v>
      </c>
      <c r="D1484" s="22">
        <v>202</v>
      </c>
      <c r="E1484" s="29"/>
      <c r="F1484" s="29"/>
      <c r="G1484" s="29"/>
      <c r="H1484" s="29"/>
      <c r="I1484" s="29">
        <v>10</v>
      </c>
      <c r="P1484" t="str">
        <f t="shared" si="27"/>
        <v>(NULL,"576","202");</v>
      </c>
      <c r="Q1484" t="str">
        <f>TextJoin(tblEnrolledSubjs[[#This Row],[CSubjID]:[EStudID]],"Value")</f>
        <v>"576","202"</v>
      </c>
      <c r="S1484">
        <f>LOOKUP(LOOKUP(tblEnrolledSubjs[[#This Row],[CSubjID]], tblClassSubjs[CSubjID],tblClassSubjs[ClassID]),tblClasses[ClassID],tblClasses[STermID])</f>
        <v>10</v>
      </c>
      <c r="T1484" t="str">
        <f>LOOKUP(S1484,tblSchoolTerms[STermID],tblSchoolTerms[SemesterID]&amp;" Semester "&amp;tblSchoolTerms[SchoolYear])</f>
        <v>1 Semester S.Y. 2014-2015</v>
      </c>
      <c r="W1484" t="str">
        <f>LOOKUP(LOOKUP(LOOKUP(tblEnrolledSubjs[[#This Row],[EStudID]],tblEnrolledStuds[EStudID],tblEnrolledStuds[AdmissionStatusID]),tblStudents[StudID],tblStudents[PersonID]),tblPersons[PersonID], tblPersons[LastName]&amp;", "&amp;tblPersons[FirstName])</f>
        <v>Advincula, Alice Jean Rin</v>
      </c>
      <c r="Y1484" t="e">
        <f t="array" ref="Y1484">INDEX(tblEnrolledStuds[EStudID],MATCH(tblEnrolledSubjs[[#This Row],[EStudID]]&amp;S1484,tblEnrolledStuds[AdmissionStatusID]&amp;tblEnrolledStuds[StudID],0))</f>
        <v>#N/A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7:F20"/>
  <sheetViews>
    <sheetView workbookViewId="0">
      <selection activeCell="E16" sqref="E16"/>
    </sheetView>
  </sheetViews>
  <sheetFormatPr defaultRowHeight="15" x14ac:dyDescent="0.25"/>
  <sheetData>
    <row r="7" spans="3:6" x14ac:dyDescent="0.25">
      <c r="C7" s="36" t="s">
        <v>264</v>
      </c>
      <c r="D7" s="36" t="s">
        <v>266</v>
      </c>
      <c r="E7" s="36" t="s">
        <v>841</v>
      </c>
      <c r="F7" s="36">
        <v>2</v>
      </c>
    </row>
    <row r="8" spans="3:6" x14ac:dyDescent="0.25">
      <c r="C8" s="36" t="s">
        <v>264</v>
      </c>
      <c r="D8" s="36" t="s">
        <v>266</v>
      </c>
      <c r="E8" s="36" t="s">
        <v>844</v>
      </c>
      <c r="F8" s="36">
        <v>1</v>
      </c>
    </row>
    <row r="9" spans="3:6" x14ac:dyDescent="0.25">
      <c r="C9" s="36" t="s">
        <v>264</v>
      </c>
      <c r="D9" s="36" t="s">
        <v>266</v>
      </c>
      <c r="E9" s="36" t="s">
        <v>845</v>
      </c>
      <c r="F9" s="36">
        <v>1</v>
      </c>
    </row>
    <row r="10" spans="3:6" x14ac:dyDescent="0.25">
      <c r="C10" s="36" t="s">
        <v>264</v>
      </c>
      <c r="D10" s="36" t="s">
        <v>268</v>
      </c>
      <c r="E10" s="36" t="s">
        <v>841</v>
      </c>
      <c r="F10" s="36">
        <v>4</v>
      </c>
    </row>
    <row r="11" spans="3:6" x14ac:dyDescent="0.25">
      <c r="C11" s="36" t="s">
        <v>264</v>
      </c>
      <c r="D11" s="36" t="s">
        <v>268</v>
      </c>
      <c r="E11" s="36" t="s">
        <v>842</v>
      </c>
      <c r="F11" s="36">
        <v>1</v>
      </c>
    </row>
    <row r="12" spans="3:6" x14ac:dyDescent="0.25">
      <c r="C12" s="36" t="s">
        <v>264</v>
      </c>
      <c r="D12" s="36" t="s">
        <v>268</v>
      </c>
      <c r="E12" s="36" t="s">
        <v>843</v>
      </c>
      <c r="F12" s="36">
        <v>5</v>
      </c>
    </row>
    <row r="13" spans="3:6" x14ac:dyDescent="0.25">
      <c r="C13" s="36" t="s">
        <v>264</v>
      </c>
      <c r="D13" s="36" t="s">
        <v>268</v>
      </c>
      <c r="E13" s="36" t="s">
        <v>844</v>
      </c>
      <c r="F13" s="36">
        <v>9</v>
      </c>
    </row>
    <row r="14" spans="3:6" x14ac:dyDescent="0.25">
      <c r="C14" s="36" t="s">
        <v>263</v>
      </c>
      <c r="D14" s="36" t="s">
        <v>266</v>
      </c>
      <c r="E14" s="36" t="s">
        <v>841</v>
      </c>
      <c r="F14" s="36">
        <v>3</v>
      </c>
    </row>
    <row r="15" spans="3:6" x14ac:dyDescent="0.25">
      <c r="C15" s="36" t="s">
        <v>263</v>
      </c>
      <c r="D15" s="36" t="s">
        <v>266</v>
      </c>
      <c r="E15" s="36" t="s">
        <v>844</v>
      </c>
      <c r="F15" s="36">
        <v>3</v>
      </c>
    </row>
    <row r="16" spans="3:6" x14ac:dyDescent="0.25">
      <c r="C16" s="36" t="s">
        <v>263</v>
      </c>
      <c r="D16" s="36" t="s">
        <v>266</v>
      </c>
      <c r="E16" s="36" t="s">
        <v>845</v>
      </c>
      <c r="F16" s="36">
        <v>6</v>
      </c>
    </row>
    <row r="17" spans="3:6" x14ac:dyDescent="0.25">
      <c r="C17" s="36" t="s">
        <v>263</v>
      </c>
      <c r="D17" s="36" t="s">
        <v>268</v>
      </c>
      <c r="E17" s="36" t="s">
        <v>841</v>
      </c>
      <c r="F17" s="36">
        <v>14</v>
      </c>
    </row>
    <row r="18" spans="3:6" x14ac:dyDescent="0.25">
      <c r="C18" s="36" t="s">
        <v>263</v>
      </c>
      <c r="D18" s="36" t="s">
        <v>268</v>
      </c>
      <c r="E18" s="36" t="s">
        <v>842</v>
      </c>
      <c r="F18" s="36">
        <v>7</v>
      </c>
    </row>
    <row r="19" spans="3:6" x14ac:dyDescent="0.25">
      <c r="C19" s="36" t="s">
        <v>263</v>
      </c>
      <c r="D19" s="36" t="s">
        <v>268</v>
      </c>
      <c r="E19" s="36" t="s">
        <v>843</v>
      </c>
      <c r="F19" s="36">
        <v>7</v>
      </c>
    </row>
    <row r="20" spans="3:6" x14ac:dyDescent="0.25">
      <c r="C20" s="36" t="s">
        <v>263</v>
      </c>
      <c r="D20" s="36" t="s">
        <v>268</v>
      </c>
      <c r="E20" s="36" t="s">
        <v>844</v>
      </c>
      <c r="F20" s="36">
        <v>8</v>
      </c>
    </row>
  </sheetData>
  <sortState ref="C7:F20">
    <sortCondition ref="C7:C20"/>
    <sortCondition ref="D7:D20"/>
    <sortCondition ref="E7:E2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tblPersons</vt:lpstr>
      <vt:lpstr>tblUsers</vt:lpstr>
      <vt:lpstr>tblCourses</vt:lpstr>
      <vt:lpstr>tblCourseSubjs</vt:lpstr>
      <vt:lpstr>tblSubjPrerequisites</vt:lpstr>
      <vt:lpstr>tblSchoolTerms</vt:lpstr>
      <vt:lpstr>tblStudents</vt:lpstr>
      <vt:lpstr>tblFaculty</vt:lpstr>
      <vt:lpstr>tblEnrolledStuds</vt:lpstr>
      <vt:lpstr>tblHiredFaculty</vt:lpstr>
      <vt:lpstr>tblClasses</vt:lpstr>
      <vt:lpstr>tblClassSubjs</vt:lpstr>
      <vt:lpstr>tblClassSchedules</vt:lpstr>
      <vt:lpstr>tblEnrolledSubjs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Tigno</dc:creator>
  <cp:lastModifiedBy>Jerom</cp:lastModifiedBy>
  <dcterms:created xsi:type="dcterms:W3CDTF">2019-03-05T04:32:18Z</dcterms:created>
  <dcterms:modified xsi:type="dcterms:W3CDTF">2019-06-10T11:40:29Z</dcterms:modified>
</cp:coreProperties>
</file>